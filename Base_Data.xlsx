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D:\Yes Bank\April 2026\"/>
    </mc:Choice>
  </mc:AlternateContent>
  <xr:revisionPtr revIDLastSave="0" documentId="13_ncr:1_{C05F8DF6-CC44-4428-B768-35C246E7E2F5}" xr6:coauthVersionLast="47" xr6:coauthVersionMax="47" xr10:uidLastSave="{00000000-0000-0000-0000-000000000000}"/>
  <bookViews>
    <workbookView xWindow="-120" yWindow="-120" windowWidth="29040" windowHeight="15720" xr2:uid="{51A9FD08-13CF-42AC-B639-CFB9C4E8B1F8}"/>
  </bookViews>
  <sheets>
    <sheet name="Schedule" sheetId="1" r:id="rId1"/>
    <sheet name="Audited" sheetId="7" r:id="rId2"/>
    <sheet name="Mail Mapping" sheetId="6" r:id="rId3"/>
  </sheets>
  <definedNames>
    <definedName name="_xlnm._FilterDatabase" localSheetId="1" hidden="1">Audited!$A$1:$AA$295</definedName>
    <definedName name="_xlnm._FilterDatabase" localSheetId="2" hidden="1">'Mail Mapping'!$A$1:$V$295</definedName>
    <definedName name="_xlnm._FilterDatabase" localSheetId="0" hidden="1">Schedule!$A$1:$BG$319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6" l="1"/>
  <c r="S137" i="6"/>
  <c r="T137" i="6" s="1"/>
  <c r="S131" i="6"/>
  <c r="T131" i="6" s="1"/>
  <c r="S80" i="6"/>
  <c r="S59" i="6"/>
  <c r="T59" i="6" s="1"/>
  <c r="S102" i="6"/>
  <c r="T102" i="6" s="1"/>
  <c r="S101" i="6"/>
  <c r="T101" i="6" s="1"/>
  <c r="S69" i="6"/>
  <c r="T69" i="6" s="1"/>
  <c r="S13" i="6"/>
  <c r="T13" i="6" s="1"/>
  <c r="S89" i="6"/>
  <c r="S6" i="6"/>
  <c r="S74" i="6"/>
  <c r="S72" i="6"/>
  <c r="S68" i="6"/>
  <c r="T68" i="6" s="1"/>
  <c r="S93" i="6"/>
  <c r="S37" i="6"/>
  <c r="S27" i="6"/>
  <c r="T27" i="6" s="1"/>
  <c r="S51" i="6"/>
  <c r="S47" i="6"/>
  <c r="T47" i="6" s="1"/>
  <c r="S38" i="6"/>
  <c r="T38" i="6" s="1"/>
  <c r="S161" i="6"/>
  <c r="T161" i="6" s="1"/>
  <c r="S160" i="6"/>
  <c r="T160" i="6" s="1"/>
  <c r="S159" i="6"/>
  <c r="T159" i="6" s="1"/>
  <c r="S158" i="6"/>
  <c r="T158" i="6" s="1"/>
  <c r="S157" i="6"/>
  <c r="T157" i="6" s="1"/>
  <c r="S156" i="6"/>
  <c r="T156" i="6" s="1"/>
  <c r="S155" i="6"/>
  <c r="T155" i="6" s="1"/>
  <c r="S154" i="6"/>
  <c r="T154" i="6" s="1"/>
  <c r="S153" i="6"/>
  <c r="T153" i="6" s="1"/>
  <c r="S152" i="6"/>
  <c r="T152" i="6" s="1"/>
  <c r="S151" i="6"/>
  <c r="T151" i="6" s="1"/>
  <c r="S150" i="6"/>
  <c r="T150" i="6" s="1"/>
  <c r="S149" i="6"/>
  <c r="T149" i="6" s="1"/>
  <c r="S148" i="6"/>
  <c r="T148" i="6" s="1"/>
  <c r="S147" i="6"/>
  <c r="T147" i="6" s="1"/>
  <c r="S146" i="6"/>
  <c r="T146" i="6" s="1"/>
  <c r="S144" i="6"/>
  <c r="T144" i="6" s="1"/>
  <c r="S143" i="6"/>
  <c r="S142" i="6"/>
  <c r="S141" i="6"/>
  <c r="T141" i="6" s="1"/>
  <c r="S140" i="6"/>
  <c r="T140" i="6" s="1"/>
  <c r="S98" i="6"/>
  <c r="T98" i="6" s="1"/>
  <c r="S84" i="6"/>
  <c r="T84" i="6" s="1"/>
  <c r="S83" i="6"/>
  <c r="T83" i="6" s="1"/>
  <c r="S77" i="6"/>
  <c r="T77" i="6" s="1"/>
  <c r="S71" i="6"/>
  <c r="T71" i="6" s="1"/>
  <c r="S70" i="6"/>
  <c r="T70" i="6" s="1"/>
  <c r="S66" i="6"/>
  <c r="T66" i="6" s="1"/>
  <c r="S57" i="6"/>
  <c r="T57" i="6" s="1"/>
  <c r="S56" i="6"/>
  <c r="T56" i="6" s="1"/>
  <c r="S39" i="6"/>
  <c r="T39" i="6" s="1"/>
  <c r="S34" i="6"/>
  <c r="T34" i="6" s="1"/>
  <c r="S31" i="6"/>
  <c r="T31" i="6" s="1"/>
  <c r="S24" i="6"/>
  <c r="T24" i="6" s="1"/>
  <c r="S145" i="6"/>
  <c r="T145" i="6" s="1"/>
  <c r="S139" i="6"/>
  <c r="T139" i="6" s="1"/>
  <c r="S138" i="6"/>
  <c r="T138" i="6" s="1"/>
  <c r="S135" i="6"/>
  <c r="T135" i="6" s="1"/>
  <c r="S134" i="6"/>
  <c r="T134" i="6" s="1"/>
  <c r="S132" i="6"/>
  <c r="T132" i="6" s="1"/>
  <c r="S130" i="6"/>
  <c r="T130" i="6" s="1"/>
  <c r="S129" i="6"/>
  <c r="T129" i="6" s="1"/>
  <c r="S128" i="6"/>
  <c r="T128" i="6" s="1"/>
  <c r="S127" i="6"/>
  <c r="T127" i="6" s="1"/>
  <c r="S126" i="6"/>
  <c r="T126" i="6" s="1"/>
  <c r="S125" i="6"/>
  <c r="T125" i="6" s="1"/>
  <c r="S124" i="6"/>
  <c r="T124" i="6" s="1"/>
  <c r="S123" i="6"/>
  <c r="T123" i="6" s="1"/>
  <c r="S122" i="6"/>
  <c r="T122" i="6" s="1"/>
  <c r="S121" i="6"/>
  <c r="T121" i="6" s="1"/>
  <c r="S120" i="6"/>
  <c r="T120" i="6" s="1"/>
  <c r="S119" i="6"/>
  <c r="T119" i="6" s="1"/>
  <c r="S118" i="6"/>
  <c r="T118" i="6" s="1"/>
  <c r="S117" i="6"/>
  <c r="T117" i="6" s="1"/>
  <c r="S116" i="6"/>
  <c r="T116" i="6" s="1"/>
  <c r="S115" i="6"/>
  <c r="T115" i="6" s="1"/>
  <c r="S114" i="6"/>
  <c r="T114" i="6" s="1"/>
  <c r="S113" i="6"/>
  <c r="T113" i="6" s="1"/>
  <c r="S112" i="6"/>
  <c r="T112" i="6" s="1"/>
  <c r="S110" i="6"/>
  <c r="T110" i="6" s="1"/>
  <c r="S109" i="6"/>
  <c r="T109" i="6" s="1"/>
  <c r="S108" i="6"/>
  <c r="T108" i="6" s="1"/>
  <c r="S107" i="6"/>
  <c r="T107" i="6" s="1"/>
  <c r="S106" i="6"/>
  <c r="T106" i="6" s="1"/>
  <c r="S105" i="6"/>
  <c r="T105" i="6" s="1"/>
  <c r="S104" i="6"/>
  <c r="T104" i="6" s="1"/>
  <c r="S103" i="6"/>
  <c r="T103" i="6" s="1"/>
  <c r="S100" i="6"/>
  <c r="T100" i="6" s="1"/>
  <c r="S99" i="6"/>
  <c r="T99" i="6" s="1"/>
  <c r="S97" i="6"/>
  <c r="T97" i="6" s="1"/>
  <c r="S96" i="6"/>
  <c r="T96" i="6" s="1"/>
  <c r="S95" i="6"/>
  <c r="T95" i="6" s="1"/>
  <c r="S88" i="6"/>
  <c r="T88" i="6" s="1"/>
  <c r="S87" i="6"/>
  <c r="T87" i="6" s="1"/>
  <c r="S86" i="6"/>
  <c r="T86" i="6" s="1"/>
  <c r="S85" i="6"/>
  <c r="T85" i="6" s="1"/>
  <c r="T80" i="6"/>
  <c r="S79" i="6"/>
  <c r="T79" i="6" s="1"/>
  <c r="S78" i="6"/>
  <c r="T78" i="6" s="1"/>
  <c r="S75" i="6"/>
  <c r="T75" i="6" s="1"/>
  <c r="T72" i="6"/>
  <c r="S67" i="6"/>
  <c r="T67" i="6" s="1"/>
  <c r="S65" i="6"/>
  <c r="T65" i="6" s="1"/>
  <c r="S64" i="6"/>
  <c r="T64" i="6" s="1"/>
  <c r="S63" i="6"/>
  <c r="T63" i="6" s="1"/>
  <c r="S61" i="6"/>
  <c r="T61" i="6" s="1"/>
  <c r="S60" i="6"/>
  <c r="T60" i="6" s="1"/>
  <c r="S58" i="6"/>
  <c r="T58" i="6" s="1"/>
  <c r="S55" i="6"/>
  <c r="T55" i="6" s="1"/>
  <c r="S54" i="6"/>
  <c r="T54" i="6" s="1"/>
  <c r="S53" i="6"/>
  <c r="T53" i="6" s="1"/>
  <c r="S50" i="6"/>
  <c r="T50" i="6" s="1"/>
  <c r="S48" i="6"/>
  <c r="T48" i="6" s="1"/>
  <c r="S46" i="6"/>
  <c r="T46" i="6" s="1"/>
  <c r="S45" i="6"/>
  <c r="T45" i="6" s="1"/>
  <c r="S40" i="6"/>
  <c r="T40" i="6" s="1"/>
  <c r="S35" i="6"/>
  <c r="T35" i="6" s="1"/>
  <c r="S32" i="6"/>
  <c r="T32" i="6" s="1"/>
  <c r="S30" i="6"/>
  <c r="T30" i="6" s="1"/>
  <c r="S29" i="6"/>
  <c r="T29" i="6" s="1"/>
  <c r="S28" i="6"/>
  <c r="T28" i="6" s="1"/>
  <c r="S25" i="6"/>
  <c r="T25" i="6" s="1"/>
  <c r="S23" i="6"/>
  <c r="T23" i="6" s="1"/>
  <c r="S20" i="6"/>
  <c r="T20" i="6" s="1"/>
  <c r="S19" i="6"/>
  <c r="T19" i="6" s="1"/>
  <c r="S16" i="6"/>
  <c r="T16" i="6" s="1"/>
  <c r="S14" i="6"/>
  <c r="T14" i="6" s="1"/>
  <c r="S11" i="6"/>
  <c r="T11" i="6" s="1"/>
  <c r="S9" i="6"/>
  <c r="T9" i="6" s="1"/>
  <c r="S4" i="6"/>
  <c r="T4" i="6" s="1"/>
  <c r="S3" i="6"/>
  <c r="T3" i="6" s="1"/>
  <c r="S2" i="6"/>
  <c r="S8" i="6"/>
  <c r="T8" i="6" s="1"/>
  <c r="S7" i="6"/>
  <c r="T7" i="6" s="1"/>
  <c r="S5" i="6"/>
  <c r="T5" i="6" s="1"/>
  <c r="S136" i="6"/>
  <c r="T136" i="6" s="1"/>
  <c r="S133" i="6"/>
  <c r="T133" i="6" s="1"/>
  <c r="S111" i="6"/>
  <c r="T111" i="6" s="1"/>
  <c r="S94" i="6"/>
  <c r="T94" i="6" s="1"/>
  <c r="S92" i="6"/>
  <c r="T92" i="6" s="1"/>
  <c r="S91" i="6"/>
  <c r="T91" i="6" s="1"/>
  <c r="S90" i="6"/>
  <c r="T90" i="6" s="1"/>
  <c r="T89" i="6"/>
  <c r="S82" i="6"/>
  <c r="T82" i="6" s="1"/>
  <c r="S81" i="6"/>
  <c r="T81" i="6" s="1"/>
  <c r="S76" i="6"/>
  <c r="T76" i="6" s="1"/>
  <c r="S73" i="6"/>
  <c r="T73" i="6" s="1"/>
  <c r="S62" i="6"/>
  <c r="T62" i="6" s="1"/>
  <c r="S52" i="6"/>
  <c r="T52" i="6" s="1"/>
  <c r="S49" i="6"/>
  <c r="T49" i="6" s="1"/>
  <c r="S44" i="6"/>
  <c r="T44" i="6" s="1"/>
  <c r="S43" i="6"/>
  <c r="T43" i="6" s="1"/>
  <c r="S42" i="6"/>
  <c r="T42" i="6" s="1"/>
  <c r="S41" i="6"/>
  <c r="T41" i="6" s="1"/>
  <c r="T37" i="6"/>
  <c r="S36" i="6"/>
  <c r="T36" i="6" s="1"/>
  <c r="S33" i="6"/>
  <c r="T33" i="6" s="1"/>
  <c r="S26" i="6"/>
  <c r="T26" i="6" s="1"/>
  <c r="S22" i="6"/>
  <c r="T22" i="6" s="1"/>
  <c r="S21" i="6"/>
  <c r="T21" i="6" s="1"/>
  <c r="S18" i="6"/>
  <c r="T18" i="6" s="1"/>
  <c r="S17" i="6"/>
  <c r="T17" i="6" s="1"/>
  <c r="S15" i="6"/>
  <c r="T15" i="6" s="1"/>
  <c r="S12" i="6"/>
  <c r="T12" i="6" s="1"/>
  <c r="S10" i="6"/>
  <c r="T10" i="6" s="1"/>
  <c r="T143" i="6"/>
  <c r="T142" i="6"/>
  <c r="T93" i="6"/>
  <c r="T74" i="6"/>
  <c r="T51" i="6"/>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P2" i="6"/>
  <c r="R3" i="6" l="1"/>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tc={F2FFA0B4-5388-47F8-B0DC-9FCC07D4B48A}</author>
    <author>Suhas Dhoke (RM)</author>
    <author>Sheetal Jadhav (RC)</author>
  </authors>
  <commentList>
    <comment ref="C1" authorId="0" shapeId="0" xr:uid="{B2861705-672E-4109-8E42-0AFB0E469A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process effective 1st Sep'23.
No id will be created in Yes Pay going forward. It will be in SAP Ariba now.</t>
        </r>
      </text>
    </comment>
    <comment ref="AE1" authorId="0" shapeId="0" xr:uid="{51ABD929-E9EF-4819-80C2-E779B9D12F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process effective 1st Sep'23.
No id will be created in Yes Pay going forward. It will be in SAP Ariba now.</t>
        </r>
      </text>
    </comment>
    <comment ref="Z29" authorId="1" shapeId="0" xr:uid="{24F79BC9-B26B-42D9-8CC1-927981C230EA}">
      <text>
        <r>
          <rPr>
            <b/>
            <sz val="9"/>
            <color indexed="81"/>
            <rFont val="Tahoma"/>
            <family val="2"/>
          </rPr>
          <t>Suhas Dhoke (RM):</t>
        </r>
        <r>
          <rPr>
            <sz val="9"/>
            <color indexed="81"/>
            <rFont val="Tahoma"/>
            <family val="2"/>
          </rPr>
          <t xml:space="preserve">
29-Aug-19
</t>
        </r>
      </text>
    </comment>
    <comment ref="AA138" authorId="2" shapeId="0" xr:uid="{4E5E7242-C80A-4649-BA15-2E7FE1152877}">
      <text>
        <r>
          <rPr>
            <b/>
            <sz val="9"/>
            <color indexed="81"/>
            <rFont val="Tahoma"/>
            <family val="2"/>
          </rPr>
          <t>Sheetal Jadhav (RC):</t>
        </r>
        <r>
          <rPr>
            <sz val="9"/>
            <color indexed="81"/>
            <rFont val="Tahoma"/>
            <family val="2"/>
          </rPr>
          <t xml:space="preserve">
on mail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tc={F2FFA0B4-5388-47F8-B0DC-9FCC07D4B48A}</author>
  </authors>
  <commentList>
    <comment ref="C1" authorId="0" shapeId="0" xr:uid="{933274BC-A428-48AB-946A-6D5FAFCD84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process effective 1st Sep'23.
No id will be created in Yes Pay going forward. It will be in SAP Ariba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tc={F2FFA0B4-5388-47F8-B0DC-9FCC07D4B48A}</author>
  </authors>
  <commentList>
    <comment ref="C1" authorId="0" shapeId="0" xr:uid="{B0CDBCF9-50E9-4DF9-A85F-94E7DA2A72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process effective 1st Sep'23.
No id will be created in Yes Pay going forward. It will be in SAP Ariba now.</t>
        </r>
      </text>
    </comment>
  </commentList>
</comments>
</file>

<file path=xl/sharedStrings.xml><?xml version="1.0" encoding="utf-8"?>
<sst xmlns="http://schemas.openxmlformats.org/spreadsheetml/2006/main" count="25360" uniqueCount="4361">
  <si>
    <t>Sr No.</t>
  </si>
  <si>
    <t>Vendor Code</t>
  </si>
  <si>
    <t xml:space="preserve">ERP ID </t>
  </si>
  <si>
    <t>Zone</t>
  </si>
  <si>
    <t>State</t>
  </si>
  <si>
    <t>Location</t>
  </si>
  <si>
    <t>Agency Type</t>
  </si>
  <si>
    <t>Vendor Name</t>
  </si>
  <si>
    <t>Owner/Partners/Director's Name</t>
  </si>
  <si>
    <t>Contact Person</t>
  </si>
  <si>
    <t>Address</t>
  </si>
  <si>
    <t>Office Phone #</t>
  </si>
  <si>
    <t>YBL collection contact</t>
  </si>
  <si>
    <t>Owner Phone #</t>
  </si>
  <si>
    <t>EMail ID</t>
  </si>
  <si>
    <t>Alternate Email Id</t>
  </si>
  <si>
    <t>PAN No</t>
  </si>
  <si>
    <t>Service Tax No</t>
  </si>
  <si>
    <t>GST no</t>
  </si>
  <si>
    <t>ARN Number</t>
  </si>
  <si>
    <t>YBL A/c No</t>
  </si>
  <si>
    <t>BANK_NAME</t>
  </si>
  <si>
    <t>YBL A/c Status</t>
  </si>
  <si>
    <t>Category</t>
  </si>
  <si>
    <t>Status</t>
  </si>
  <si>
    <t>Agreement Date 
(DD/MM/YYYY)</t>
  </si>
  <si>
    <t>ORM/BH Approval (DD/MM/YYYY)</t>
  </si>
  <si>
    <t>Discontinued/
Termination Date (DD/MM/YYYY)</t>
  </si>
  <si>
    <t>Discontinued/Termination Reason</t>
  </si>
  <si>
    <t>Remarks</t>
  </si>
  <si>
    <t>JAN'26</t>
  </si>
  <si>
    <t>FEB'26</t>
  </si>
  <si>
    <t>MAR'26</t>
  </si>
  <si>
    <t>Total</t>
  </si>
  <si>
    <t>As per Repo Tracker</t>
  </si>
  <si>
    <t>Eligible Reason</t>
  </si>
  <si>
    <t>Eligible Status</t>
  </si>
  <si>
    <t>Audit Firm</t>
  </si>
  <si>
    <t>RCM Name</t>
  </si>
  <si>
    <t>Z18170</t>
  </si>
  <si>
    <t>North</t>
  </si>
  <si>
    <t>Punjab</t>
  </si>
  <si>
    <t>Chandigarh</t>
  </si>
  <si>
    <t>Collection &amp; Repossession Agency</t>
  </si>
  <si>
    <t>Yash Enterprises</t>
  </si>
  <si>
    <t>Amarbir Singh</t>
  </si>
  <si>
    <t>Soho No:347, Block-A, 3Rd Floor, Chandigarh City Center (Ccc), Zirakpur, Punjab</t>
  </si>
  <si>
    <t>0172-3952111</t>
  </si>
  <si>
    <t>0172-3952111,7009919590,9988093065,8629806616</t>
  </si>
  <si>
    <t>8558883238</t>
  </si>
  <si>
    <t>y.enterprises2009@gmail.com;yenterprises.yesbank@gmail.com</t>
  </si>
  <si>
    <t>EVYPS4197B</t>
  </si>
  <si>
    <t>-</t>
  </si>
  <si>
    <t>03EVYPS4197B1Z0</t>
  </si>
  <si>
    <t>PUNJAB AND SIND BANK</t>
  </si>
  <si>
    <t>Properitoryship</t>
  </si>
  <si>
    <t>Active</t>
  </si>
  <si>
    <t>Allocaton given by Collection &amp; Repossession</t>
  </si>
  <si>
    <t>Eligible for audit</t>
  </si>
  <si>
    <t>KGAC</t>
  </si>
  <si>
    <t>NA</t>
  </si>
  <si>
    <t>Uttar Pradesh</t>
  </si>
  <si>
    <t>Lucknow</t>
  </si>
  <si>
    <t>Repossession Agency</t>
  </si>
  <si>
    <t>AARYA ASSOCIATES</t>
  </si>
  <si>
    <t>Vijender Singh</t>
  </si>
  <si>
    <t>aarya.repo2014@gmail.com</t>
  </si>
  <si>
    <t>CDEPS6081E</t>
  </si>
  <si>
    <t>09CDEPS6081E1ZA</t>
  </si>
  <si>
    <t>Proprietorship</t>
  </si>
  <si>
    <t>Allocaton given by Repo agency</t>
  </si>
  <si>
    <t>Aim Associates</t>
  </si>
  <si>
    <t>Sanjay Sethi</t>
  </si>
  <si>
    <t>01146142871,  43702304</t>
  </si>
  <si>
    <t>ysethi@aimsanjay.com</t>
  </si>
  <si>
    <t>ALJPS1500R</t>
  </si>
  <si>
    <t>07ALJPS1500R1ZP</t>
  </si>
  <si>
    <t>ICICI BANK LIMITED</t>
  </si>
  <si>
    <t>Allocaton given by Collection agency</t>
  </si>
  <si>
    <t>Sameer Dhar</t>
  </si>
  <si>
    <t>Z14444</t>
  </si>
  <si>
    <t>Saksham Enterprises</t>
  </si>
  <si>
    <t>Anjali Saggi</t>
  </si>
  <si>
    <t>Scf - 3, Second Floor, Bhainsa Tibba, Sector 4  Mansa Devi Complex, Above Bansal Kulcha. ,I.T.Park Road, Panchkula - 134114</t>
  </si>
  <si>
    <t>0172-2570578</t>
  </si>
  <si>
    <t>0172-2570578,9592000282,9355164503,8591996740,8264350597,9988060245,7340907431,7710549924,7814878898</t>
  </si>
  <si>
    <t>9814511578</t>
  </si>
  <si>
    <t>collection_76@sakshamenforce.com</t>
  </si>
  <si>
    <t>SAKSHAM_76@REDIFFMAIL.COM</t>
  </si>
  <si>
    <t>ARHPS5035M</t>
  </si>
  <si>
    <t>ARHPS5035MSD001</t>
  </si>
  <si>
    <t>06ARHPS5035M1ZD</t>
  </si>
  <si>
    <t>062663300001070</t>
  </si>
  <si>
    <t>YES BANK LIMITED</t>
  </si>
  <si>
    <t>OPENED</t>
  </si>
  <si>
    <t>Ashutosh Gupta</t>
  </si>
  <si>
    <t>Haryana</t>
  </si>
  <si>
    <t>AR ASSOCIATES</t>
  </si>
  <si>
    <t>ARassociate0786@gmail.com</t>
  </si>
  <si>
    <t>GCIPK9297P</t>
  </si>
  <si>
    <t>03GCIPK9297P1ZL</t>
  </si>
  <si>
    <t>STATE BANK OF INDIA</t>
  </si>
  <si>
    <t>Z14593</t>
  </si>
  <si>
    <t>East</t>
  </si>
  <si>
    <t>West Bengal</t>
  </si>
  <si>
    <t>Kolkata</t>
  </si>
  <si>
    <t>Urenus</t>
  </si>
  <si>
    <t>Ashok Taru Ghosh</t>
  </si>
  <si>
    <t>94777756709433400000</t>
  </si>
  <si>
    <t>9477775670,9433401143,9830672001,9231684618,9051747228,9804681653,8777823949,9831014042,9123639299,8910038382,8478995309,8240986526,9331551082,6290015035,9800392525,9330109417,7278667722,9051747240,8336888036</t>
  </si>
  <si>
    <t>9051747240</t>
  </si>
  <si>
    <t>collection.ybkol@urenus.in</t>
  </si>
  <si>
    <t>AKTPG5076D</t>
  </si>
  <si>
    <t>AKTPG5076DST001</t>
  </si>
  <si>
    <t>19AKTPG5076D2ZT</t>
  </si>
  <si>
    <t>044385800000362</t>
  </si>
  <si>
    <t>Z16131</t>
  </si>
  <si>
    <t>Bharat Repossession Unit</t>
  </si>
  <si>
    <t>Biswajit Dey</t>
  </si>
  <si>
    <t>11, Bandhab Nagar, P.O + P.S – Belgharia, West Bengal, Kolkata - 700056</t>
  </si>
  <si>
    <t>9836671180</t>
  </si>
  <si>
    <t>9836671180,8981066924</t>
  </si>
  <si>
    <t>8961166923</t>
  </si>
  <si>
    <t>biswajitdeyrepo@gmail.com; Brubd2000@yahoo.com</t>
  </si>
  <si>
    <t>AKJPD5143L</t>
  </si>
  <si>
    <t>AKJPD5143LSD001</t>
  </si>
  <si>
    <t>19AKJPD5143L1ZY</t>
  </si>
  <si>
    <t>076085800000011</t>
  </si>
  <si>
    <t>Z14974</t>
  </si>
  <si>
    <t>Delhi</t>
  </si>
  <si>
    <t>Management Services</t>
  </si>
  <si>
    <t>Sunil Diwan</t>
  </si>
  <si>
    <t>B-138.3Rd Floor Navakar Building, Mohammad Pur New Delhi 110066</t>
  </si>
  <si>
    <t>35123776,35123772,66158639,40,3512786</t>
  </si>
  <si>
    <t>35123776,35123772,66158639,40-3512786,9899360123,9718723789,9871879487,9582230927,9350190024,9953755991,9818240991,9312064006,9654740745,9811580172,8920176622,9899093934,9268423754,9266616666,9315587290,8851340325,9717176805,9319141157,9717116496,9718562973,9873387576,7217757411,8130371073,9210040404,9560038050</t>
  </si>
  <si>
    <t>9811434904</t>
  </si>
  <si>
    <t>Manav@managementser.com; hr@mser.co.in</t>
  </si>
  <si>
    <t>AAHPD9211D</t>
  </si>
  <si>
    <t>AAHPD9211DST001</t>
  </si>
  <si>
    <t>07AAHPD9211D2Z5</t>
  </si>
  <si>
    <t>033885800000130</t>
  </si>
  <si>
    <t>BANK OF BARODA</t>
  </si>
  <si>
    <t>Mail id change req recd in Jul/Repo activity added in May22.</t>
  </si>
  <si>
    <t>Abhinav Lal</t>
  </si>
  <si>
    <t>Z15821</t>
  </si>
  <si>
    <t>Relief</t>
  </si>
  <si>
    <t>Ranjit Singh</t>
  </si>
  <si>
    <t>T1-58/4, V.K.Nagar, Durgapur-10, Dist-Burdwan, West Bengal - 713210</t>
  </si>
  <si>
    <t>9434009023</t>
  </si>
  <si>
    <t>9434009023,9933854857</t>
  </si>
  <si>
    <t>relief_repo@rediffmail.com; repo.relief@yahoo.com; relief.repo@gmail.com</t>
  </si>
  <si>
    <t>AZVPS7856E</t>
  </si>
  <si>
    <t>AZVPS7856EST001</t>
  </si>
  <si>
    <t>19AZVPS7856E2ZB</t>
  </si>
  <si>
    <t>PUNJAB NATIONAL BANK</t>
  </si>
  <si>
    <t>Z23305</t>
  </si>
  <si>
    <t>Ludhiana</t>
  </si>
  <si>
    <t>Savviour Agency</t>
  </si>
  <si>
    <t>Yadwinder Singh</t>
  </si>
  <si>
    <t>Yadwinder Singh/Babali</t>
  </si>
  <si>
    <t>0161-4610606</t>
  </si>
  <si>
    <t>0161-4610606,9815347600,9877062155,9855818230,7973096293,9814630053</t>
  </si>
  <si>
    <t>9815347600,9814630053</t>
  </si>
  <si>
    <t>info@saviiour.com; desk@saviiour.com</t>
  </si>
  <si>
    <t>ADJPS8842A</t>
  </si>
  <si>
    <t>ADJPS8842AST001</t>
  </si>
  <si>
    <t>03ADJPS8842A1ZM</t>
  </si>
  <si>
    <t>AA00617002136Q</t>
  </si>
  <si>
    <t>002385800004772</t>
  </si>
  <si>
    <t xml:space="preserve">Addition of product LAP on 3rd Jun'23 </t>
  </si>
  <si>
    <t>Z14786</t>
  </si>
  <si>
    <t>Pick Up Agency</t>
  </si>
  <si>
    <t>Positive Move</t>
  </si>
  <si>
    <t>Sudhir Mal</t>
  </si>
  <si>
    <t>53/A-7, 2Nd Floor, Rama Road,Industrial Area, Opp. Autoweb Hyundai, New Delhi - 110015</t>
  </si>
  <si>
    <t>9.81029947485888E+29</t>
  </si>
  <si>
    <t>9810299474,8588802958,8588802434,9871134345,9540602395,9873219628,8860419106,8800460361,9650753820,9716210294,9013085736,7982583518,9540483501</t>
  </si>
  <si>
    <t>9810299474,8588802958,8588802434,9711266572</t>
  </si>
  <si>
    <t>posmovyb@gmail.com ; for operational work;mal.sudhir@gmail.com ; for billing; payout;escalations;etc,collectionsyb@posmov.com</t>
  </si>
  <si>
    <t>ADGPM5433L</t>
  </si>
  <si>
    <t>ADGPM5433LST001</t>
  </si>
  <si>
    <t>07ADGPM5433L1ZB</t>
  </si>
  <si>
    <t>AA0703170018577</t>
  </si>
  <si>
    <t>034085800000237</t>
  </si>
  <si>
    <t>Z14993</t>
  </si>
  <si>
    <t>Collection/Pickup/Repo Agency</t>
  </si>
  <si>
    <t>I Care Securities</t>
  </si>
  <si>
    <t>Tarun Madan &amp; Ivneet Kaur</t>
  </si>
  <si>
    <t>Sco-18/181, Gokul Market, Civil Hospital Chowk, Karnal - 132001</t>
  </si>
  <si>
    <t>9053100002,7404380000,0184-4031900</t>
  </si>
  <si>
    <t>9053100002,7404380000,0184-4031900,9221321000,8574321000,9215921000</t>
  </si>
  <si>
    <t>9215921000</t>
  </si>
  <si>
    <t>icare@icsk.co.in</t>
  </si>
  <si>
    <t>icaresecurities54@gmail.com</t>
  </si>
  <si>
    <t>AAEFI6927L</t>
  </si>
  <si>
    <t>06AJUPM7978A1ZN</t>
  </si>
  <si>
    <t>16885800001770</t>
  </si>
  <si>
    <t>Partnership</t>
  </si>
  <si>
    <t>Z15421</t>
  </si>
  <si>
    <t>Rajasthan</t>
  </si>
  <si>
    <t>Bikaner</t>
  </si>
  <si>
    <t>Maa Bhawani Auto Enterprises</t>
  </si>
  <si>
    <t>Lokendar Bhatti</t>
  </si>
  <si>
    <t>A 9 Near Sbbj Bank Ignp Colony Bikaner Rajasthan</t>
  </si>
  <si>
    <t>0151-2250356</t>
  </si>
  <si>
    <t>0151-2250356,9772043342</t>
  </si>
  <si>
    <t>9950002150</t>
  </si>
  <si>
    <t>maabhawaniautoenterprises@gmail.com</t>
  </si>
  <si>
    <t>ATJPB6991K</t>
  </si>
  <si>
    <t>ANPPC7352RSD001</t>
  </si>
  <si>
    <t>08ATJPB6991K1Z5</t>
  </si>
  <si>
    <t>052961900001494</t>
  </si>
  <si>
    <t>Supplimental agreement done for Repo activity on Mar22.</t>
  </si>
  <si>
    <t>Z16312</t>
  </si>
  <si>
    <t>Jaipur</t>
  </si>
  <si>
    <t>Choudhary Brothers Group</t>
  </si>
  <si>
    <t>Ashok Choudhary</t>
  </si>
  <si>
    <t>9829295353,01414919039</t>
  </si>
  <si>
    <t>9829295353,01414919039,9610449872,9887603519,6375273571,8696397777,9529123413,9001811855,9024720814,9829221122</t>
  </si>
  <si>
    <t>9929295353</t>
  </si>
  <si>
    <t>cbgroupjaipur01@gmail.com</t>
  </si>
  <si>
    <t>cbgalwar2018@gmail.com; cbgroup.alwar@gmail.com</t>
  </si>
  <si>
    <t>AAIFC4465F</t>
  </si>
  <si>
    <t>08AAIFC4465F1ZF</t>
  </si>
  <si>
    <t>HDFC BANK LTD</t>
  </si>
  <si>
    <t>Z15414</t>
  </si>
  <si>
    <t>Bhubaneshwar</t>
  </si>
  <si>
    <t>P N Services</t>
  </si>
  <si>
    <t>Bibubuti Bhusan Mahapatra</t>
  </si>
  <si>
    <t>9337702267,9937887280,7064401615</t>
  </si>
  <si>
    <t>9337702267,9937887280,7064401615,7064781722,9658072509,9861560113,7978469061,7735922881,9937140705</t>
  </si>
  <si>
    <t>pnservices2@pnservices2.co.in</t>
  </si>
  <si>
    <t>servicespn14@gmail.com</t>
  </si>
  <si>
    <t>AMPPM1056R</t>
  </si>
  <si>
    <t>21AMPPM1056R1ZM</t>
  </si>
  <si>
    <t>AA210417004369H</t>
  </si>
  <si>
    <t>BANDHAN BANK</t>
  </si>
  <si>
    <t>Odisha</t>
  </si>
  <si>
    <t>Cuttack</t>
  </si>
  <si>
    <t>B K Associates</t>
  </si>
  <si>
    <t>Basanta Kumar Swain,Sasmita Swain,Bibhu Sundar Jena</t>
  </si>
  <si>
    <t>bkassociates3611@gmail.com, bkcollection2018@gmail.com</t>
  </si>
  <si>
    <t>AAMFB1648R</t>
  </si>
  <si>
    <t>21AAMFB1648R2Z3</t>
  </si>
  <si>
    <t>Patnership</t>
  </si>
  <si>
    <t>Z18638</t>
  </si>
  <si>
    <t>National Consultants</t>
  </si>
  <si>
    <t>Kailash Singh Chouhan</t>
  </si>
  <si>
    <t>139, K-5-C Scheme, Khatipura, Jaipur - 302012</t>
  </si>
  <si>
    <t>0141-2359541,9829053749,8005659049,0141-2350756</t>
  </si>
  <si>
    <t>0141-2359541,9829053749,8005659049,0141-2350756,9636323880,9694345351,9783009893</t>
  </si>
  <si>
    <t>9829053749</t>
  </si>
  <si>
    <t>national.ks@gmail.com ; info.yb@nationalconsultants.co.in ; Nationalconsultants749@gmail.com</t>
  </si>
  <si>
    <t>nationalyesbank@gmail.com</t>
  </si>
  <si>
    <t>ADPPC4913N</t>
  </si>
  <si>
    <t>ADPPC4913ND001</t>
  </si>
  <si>
    <t>08ADPPC4913N1Z7</t>
  </si>
  <si>
    <t/>
  </si>
  <si>
    <t>Address chanes request recd on 2nd Jul</t>
  </si>
  <si>
    <t>Z18015</t>
  </si>
  <si>
    <t>Easyway Advisory</t>
  </si>
  <si>
    <t>Sumita Das</t>
  </si>
  <si>
    <t>28 (264/1) Dum Dum C Road, Kolkata - 700074</t>
  </si>
  <si>
    <t>9830224152</t>
  </si>
  <si>
    <t>9830224152,9804510702,9830345491,9836271214,7596929716,7890353325,8820602853,9804719393,8910300654,8272952761,7003778911,6291038887,7003354014,7384681593,7686026660,9804759569,9432708868,9874571598,9674292668,6291076359,8945967695,7890763153,9123764710,9123787772,033-2560-4434,086-9700-5532,083-3499-2690</t>
  </si>
  <si>
    <t>easywayneworg@gmail.com; collection.ybkol@easyway.in.net</t>
  </si>
  <si>
    <t>ALVPD1996J</t>
  </si>
  <si>
    <t>ALVPD1996JSD001</t>
  </si>
  <si>
    <t>19ALVPD1996J1ZB</t>
  </si>
  <si>
    <t>Z26519</t>
  </si>
  <si>
    <t>Kanpur</t>
  </si>
  <si>
    <t>Baiswara Associates</t>
  </si>
  <si>
    <t xml:space="preserve">Mr Sanjeev Singh </t>
  </si>
  <si>
    <t>9839214520; 7007800000</t>
  </si>
  <si>
    <t>9839214520,9682214520</t>
  </si>
  <si>
    <t>baiswaraassociates_2009@rediffmail.com; baiswara@baiswaragroup.com</t>
  </si>
  <si>
    <t>baiswaraassociates@gmail.com</t>
  </si>
  <si>
    <t>AXDPS6196H</t>
  </si>
  <si>
    <t>09AXDPS6196H1ZU</t>
  </si>
  <si>
    <t>CENTRAL BANK OF INDIA</t>
  </si>
  <si>
    <t>Coolection activity added in Dec22</t>
  </si>
  <si>
    <t>Z18311</t>
  </si>
  <si>
    <t>The Pentagon House</t>
  </si>
  <si>
    <t>Sumeer Bhargava</t>
  </si>
  <si>
    <t>9350116087</t>
  </si>
  <si>
    <t xml:space="preserve">9350116087,9891159005,7669519161,8384097780,8700912009,8920438122,7982891215,8587919925,9717615191,9871418839,8743007624,8076850672, 9120198899 </t>
  </si>
  <si>
    <t>pentagonhouse@gmail.com</t>
  </si>
  <si>
    <t>AIZPB3550F</t>
  </si>
  <si>
    <t>07AIZPB3550F2Z6</t>
  </si>
  <si>
    <t>New location Lucknow added for allocation on 5th Jun'23</t>
  </si>
  <si>
    <t>Z18954</t>
  </si>
  <si>
    <t>S. Sabherwal &amp; Co.</t>
  </si>
  <si>
    <t xml:space="preserve">Sanjeev Sabherwal </t>
  </si>
  <si>
    <t>1/E 21 Jhandewalan Extention, New Delhi-110055</t>
  </si>
  <si>
    <t>9810021477,7861089567,-,Sandeep,kumar,9811480270,7217680450,-,Anju,Arora,45795435,-,41542823,-,land,line,no</t>
  </si>
  <si>
    <t>9810021477,7861089567,-,Sandeep,kumar,9811480270,7217680450,Anju,Arora,45795435,41542823,land,line,no,9911364003,9711932754,9711197895,9210629901,9999247193,8448938927,9718115720,7838392737,9990500357,8700279212,9582473832</t>
  </si>
  <si>
    <t>sanjeevsabherwal@hotmail.com; sanjeev@sabherwal.com ; ssab@sabherwal.com</t>
  </si>
  <si>
    <t>ssab@sabherwal.com</t>
  </si>
  <si>
    <t>AAXPS7666R</t>
  </si>
  <si>
    <t>Not Applicable</t>
  </si>
  <si>
    <t>Kunal Malhotra</t>
  </si>
  <si>
    <t>Z15138</t>
  </si>
  <si>
    <t>Agpo Management Services Pvt Ltd</t>
  </si>
  <si>
    <t>Gaurav Agrawal</t>
  </si>
  <si>
    <t>0522-4958979,9839068693,0512-2540019,0562-4000125,0522-4622891</t>
  </si>
  <si>
    <t>0522-4958979,9839068693,0512-2540019,0562-4000125,8869880805,7080800310,7905710207,9335905751,9720123148,9198779911,9044015935,7800029105,9359051896,9161544560,9026110389,8588918415,7080329092,8868065575,0522-4622891</t>
  </si>
  <si>
    <t>0512-3016879</t>
  </si>
  <si>
    <t>YESBANKAGPO@GMAIL.COM</t>
  </si>
  <si>
    <t>AAECA4088K</t>
  </si>
  <si>
    <t>09AAECA4088K1ZB</t>
  </si>
  <si>
    <t>PVT Ltd</t>
  </si>
  <si>
    <t>Z20543</t>
  </si>
  <si>
    <t>Aim Corporate</t>
  </si>
  <si>
    <t>Sanjay Gupta</t>
  </si>
  <si>
    <t>Sanjay Gupta/Suresh Bisoi</t>
  </si>
  <si>
    <t>86480,30702,9007374460,9874289876,7595900524</t>
  </si>
  <si>
    <t>86480,30702,9007374460,9836763581,7044067822,9051761080,8697789378,8296720891,6290612984,8910991842,9804445016,9038223935,9874930018,9874289876,7980165338,9832055052,7001938434,7000482645,9098301963,8240590554,9002842557,8319378592,7718236167,8777381034,9977401420,9826122732,9062106927,7595900524,9830343106</t>
  </si>
  <si>
    <t>8697564337</t>
  </si>
  <si>
    <t>collections5@aimcorporate.co</t>
  </si>
  <si>
    <t>AVBPG1374M</t>
  </si>
  <si>
    <t>19AVBPG1374M2ZD</t>
  </si>
  <si>
    <t>Repo activity added in Dec 21,Email id change req recd on 14th Jun. Supplementary agreement added for Jamshedpur Bhubaneshwar on 3rd Aug'22</t>
  </si>
  <si>
    <t>Biswarup Ghosh</t>
  </si>
  <si>
    <t>Z20583</t>
  </si>
  <si>
    <t>Fairadvisory Legalservices</t>
  </si>
  <si>
    <t>Nidhi Prakash Yadav</t>
  </si>
  <si>
    <t>0657-2438714</t>
  </si>
  <si>
    <t>0657-2438714,8521158806,7677437282,7978942486,7504735768,9861236045,6901459251,9934824866,9864030986,7061093255, 8210106510, 8210106510, 7338703469,	8610129493,	8754312805,	9087498198,	9360441597,	9952066494,</t>
  </si>
  <si>
    <t>9031040500</t>
  </si>
  <si>
    <t>fairadvisory.jsr@gmail.com;  collection@fairadvisory.net.in</t>
  </si>
  <si>
    <t>nidhi_kgdn@rediffmail.com</t>
  </si>
  <si>
    <t>AAPPY5351B</t>
  </si>
  <si>
    <t>20AAPPY5351B1ZS</t>
  </si>
  <si>
    <t>New email id registeration request received in Jul, Repo activity added in Dec</t>
  </si>
  <si>
    <t>Z27683</t>
  </si>
  <si>
    <t>D S Associates</t>
  </si>
  <si>
    <t>9983965443</t>
  </si>
  <si>
    <t>9214419806</t>
  </si>
  <si>
    <t>dsassociates2016@gmail.com</t>
  </si>
  <si>
    <t>GPMPS2855J</t>
  </si>
  <si>
    <t>08GPMPS2855J1Z2</t>
  </si>
  <si>
    <t>Z21135</t>
  </si>
  <si>
    <t>Raipur</t>
  </si>
  <si>
    <t xml:space="preserve">R S Repossession agency </t>
  </si>
  <si>
    <t>Raghubir Singh Baghlal</t>
  </si>
  <si>
    <t>Shop No 236, Prograssive Point,Near Fruit Market,New Dhamtari Road Lalpur, Raipur, Chattisgarh-492001</t>
  </si>
  <si>
    <t>0771-4052777,7974096261</t>
  </si>
  <si>
    <t>rsrepossessionagency88@gmail.com</t>
  </si>
  <si>
    <t>AHCPB0442Q</t>
  </si>
  <si>
    <t>22AHCPB0442Q1ZP</t>
  </si>
  <si>
    <t>Z21525</t>
  </si>
  <si>
    <t>Jammu</t>
  </si>
  <si>
    <t xml:space="preserve">Collection Agency </t>
  </si>
  <si>
    <t>JK Corporate PVT LTD</t>
  </si>
  <si>
    <t>Ajay Kumar Gupta/ Shakuntla Gupta</t>
  </si>
  <si>
    <t>23/2, Trikuta Nagar, Jammu-180020</t>
  </si>
  <si>
    <t>0191-2470826</t>
  </si>
  <si>
    <t>0191-2470826,8082396895,9906134244</t>
  </si>
  <si>
    <t>9419185745</t>
  </si>
  <si>
    <t>ajaykgupta76@rediffmail.com;jkcs.krish@gmail.com</t>
  </si>
  <si>
    <t>jkcs.krish@gmail.com</t>
  </si>
  <si>
    <t>AACCJ6559L</t>
  </si>
  <si>
    <t>DECLARATION</t>
  </si>
  <si>
    <t>Z15099</t>
  </si>
  <si>
    <t>Excel Agencies</t>
  </si>
  <si>
    <t>Pawandeep Singh</t>
  </si>
  <si>
    <t>Pawandeep Singh / Pardeep Kumar/Prince Aneja/Sukhdev Chabbra/Tarandeep Singh</t>
  </si>
  <si>
    <t>0172-4605355,4605245,0181-4608882,0161-4648632</t>
  </si>
  <si>
    <t>0172-4605355,4605245,0181-4608882,0161-4648632,9914141900,6280449688,9872074864,9646689689,7087344321,7986600380,6239609030,9779282827,7888714695,0172-5090526</t>
  </si>
  <si>
    <t>9914141900,9988210298,9317575751</t>
  </si>
  <si>
    <t>;excelbat@yahoo.co.in; excelyes9@gmail.com;exceljal.yesbank@gmail.com;excel.yesbankchd@gmail.com ; excel.yesbank56@gmail.com; excel2019@excelagencies.com</t>
  </si>
  <si>
    <t>ANDPS3022N</t>
  </si>
  <si>
    <t>03ANDPS3022N1Z2</t>
  </si>
  <si>
    <t>Address addition details received on 16th Aug,Mohal add change req reced in Oct21.</t>
  </si>
  <si>
    <t>Z21689</t>
  </si>
  <si>
    <t>A R Group</t>
  </si>
  <si>
    <t>Babita Choudhary</t>
  </si>
  <si>
    <t>Babita Choudhary / Satyander Choudhary</t>
  </si>
  <si>
    <t>0144-2702001</t>
  </si>
  <si>
    <t>0144-2702001,7412999557,7230020762</t>
  </si>
  <si>
    <t>9828559459</t>
  </si>
  <si>
    <t>argroupalwar@gmail.com</t>
  </si>
  <si>
    <t>AMAPC4791J</t>
  </si>
  <si>
    <t>08AMAPC4791J1ZZ</t>
  </si>
  <si>
    <t>Panipat Location added on 27th Nov'23// Renewal agreement done 16th mar 26.</t>
  </si>
  <si>
    <t>Dehradun</t>
  </si>
  <si>
    <t>Elite Debt associates</t>
  </si>
  <si>
    <t>ELITEDEBT.ASSOCIATES@REDIFFMAIL.COM</t>
  </si>
  <si>
    <t>BAKPP7909J</t>
  </si>
  <si>
    <t>05BAKPP7909J2Z7</t>
  </si>
  <si>
    <t>Supplementary agreement done on 15th April '25</t>
  </si>
  <si>
    <t>Z23170</t>
  </si>
  <si>
    <t>Gurman Industries</t>
  </si>
  <si>
    <t>Sukhpreet Singh</t>
  </si>
  <si>
    <t>Sukhpreet Singh / Harpreet Singh / Umesh Sharma / Naveen Dua</t>
  </si>
  <si>
    <t>9999997206,8711888990,9650031357,9716677887</t>
  </si>
  <si>
    <t>9999997206,8711888990,9650031357,9716677887,9811104946,9717899267,9716364866,7065571204</t>
  </si>
  <si>
    <t>9999997206</t>
  </si>
  <si>
    <t>gurman.industry.srt@gmail.com ; sukhpreetsinghmalhotra@yahoo.com ; gurmanind@outlook.com</t>
  </si>
  <si>
    <t>AIFPM1682B</t>
  </si>
  <si>
    <t>07AIFPM1682B2ZI</t>
  </si>
  <si>
    <t>New Address for Autoloan product request received in Oct.</t>
  </si>
  <si>
    <t>Rohit Nijhawan</t>
  </si>
  <si>
    <t>Z22853</t>
  </si>
  <si>
    <t>G.D.M. Management Services PVT LTD</t>
  </si>
  <si>
    <t>Rajesh Kumar/Naresh Kumar</t>
  </si>
  <si>
    <t>011,40919715,9354909242,9315045873,7678326675,7827410614,8882896148,8595955476,8882818651,9315131930,8178036157,8851243856,7827429289,76783918128076508276,8882899467,8595956472,7678321553,7678308077,7678396018,8920038807,8368999916,8810592365,9315748638,7678324044,8882403961,8595954459,8076608859,8076534454,8920963073,8920038738</t>
  </si>
  <si>
    <t>011,40919715,9354909242,9315045873,7678326675,7827410614,8882896148,8595955476,8882818651,9315131930,8178036157,8851243856,7827429289,76783918128076508276,8882899467,8595956472,7678321553,7678308077,7678396018,8920038807,8368999916,8810592365,9315748638,7678324044,8882403961,8595954459,8076608859,8076534454,8920963073,8920038738,7292030107,9999098611,9891999980,7017538011,9810205430,9958686165,9266697828,9817875090,9671775656,9992202126,9050604254,9667169442,8851473697,7065315053,7065954659,7065963209,7065640923,8750131886,8750773816,8750273692,8750967594,8750172809,8750973013,8750537906,8750957629,8750900871,8588893713,8588842445,8588847253,8750177170,8750094542,7065502925,7065494502,7065936794,7065784203,7065675119,7065680813,7065334058,7065610331,8588845250,8588875903,8588891770,8588858236,8588876523,8588846304,7669627101,7669794829,7669591561,7669898316,7669794921,7669201607,7669818304,7669836846,7669803373,7669201593,7669614273,7669764163,7669794879,7669646432,7669516059,7669595815,7669616520,7669988972,7669886976,7669614267,7669573471,7669196176,7669827710,7669675347,7669614262,8929665273,8929110705,8929988714,8929447921,8929727441,8929925517,8929843241</t>
  </si>
  <si>
    <t>9896400088,9354909242</t>
  </si>
  <si>
    <t>goodwill_naresh@outlook.com ; gdmdebtmanagement@outlook.com</t>
  </si>
  <si>
    <t>AAHCG6535C</t>
  </si>
  <si>
    <t>06AAHCG6535C1ZT</t>
  </si>
  <si>
    <t>Addition address req received in Sept, Supplementary agreement done on 18th Sep'23</t>
  </si>
  <si>
    <t>Z23180</t>
  </si>
  <si>
    <t>Patna</t>
  </si>
  <si>
    <t>Microbe Banking Solution Limited MBSL</t>
  </si>
  <si>
    <t>Sampurnanand Singh</t>
  </si>
  <si>
    <t>Sampurnanand Singh / Brahmanand Singh</t>
  </si>
  <si>
    <t>Flat No. 12, Panchwati Apartment, Punaichak, Patna - 800 023</t>
  </si>
  <si>
    <t>0612-2545800</t>
  </si>
  <si>
    <t>0612-2545800,8709522938,9852067352,8102922982,9507005555</t>
  </si>
  <si>
    <t>9334774903,9771406555,9507005555,9771402111</t>
  </si>
  <si>
    <t>mbsloffice@gmail.com ; Mbslcoll2@gmail.com</t>
  </si>
  <si>
    <t>AAHCM7704K</t>
  </si>
  <si>
    <t>10AAHCM7704ZK1ZK</t>
  </si>
  <si>
    <t>Public</t>
  </si>
  <si>
    <t>New mail id updation req rcd on 23rd Aug21</t>
  </si>
  <si>
    <t>Subhasis Banerjee</t>
  </si>
  <si>
    <t>Z23039</t>
  </si>
  <si>
    <t>Delta Services</t>
  </si>
  <si>
    <t>Anil Sharma</t>
  </si>
  <si>
    <t>Anil Sharma / Paramjeet Singh</t>
  </si>
  <si>
    <t>9971153647,9810396799</t>
  </si>
  <si>
    <t>9971153647,8506080708,8802044516,7011216498,9210620005,8178669564,9896254268,9810396799,8287593410,9891919811,7303421524,9910937893,01143685208</t>
  </si>
  <si>
    <t>9810396799,8506080708</t>
  </si>
  <si>
    <t>himanshudeltaservices@gmail.com   ;   anilsharmaojas1@gmail.com</t>
  </si>
  <si>
    <t>BAUPS1949D</t>
  </si>
  <si>
    <t>07BAUPS1949D2Z7</t>
  </si>
  <si>
    <t>Z23173</t>
  </si>
  <si>
    <t>Infinity Services</t>
  </si>
  <si>
    <t>Ayesha Begam</t>
  </si>
  <si>
    <t>Varsha Vani/ Imran Charania / Mohd. Israr</t>
  </si>
  <si>
    <t>0771-6750525</t>
  </si>
  <si>
    <t>0771-6750525,9755513130,6263682918,9630294540,8839566523,9516003738</t>
  </si>
  <si>
    <t>8370066666,9755513130,8517992526,9669940300</t>
  </si>
  <si>
    <t>infinityservices@infiserve.com</t>
  </si>
  <si>
    <t>AUWPB2567M</t>
  </si>
  <si>
    <t>22AUWPB2567M2Z7</t>
  </si>
  <si>
    <t>UNION BANK OF INDIA</t>
  </si>
  <si>
    <t>Mail change req recd on Sept 21</t>
  </si>
  <si>
    <t>Abhijeet Kashid</t>
  </si>
  <si>
    <t>Z16778</t>
  </si>
  <si>
    <t>Ajmer</t>
  </si>
  <si>
    <t>F K Associates</t>
  </si>
  <si>
    <t>Farid Khan</t>
  </si>
  <si>
    <t>1St Floor Swami Complex, India Motor Circle Ajmer</t>
  </si>
  <si>
    <t>0145-2427748</t>
  </si>
  <si>
    <t>0145-2427748,7725943164,9928754482,8078644514,9829070500</t>
  </si>
  <si>
    <t>9829070500,John,Bill,maker-,9772888871</t>
  </si>
  <si>
    <t>fkassociate@yahoo.co.in; farid.khan.vendor@yesbank.in</t>
  </si>
  <si>
    <t>fkassociate788@gmail.com</t>
  </si>
  <si>
    <t>AFDPK6193C</t>
  </si>
  <si>
    <t>ST/AJM/AJM/301/BAS/2005</t>
  </si>
  <si>
    <t>08AFDPK6193C1ZI</t>
  </si>
  <si>
    <t>Z24038</t>
  </si>
  <si>
    <t>Jharkhand</t>
  </si>
  <si>
    <t>Ranchi</t>
  </si>
  <si>
    <t>Kuber Consultants</t>
  </si>
  <si>
    <t>Uday Kumar Batter</t>
  </si>
  <si>
    <t>Uday Kumar Batter/Aman Nagpal</t>
  </si>
  <si>
    <t>9.71121399311493E+29</t>
  </si>
  <si>
    <t>9711213993,1149385012</t>
  </si>
  <si>
    <t>udaybhatter@kuberconsultants.com;aman.nagpal@kuberconsultants.com</t>
  </si>
  <si>
    <t>AEQPB4106A</t>
  </si>
  <si>
    <t>07AEQPB4106A2Z4</t>
  </si>
  <si>
    <t>Z24039</t>
  </si>
  <si>
    <t>Jyotirmay Sasmal</t>
  </si>
  <si>
    <t>Jyotirmay Sasmal/Priti Mohapatra</t>
  </si>
  <si>
    <t>119/G, Sec - A, Zone - A, Mancheswar Industrial Estate Khordha, Odisha 751010</t>
  </si>
  <si>
    <t>9861200001  9090500000</t>
  </si>
  <si>
    <t>9861200001,9090535455</t>
  </si>
  <si>
    <t>9861200001</t>
  </si>
  <si>
    <t>jyotirmaysasmal@gmail.com;mpritiprakash@gmail.com</t>
  </si>
  <si>
    <t>BCIPS7898P</t>
  </si>
  <si>
    <t>21BCIPS7898P2ZG</t>
  </si>
  <si>
    <t>Z24041</t>
  </si>
  <si>
    <t>KRISHNAPRIYA CREDIT MANAGEMENT SERVICES (P) LTD</t>
  </si>
  <si>
    <t>Arneb Debashish Nanad / Sandeep Singh Negi</t>
  </si>
  <si>
    <t>Sandeep Singh Negi</t>
  </si>
  <si>
    <t>1143012829,9711772121</t>
  </si>
  <si>
    <t>1143012829,9711772121,8800234205,8799786652,8527237397,8586975614,9560665401,8802098998 , 7303919511</t>
  </si>
  <si>
    <t>9711772121,8010982083</t>
  </si>
  <si>
    <t>Rahul.arora@kpcmservices.com; kpcmservicesyes@gmail.com</t>
  </si>
  <si>
    <t>AABCD5960C</t>
  </si>
  <si>
    <t>AABCD5960CST001</t>
  </si>
  <si>
    <t>Mail id change req rec in Nov21 ,address change req received in 7th Dec 21.</t>
  </si>
  <si>
    <t>Z24042</t>
  </si>
  <si>
    <t>Oxford Management Services</t>
  </si>
  <si>
    <t>Sushant Sharma</t>
  </si>
  <si>
    <t>8375826872,8375800000</t>
  </si>
  <si>
    <t>8929260290/8929259886/ 8929037581/ 8929037581/892960290</t>
  </si>
  <si>
    <t>9953472139</t>
  </si>
  <si>
    <t>sushant.sharma@oxfords.co.in</t>
  </si>
  <si>
    <t>BRFPS0765K</t>
  </si>
  <si>
    <t>07BRFPS0765KIZD</t>
  </si>
  <si>
    <t>Contact# changed req recd in Oct21</t>
  </si>
  <si>
    <t>Z24482</t>
  </si>
  <si>
    <t>Shree Balaji</t>
  </si>
  <si>
    <t>Jitender Dhaiya</t>
  </si>
  <si>
    <t>9999999276</t>
  </si>
  <si>
    <t>info@shreebalaji276.in</t>
  </si>
  <si>
    <t xml:space="preserve">shreebalaji276@gmail.com </t>
  </si>
  <si>
    <t>AKWPD7176N</t>
  </si>
  <si>
    <t>07AKWPD7176N1Z9</t>
  </si>
  <si>
    <t>Add change req recd in May22</t>
  </si>
  <si>
    <t>Amit Sharma</t>
  </si>
  <si>
    <t>Z27277</t>
  </si>
  <si>
    <t>Goodluck Associate</t>
  </si>
  <si>
    <t>0172-3580181</t>
  </si>
  <si>
    <t>9041545500</t>
  </si>
  <si>
    <t>GOODLUCK65D@GMAIL.COM</t>
  </si>
  <si>
    <t>AUMPK5191L</t>
  </si>
  <si>
    <t>03AUMPK5191L2Z8</t>
  </si>
  <si>
    <t>Z24655</t>
  </si>
  <si>
    <t>Sanvi Financial Services</t>
  </si>
  <si>
    <t>Vikas Singh</t>
  </si>
  <si>
    <t>0141-6769222</t>
  </si>
  <si>
    <t>0141-6769222,8058005000</t>
  </si>
  <si>
    <t>8058005000</t>
  </si>
  <si>
    <t>Sanvifinancial@gmail.com</t>
  </si>
  <si>
    <t>vikassinsinwar7@gmail.com</t>
  </si>
  <si>
    <t>BSZPS0767C</t>
  </si>
  <si>
    <t>08BSZPS0767C1Z4</t>
  </si>
  <si>
    <t>Harshita Associates</t>
  </si>
  <si>
    <t>hassociates123@gmail.com</t>
  </si>
  <si>
    <t>AAFFH4869P</t>
  </si>
  <si>
    <t>08AAFFH4869P1ZK</t>
  </si>
  <si>
    <t>Addition for collection product on  22 Jan 26</t>
  </si>
  <si>
    <t>Vivek Joshi</t>
  </si>
  <si>
    <t>Z26560</t>
  </si>
  <si>
    <t>Udaipur</t>
  </si>
  <si>
    <t>Ishaan Associates</t>
  </si>
  <si>
    <t>Mayank Mohale</t>
  </si>
  <si>
    <t>9950460462</t>
  </si>
  <si>
    <t>9828606335,9950460462</t>
  </si>
  <si>
    <t>ishaanassociates2@gmail.com</t>
  </si>
  <si>
    <t>mayankmohale@gmail.com</t>
  </si>
  <si>
    <t>ANVPM4297R</t>
  </si>
  <si>
    <t>08ANVPM4297R1ZL</t>
  </si>
  <si>
    <t>Kalpesh Raval</t>
  </si>
  <si>
    <t>Z25150</t>
  </si>
  <si>
    <t>Waves Enterprises</t>
  </si>
  <si>
    <t>Manoj Yadav</t>
  </si>
  <si>
    <t>011-47023640</t>
  </si>
  <si>
    <t>011-47023640,9999903905,9711113620,8920436110,9873164375,8588855126</t>
  </si>
  <si>
    <t>9891441212</t>
  </si>
  <si>
    <t>waves.enterprises0@gmail.com</t>
  </si>
  <si>
    <t>Waves.Manoj14@Gmail.com ;  Waves.Enterprises0@Gmail.com</t>
  </si>
  <si>
    <t>AAPPY7450D</t>
  </si>
  <si>
    <t>07AAPPY7450D1Z8</t>
  </si>
  <si>
    <t>Z25246</t>
  </si>
  <si>
    <t>Earth Services</t>
  </si>
  <si>
    <t>Subhash Chand</t>
  </si>
  <si>
    <t>01149148479</t>
  </si>
  <si>
    <t>01149148479,7303542742,9210171819,9911632358,9717706206,9871666049,9560827618,9953547789</t>
  </si>
  <si>
    <t>9711567008</t>
  </si>
  <si>
    <t>earth4@earthservices.in</t>
  </si>
  <si>
    <t>earthservices17@gmail.com</t>
  </si>
  <si>
    <t>AEGPC6483B</t>
  </si>
  <si>
    <t>07AEGPC6483BSD001</t>
  </si>
  <si>
    <t>07AEGPC6483B2ZR</t>
  </si>
  <si>
    <t>Repo activity added in May22</t>
  </si>
  <si>
    <t>Z25298</t>
  </si>
  <si>
    <t xml:space="preserve">Rohtak </t>
  </si>
  <si>
    <t>Shri Ram Fin Corp</t>
  </si>
  <si>
    <t xml:space="preserve">Joginder Singh </t>
  </si>
  <si>
    <t>9215840709</t>
  </si>
  <si>
    <t>9215840709,01262-251442</t>
  </si>
  <si>
    <t>Joginder.Sfc@Gmail.Com</t>
  </si>
  <si>
    <t>Na</t>
  </si>
  <si>
    <t>CIEPS0065F</t>
  </si>
  <si>
    <t>06CIEPS0065F2ZE</t>
  </si>
  <si>
    <t>J K ASSOCIATE</t>
  </si>
  <si>
    <t>jk.associate2024@gmail.com</t>
  </si>
  <si>
    <t>kol.collection@jkassociate.co.in</t>
  </si>
  <si>
    <t>AAUFJ1133F</t>
  </si>
  <si>
    <t>19AAUFJ1133F1ZA</t>
  </si>
  <si>
    <t>New Repossession project</t>
  </si>
  <si>
    <t>JBMS ASSOCIATES</t>
  </si>
  <si>
    <t>jbmsassociates@gmail.com</t>
  </si>
  <si>
    <t>BHPPA4526G</t>
  </si>
  <si>
    <t>07BHPPA4526G1ZG</t>
  </si>
  <si>
    <t>Z25522</t>
  </si>
  <si>
    <t>Agra</t>
  </si>
  <si>
    <t>Global Financial Consultant</t>
  </si>
  <si>
    <t>Dhiraj Kumar Jain</t>
  </si>
  <si>
    <t>0562-4000668</t>
  </si>
  <si>
    <t>0562-4000668,9758966661,9837103889,9568425247</t>
  </si>
  <si>
    <t>9837349502</t>
  </si>
  <si>
    <t>GLOBALAGRA@GMAIL.COM</t>
  </si>
  <si>
    <t>DHK_AGRA@YAHOO.COM</t>
  </si>
  <si>
    <t>ADAPJ0616J</t>
  </si>
  <si>
    <t>09ADAPJ0616J1ZT</t>
  </si>
  <si>
    <t>SERVICE PROVIDER</t>
  </si>
  <si>
    <t>UTTAR PREDESH 09</t>
  </si>
  <si>
    <t>Jmd Associates</t>
  </si>
  <si>
    <t>arun.gupta22041983@gmail.com</t>
  </si>
  <si>
    <t>AQSPG4215B</t>
  </si>
  <si>
    <t>09AQSPG4215B1Z1</t>
  </si>
  <si>
    <t>Z26005</t>
  </si>
  <si>
    <t>REL Connect LLP</t>
  </si>
  <si>
    <t>Manish Kumar Sharma</t>
  </si>
  <si>
    <t>9999962861</t>
  </si>
  <si>
    <t>8506057032,8929224467,7838683332,9897957968,9149007389,7270846672,9871597243,9540719495,9953212624,9711262353,7838138710,9205579125,7895524554,7500002690,8287211138,9999962861</t>
  </si>
  <si>
    <t>manish@reliconnect.com;collection3@reliconnect.co.in</t>
  </si>
  <si>
    <t>ABCFR6627H</t>
  </si>
  <si>
    <t>09ABCFR6627HIZY</t>
  </si>
  <si>
    <t>Other Financial Services</t>
  </si>
  <si>
    <t>RATNAKAR BANK LIMITED</t>
  </si>
  <si>
    <t>Z20373</t>
  </si>
  <si>
    <t>Spark Enterprises</t>
  </si>
  <si>
    <t>Jivesh Thakur</t>
  </si>
  <si>
    <t>Ab Chamber No-301, Sco 21-25, 3Rd Floor, Sector 70, Mattour, Mohali</t>
  </si>
  <si>
    <t>9988113222</t>
  </si>
  <si>
    <t>9988113222,9217764402</t>
  </si>
  <si>
    <t>Info3@sparkdsmg.com</t>
  </si>
  <si>
    <t>NA </t>
  </si>
  <si>
    <t>AERPT9809D</t>
  </si>
  <si>
    <t>03AERPT9809D1Z4</t>
  </si>
  <si>
    <t>Vendor empanelled in credit card,Supplimental agrrement initiated for Retail activity</t>
  </si>
  <si>
    <t>Z25738</t>
  </si>
  <si>
    <t>Jalandhar</t>
  </si>
  <si>
    <t>Resolution Achievers</t>
  </si>
  <si>
    <t>Puneet Kumar</t>
  </si>
  <si>
    <t>0181-5012803,0181-5092369</t>
  </si>
  <si>
    <t>0181-5012803,0181-3564888,0181-5092369</t>
  </si>
  <si>
    <t>9888277220</t>
  </si>
  <si>
    <t>ib@resolutionachievers.com</t>
  </si>
  <si>
    <t>puneet.kumar9972@gmail.com</t>
  </si>
  <si>
    <t>AKPPK6137M</t>
  </si>
  <si>
    <t>03AKPPK6137M1ZS</t>
  </si>
  <si>
    <t>Z21820</t>
  </si>
  <si>
    <t>Kalyani Associate</t>
  </si>
  <si>
    <t>Partha Sarthy Chatterjee</t>
  </si>
  <si>
    <t>Partha Sarthy Chatterjee / Satish Kumar</t>
  </si>
  <si>
    <t>1St Floor Flat No-1/D, Jyoti Apartment , Road No- 2 ,Contractors Area ,Bistupur,Jamshedpur- 831001</t>
  </si>
  <si>
    <t>8405900000,9204628789</t>
  </si>
  <si>
    <t>7903493400 6205830880</t>
  </si>
  <si>
    <t>7491016471</t>
  </si>
  <si>
    <t xml:space="preserve">kalyaniassociates.jsr@gmail.com ; shubhankar.kalyaniassociates@gmail.com; kalyani.billing@gmail.com; kalyani.ybwoff@gmail.com; kalyaniassociates.jsr20@gmail.com; kalyani.ybmore@gmail.com; </t>
  </si>
  <si>
    <t>kalyaniyesbank.patna@gmail.com</t>
  </si>
  <si>
    <t>ACMPC9882G</t>
  </si>
  <si>
    <t>20ACMPC9882G2ZI</t>
  </si>
  <si>
    <t>Z25979</t>
  </si>
  <si>
    <t>Saharanpur</t>
  </si>
  <si>
    <t>Goldline Solutions pvt ltd</t>
  </si>
  <si>
    <t>Sandeep Saini &amp; Girish Kher</t>
  </si>
  <si>
    <t>Kamal Kishore</t>
  </si>
  <si>
    <t>7/98, 99 Gau Shala Road, Mubarak Shah, Near Punjabi Gurudwara, Saharanpur(Uttar Pradesh) Pin:- 247001</t>
  </si>
  <si>
    <t>9719790000</t>
  </si>
  <si>
    <t>9719790000,6398431149,8394088088,7088564465</t>
  </si>
  <si>
    <t>9719560009</t>
  </si>
  <si>
    <t>GLS.YESBANK@GOLDLINE.NET.IN ; gls.help@goldline.net.in</t>
  </si>
  <si>
    <t>GLS.OWNERS@GOLDLINE.NET.IN</t>
  </si>
  <si>
    <t>AAGCG8454P</t>
  </si>
  <si>
    <t>09AAGCG8454P1ZR</t>
  </si>
  <si>
    <t>Z26085</t>
  </si>
  <si>
    <t>Meerut Collection Centre</t>
  </si>
  <si>
    <t>Kalwa Khan Tyagi</t>
  </si>
  <si>
    <t>17/8 Shastri Nagar Meerut Uttar Pradesh- 250004</t>
  </si>
  <si>
    <t>9719020130</t>
  </si>
  <si>
    <t>9719020130,8477874056,8445350022</t>
  </si>
  <si>
    <t>MCC.YES@REDIFFMAIL.COM;meerutcollectioncenter@rediffmail.com</t>
  </si>
  <si>
    <t>KKTYAGI786@REDIFFMAIL.COM</t>
  </si>
  <si>
    <t>ACGPT1366G</t>
  </si>
  <si>
    <t>09ACGPT1366G3ZB</t>
  </si>
  <si>
    <t>Z27852</t>
  </si>
  <si>
    <t>KK Associates</t>
  </si>
  <si>
    <t>9838693930</t>
  </si>
  <si>
    <t>KKVERMA2008@GMAIL.COM; kkassociate2002@gmail.com</t>
  </si>
  <si>
    <t>ACEPV6796J</t>
  </si>
  <si>
    <t>09ACPPV6796J1ZM</t>
  </si>
  <si>
    <t>Z16682</t>
  </si>
  <si>
    <t>Esolve solutions PVT LTD</t>
  </si>
  <si>
    <t>Rajesh Gupta</t>
  </si>
  <si>
    <t>1/1 Meredith St, 2Nd Floor, Kolkata - 700072</t>
  </si>
  <si>
    <t>9830006161</t>
  </si>
  <si>
    <t>9830006161,9830553705,7003487878,7003048731, 9674081075 , 6291926035</t>
  </si>
  <si>
    <t>collections.yesbank@e-solvesolutions.com</t>
  </si>
  <si>
    <t>AABCE8294Q</t>
  </si>
  <si>
    <t>19AABCE8294Q1ZP</t>
  </si>
  <si>
    <t>Repo activity added</t>
  </si>
  <si>
    <t>Z28444</t>
  </si>
  <si>
    <t>Krishna associates</t>
  </si>
  <si>
    <t>9984073156</t>
  </si>
  <si>
    <t>krishnaverma156@gmail.com  ; y.backend@krishnaaassociates.in</t>
  </si>
  <si>
    <t>AHKPV7943E</t>
  </si>
  <si>
    <t>09AHKPV7943E2ZP</t>
  </si>
  <si>
    <t>Z26956</t>
  </si>
  <si>
    <t>Total Solutions</t>
  </si>
  <si>
    <t>Ruchi Bhansal</t>
  </si>
  <si>
    <t>Sanjay Bhansal</t>
  </si>
  <si>
    <t>Office No. 3, 3Rd Floor, Cantre Court Building, 3/C, 5, Park Road, Lucknow  -226001</t>
  </si>
  <si>
    <t>9839222633</t>
  </si>
  <si>
    <t>backoffice@totalsolutionsmail.com; sbansal@totalsolutionsmail.com</t>
  </si>
  <si>
    <t>AEYPB0349D</t>
  </si>
  <si>
    <t>09AEYPB0349D2ZH</t>
  </si>
  <si>
    <t>TBH</t>
  </si>
  <si>
    <t>Z27140</t>
  </si>
  <si>
    <t>Pipli</t>
  </si>
  <si>
    <t>TOMAR AUTO RECOVERY</t>
  </si>
  <si>
    <t>8199800422</t>
  </si>
  <si>
    <t>8199800422,8295173970</t>
  </si>
  <si>
    <t>8222800422</t>
  </si>
  <si>
    <t>TOMARAUTORECOVERY@GMAIL.COM</t>
  </si>
  <si>
    <t>TOMARSONU484@GMAIL.COM</t>
  </si>
  <si>
    <t>AOAPV2666P</t>
  </si>
  <si>
    <t>06AOAPV2666P2Z9</t>
  </si>
  <si>
    <t>Z17169</t>
  </si>
  <si>
    <t>Mandha Associates</t>
  </si>
  <si>
    <t>Shakti Singh Shekhawat</t>
  </si>
  <si>
    <t>F-2, Trupti Tower, Khatipura Mode, Jaipur</t>
  </si>
  <si>
    <t>9829011749</t>
  </si>
  <si>
    <t>9829011749,9782177601</t>
  </si>
  <si>
    <t>mandhaone@yahoo.com</t>
  </si>
  <si>
    <t>AVNPS1081K</t>
  </si>
  <si>
    <t>07AARPK9631N1ZW</t>
  </si>
  <si>
    <t>Z23605</t>
  </si>
  <si>
    <t>Meena Associate</t>
  </si>
  <si>
    <t>Manju Meena</t>
  </si>
  <si>
    <t>9 Meera Nagar, Behind Transport Nagar, Pratap Nagar, Girwa Udaipur-313001</t>
  </si>
  <si>
    <t>9826462113</t>
  </si>
  <si>
    <t>9685800000</t>
  </si>
  <si>
    <t>hemraj_meena747@yahoo.com</t>
  </si>
  <si>
    <t>DAVPM2331C</t>
  </si>
  <si>
    <t>08DAVPM2331C1ZP</t>
  </si>
  <si>
    <t>Supplementary done on 23rd july 25</t>
  </si>
  <si>
    <t>MM ASSOCIATES</t>
  </si>
  <si>
    <t>Mohd Muslim</t>
  </si>
  <si>
    <t>7755072472 , 7985072472</t>
  </si>
  <si>
    <t>mmassociates0786@gmail.com</t>
  </si>
  <si>
    <t>EHNPM8295M</t>
  </si>
  <si>
    <t>09EHNPM8295M1Z4</t>
  </si>
  <si>
    <t>Z27603</t>
  </si>
  <si>
    <t>ROHAN ENTERPRISES</t>
  </si>
  <si>
    <t>9205140340</t>
  </si>
  <si>
    <t>9289475030</t>
  </si>
  <si>
    <t>rohanenterprises14@gmail.com; collection@rohanenterprises.co.in</t>
  </si>
  <si>
    <t>rohanenterprises793@gmail.com</t>
  </si>
  <si>
    <t>ACXPB9905G</t>
  </si>
  <si>
    <t>ACXPB9905GSD001</t>
  </si>
  <si>
    <t>07ACXPB9905G1Z9</t>
  </si>
  <si>
    <t>MS RIDHI SIDHI ASSOCIATES</t>
  </si>
  <si>
    <t>Mr. Piyush Agarwal</t>
  </si>
  <si>
    <t>G-2/H-125 Mangalam City Vistar H Block Kalwar Road  Jaipur 302012</t>
  </si>
  <si>
    <t>rsa7414012@gmail.com</t>
  </si>
  <si>
    <t>DDMPA8744M</t>
  </si>
  <si>
    <t>08DDMPA8744M2ZX</t>
  </si>
  <si>
    <t>Z15095</t>
  </si>
  <si>
    <t>Regal Solutions</t>
  </si>
  <si>
    <t>Samar Vir Singh</t>
  </si>
  <si>
    <t>9780437280</t>
  </si>
  <si>
    <t>regal.solutions80@gmail.com; Bestservices.ypl@regalsolutions.co.in</t>
  </si>
  <si>
    <t>regal.solutions80@gmail.com</t>
  </si>
  <si>
    <t>BLFPS0655G</t>
  </si>
  <si>
    <t>03BLFPS0655G1Z9</t>
  </si>
  <si>
    <t>Supplementary agreeement done for Retail collectons on 24th Nov-22</t>
  </si>
  <si>
    <t>Assam</t>
  </si>
  <si>
    <t>Guwahati</t>
  </si>
  <si>
    <t>NAMANSHEE ASSOCIATES</t>
  </si>
  <si>
    <t>ritupankalita1987@gmail.com</t>
  </si>
  <si>
    <t>BAXPK0621B</t>
  </si>
  <si>
    <t>18BAXPK0621B1ZV</t>
  </si>
  <si>
    <t>Z28509</t>
  </si>
  <si>
    <t>Raj Management</t>
  </si>
  <si>
    <t>8809666397</t>
  </si>
  <si>
    <t xml:space="preserve">8809666397 ,  7482813023 , 7739960062 </t>
  </si>
  <si>
    <t>prabhakar.rajmanagement@gmail.com; prabhakar.mishra0197@gmail.com; rajmanagement06@gmail.com ; raj@rajmanagement.net.in</t>
  </si>
  <si>
    <t>CTAPM1853Q</t>
  </si>
  <si>
    <t>10CTAPM1853Q2ZK</t>
  </si>
  <si>
    <t>There was no allocation for 3 months, Hence de-activated only for Collections, however agency Active in Credit Cards</t>
  </si>
  <si>
    <t xml:space="preserve">Agency marked as active since approval recived for re-engageent of agency from BU head. </t>
  </si>
  <si>
    <t>Z28071</t>
  </si>
  <si>
    <t>Evergreen Solution</t>
  </si>
  <si>
    <t>Anand Ballabh Pandey</t>
  </si>
  <si>
    <t>B-228 Nehru Colony Dehradun-248001</t>
  </si>
  <si>
    <t>7895100604</t>
  </si>
  <si>
    <t>9358950033</t>
  </si>
  <si>
    <t>evergreen.solution@rediffmail.com; anand.pandey@evergreensolution.org.in</t>
  </si>
  <si>
    <t>evergreensolutionybl@gmail.com</t>
  </si>
  <si>
    <t>BAKPP7912B</t>
  </si>
  <si>
    <t>05BAKPP7912B1ZU</t>
  </si>
  <si>
    <t>Z28376</t>
  </si>
  <si>
    <t>Midnapore</t>
  </si>
  <si>
    <t>Wayout Solutions</t>
  </si>
  <si>
    <t>3222261111,03222351877</t>
  </si>
  <si>
    <t>3222261111,03222351877,03222-261666</t>
  </si>
  <si>
    <t>9933942684</t>
  </si>
  <si>
    <t>info@wayoutsolutions.in; wayout.midnapore@gmail.com</t>
  </si>
  <si>
    <t>ETYPD0713A</t>
  </si>
  <si>
    <t>19ETYPD0713A1ZU</t>
  </si>
  <si>
    <t>Jamshedpur</t>
  </si>
  <si>
    <t>Sai Enterprises</t>
  </si>
  <si>
    <t>9110166707</t>
  </si>
  <si>
    <t>9110166707 ; 8291720550</t>
  </si>
  <si>
    <t xml:space="preserve">saienterprisesyb@saient.co.in </t>
  </si>
  <si>
    <t>CRXPK1279H</t>
  </si>
  <si>
    <t>20CRXPK1279H1ZI</t>
  </si>
  <si>
    <t>Z15652</t>
  </si>
  <si>
    <t>Pashupati Associates</t>
  </si>
  <si>
    <t>Jitender Singh</t>
  </si>
  <si>
    <t>112/, Tagore Villa, Near Charak Pathology, Dehradun - 248001</t>
  </si>
  <si>
    <t>9897297728</t>
  </si>
  <si>
    <t>9897297728,9791391577,9927106640</t>
  </si>
  <si>
    <t>pashupatichicky76@gmail.com</t>
  </si>
  <si>
    <t>BAQPS7208P</t>
  </si>
  <si>
    <t>75 ST PA BAS RSTDDN 09-10</t>
  </si>
  <si>
    <t>05BAQPS7208P1ZV</t>
  </si>
  <si>
    <t>CHANDAN SAHA</t>
  </si>
  <si>
    <t>9748631964,9830252232</t>
  </si>
  <si>
    <t>9748631964,9830252232,8420986890,8585836534</t>
  </si>
  <si>
    <t>mcs@chandansaha.com</t>
  </si>
  <si>
    <t>BMGPS0314G</t>
  </si>
  <si>
    <t>19BMGPS0314G2Z4</t>
  </si>
  <si>
    <t>ABA</t>
  </si>
  <si>
    <t>8638990389,7002339398</t>
  </si>
  <si>
    <t>aba.guwahati002@gmail.com, northeast@abaguwahati.Co.in</t>
  </si>
  <si>
    <t>AXUPB5259R</t>
  </si>
  <si>
    <t>18AXUPB5259R1ZG</t>
  </si>
  <si>
    <t>Md Shabbir Alam</t>
  </si>
  <si>
    <t>Hisar</t>
  </si>
  <si>
    <t>POONIA ASSOCIATES</t>
  </si>
  <si>
    <t>accounts@pooniaassociates.com</t>
  </si>
  <si>
    <t>AICPI7458L</t>
  </si>
  <si>
    <t>064AICPI 7458LZ</t>
  </si>
  <si>
    <t>Company</t>
  </si>
  <si>
    <t>Z18688</t>
  </si>
  <si>
    <t>Jodhpur</t>
  </si>
  <si>
    <t>Yash Enterprises Rajasthan</t>
  </si>
  <si>
    <t>Uttam Rajpurohit</t>
  </si>
  <si>
    <t>9828124207 , 918379933053 ,8605719722 , 9923190156</t>
  </si>
  <si>
    <t>yashenterprises207@gmail.com ; puneyash@yashenterprisesgroup.com</t>
  </si>
  <si>
    <t>AKDPR6774R</t>
  </si>
  <si>
    <t>08AKDPR6774R1Z2</t>
  </si>
  <si>
    <t>Supplementary agreement done in Oct'23</t>
  </si>
  <si>
    <t>Nitesh Jain</t>
  </si>
  <si>
    <t>Paradigm Nine Inc</t>
  </si>
  <si>
    <t>9899567279</t>
  </si>
  <si>
    <t>9899567279 ; 9289072821</t>
  </si>
  <si>
    <t>PARADIGM9INC@GMAIL.COM; SHORI.S@GMAIL.COM; Paradigm.yesbank@gmail.com</t>
  </si>
  <si>
    <t>ARAPS6449N</t>
  </si>
  <si>
    <t>07ARAPS6449N2Z3</t>
  </si>
  <si>
    <t>SUNSHINE CREDIT SERVICES</t>
  </si>
  <si>
    <t>9830093218</t>
  </si>
  <si>
    <t>sunshinecollxn@yahoo.co.in,sunshinecollxn@yahoo.co.in</t>
  </si>
  <si>
    <t>ACHPN9252A</t>
  </si>
  <si>
    <t>Meerut</t>
  </si>
  <si>
    <t>RADHA KRISHN ASSOCIATES</t>
  </si>
  <si>
    <t>rk.hdagra@gmail.com,rk.hdagra@gmail.com</t>
  </si>
  <si>
    <t>rk.hdagra@gmail.com</t>
  </si>
  <si>
    <t>BFBPS1432K</t>
  </si>
  <si>
    <t>09BFBPS1432K2ZB</t>
  </si>
  <si>
    <t>Z16683</t>
  </si>
  <si>
    <t>FUSION FINANCIER</t>
  </si>
  <si>
    <t>9831011333,9830764627</t>
  </si>
  <si>
    <t>fusion_financier@yahoo.com</t>
  </si>
  <si>
    <t>ACNPC6685N</t>
  </si>
  <si>
    <t>Supplementary agreement done in Mar'24</t>
  </si>
  <si>
    <t>RAM ASSOCIATES</t>
  </si>
  <si>
    <t>Vandana Sankhala</t>
  </si>
  <si>
    <t>8952806560/ 02913153899</t>
  </si>
  <si>
    <t>ramassociates79@gmail.com</t>
  </si>
  <si>
    <t>DEUPS2182L</t>
  </si>
  <si>
    <t>081ZOPS8605A1ZX</t>
  </si>
  <si>
    <t>SMART BUSINESS SUPPORT SERVICES</t>
  </si>
  <si>
    <t>sbssgkp2017@gmail.com</t>
  </si>
  <si>
    <t>ASDPG5375M</t>
  </si>
  <si>
    <t>09ASDPG5375M1ZA</t>
  </si>
  <si>
    <t>CITI ENTERPRISES</t>
  </si>
  <si>
    <t xml:space="preserve">	
Dinesh.midha@citibesteam.com</t>
  </si>
  <si>
    <t>ACBPM4580E</t>
  </si>
  <si>
    <t>04ACBPM4580E1ZX</t>
  </si>
  <si>
    <t>Supplementary agreement done in Sept'24,Supplementary agreement done in March'25</t>
  </si>
  <si>
    <t>Credit Solution</t>
  </si>
  <si>
    <t>9836363123 , 7449756305</t>
  </si>
  <si>
    <t>CREDITSOLUTIONKOLKATA@GMAIL.COM ;  debtreco@cesolution.co.in</t>
  </si>
  <si>
    <t>AXAPS5363D</t>
  </si>
  <si>
    <t>19AXAPS5363D2ZC</t>
  </si>
  <si>
    <t>Supplementary agreement done in Sept'24 // Addition of Bkt 3&amp;4 for PL,BL</t>
  </si>
  <si>
    <t>Allahabad</t>
  </si>
  <si>
    <t>GLOBAL SERVICES</t>
  </si>
  <si>
    <t>globalservices.ald@gmail.com</t>
  </si>
  <si>
    <t>DGHPS4102K</t>
  </si>
  <si>
    <t>09DGHPS4102K1Z5</t>
  </si>
  <si>
    <t>RAMA ASSOCIATES</t>
  </si>
  <si>
    <t>rama.associates99@gmail.com</t>
  </si>
  <si>
    <t>BEOPP9491M</t>
  </si>
  <si>
    <t>07BEOPP9491M1ZD</t>
  </si>
  <si>
    <t>AXIS BANK LTD</t>
  </si>
  <si>
    <t>RAMAWAT ASSOCIATES</t>
  </si>
  <si>
    <t>ramawatassociates22@gmail.com</t>
  </si>
  <si>
    <t>ASLPV5385Q</t>
  </si>
  <si>
    <t>08ASLPV5385Q2ZE</t>
  </si>
  <si>
    <t>Z15420</t>
  </si>
  <si>
    <t>Rathore Associate</t>
  </si>
  <si>
    <t>Bhanu Pratap Singh</t>
  </si>
  <si>
    <t>102-109, Achleshwar Mahadev Complex, Opp Old Campus, Jodhpur - 342001</t>
  </si>
  <si>
    <t>0291-2511481</t>
  </si>
  <si>
    <t>0291-2511481,9785097736,9414195456</t>
  </si>
  <si>
    <t>9928070847</t>
  </si>
  <si>
    <t>rathoreassociates05@gmail.com;rathoreassociates01@gmail.com</t>
  </si>
  <si>
    <t>BCPPS7662J</t>
  </si>
  <si>
    <t>BCPPS7662JSD001</t>
  </si>
  <si>
    <t>08BCPPS7662J1ZO</t>
  </si>
  <si>
    <t>004185800003532</t>
  </si>
  <si>
    <t>Z14975</t>
  </si>
  <si>
    <t>Rawla Associates</t>
  </si>
  <si>
    <t>Anil Kumar</t>
  </si>
  <si>
    <t>F-31, Das &amp; Yadav Complex, Panchwati Circle, Rajapark Jaipur - 302004</t>
  </si>
  <si>
    <t>0141-4005364</t>
  </si>
  <si>
    <t>0141-4005364,8233349262,9982243330,9782724381,7878382616,8955697880,9664150546,7690881270,8209937740,9462102022,9024993400,9828806080</t>
  </si>
  <si>
    <t>9828153465</t>
  </si>
  <si>
    <t>rawla.associates@gmail.com</t>
  </si>
  <si>
    <t>rawla.associates02@gmail.com</t>
  </si>
  <si>
    <t>AMAPK3373J</t>
  </si>
  <si>
    <t>AMAPK3373JST001</t>
  </si>
  <si>
    <t>08AMAPK3373J1ZZ</t>
  </si>
  <si>
    <t>AA080417022768X</t>
  </si>
  <si>
    <t>071285800000184</t>
  </si>
  <si>
    <t>RK ASSOCIATES</t>
  </si>
  <si>
    <t>contact@rkassociatesmbd.com</t>
  </si>
  <si>
    <t>BKQPP9397E</t>
  </si>
  <si>
    <t>09BKQPP9397E1Z6</t>
  </si>
  <si>
    <t>Royal Finance Associates</t>
  </si>
  <si>
    <t>royalfinanceassociates@gmail.com</t>
  </si>
  <si>
    <t>GQSPS8565N</t>
  </si>
  <si>
    <t>03GQSPS8565N1ZL</t>
  </si>
  <si>
    <t>Renewal done on 10th sep 25</t>
  </si>
  <si>
    <t>Uttarakhand</t>
  </si>
  <si>
    <t>Haridwar</t>
  </si>
  <si>
    <t>SAI ASSOCIATES</t>
  </si>
  <si>
    <t>SHARMAMILAN38@GMAIL.COM</t>
  </si>
  <si>
    <t>ENHPH5707Q</t>
  </si>
  <si>
    <t>05ENHPH5707Q1Z8</t>
  </si>
  <si>
    <t>GURSEERAT LEGAL MANAGEMENT SERVICE</t>
  </si>
  <si>
    <t>Gurseerat.yesbank@gmail.com</t>
  </si>
  <si>
    <t>CBMPS3176E</t>
  </si>
  <si>
    <t>07CBMPS3176E1ZC</t>
  </si>
  <si>
    <t>Z29089</t>
  </si>
  <si>
    <t>SAINI ASSOCIATES</t>
  </si>
  <si>
    <t>9988844687</t>
  </si>
  <si>
    <t>Infoyes@sainiassociates.co.in</t>
  </si>
  <si>
    <t>DXFPS6286F</t>
  </si>
  <si>
    <t>03DXFPS6286F3Z4</t>
  </si>
  <si>
    <t>Pawan Rana</t>
  </si>
  <si>
    <t>GATTU BROTHERS</t>
  </si>
  <si>
    <t>BHUPENDRAYADAV.522@GMAIL.COM</t>
  </si>
  <si>
    <t>GSZPS9749M</t>
  </si>
  <si>
    <t>09GSZPS9749M1ZW</t>
  </si>
  <si>
    <t>AMBITIOUS ENTERPRISES</t>
  </si>
  <si>
    <t>ambitiousenterprises5@gmail.com,ambitiousenterprises2@gmail.com</t>
  </si>
  <si>
    <t>CHNPJ3651C</t>
  </si>
  <si>
    <t>07CHNPJ3651C1ZG</t>
  </si>
  <si>
    <t>AU SMALL FINANCE BANK</t>
  </si>
  <si>
    <t>ANSH ENTERPRISES</t>
  </si>
  <si>
    <t>info@anshenterprise.co.in</t>
  </si>
  <si>
    <t>CJSPD0387A</t>
  </si>
  <si>
    <t>09CJSPD0387A2Z8</t>
  </si>
  <si>
    <t>Bihar</t>
  </si>
  <si>
    <t>VISHNU REPOSSESSION AGENCY</t>
  </si>
  <si>
    <t>KUMAR.VISHNUREPO@GMAIL.COM</t>
  </si>
  <si>
    <t>ASPPK8818H</t>
  </si>
  <si>
    <t>10ASPPK8818H3ZI</t>
  </si>
  <si>
    <t>G S SERVICES</t>
  </si>
  <si>
    <t>gsservices8879@gmail.com</t>
  </si>
  <si>
    <t>CSVPD1337A</t>
  </si>
  <si>
    <t>20CSVPD1337A1ZC</t>
  </si>
  <si>
    <t>KOTAK MAHINDRA BANK LIMITED</t>
  </si>
  <si>
    <t>DEFINATE SOLUTIONS</t>
  </si>
  <si>
    <t>definatesolutions.rnc@gmail.com ;  dsy.rnc@gmail.com</t>
  </si>
  <si>
    <t>AUSPD7846D</t>
  </si>
  <si>
    <t>20AUSPD7846D1ZP</t>
  </si>
  <si>
    <t>SHRI GANESH ENTERPRISES</t>
  </si>
  <si>
    <t>shriganeshenterprises.sam@gmail.com; Sge@shriganeshenterprisesyes.ind.in</t>
  </si>
  <si>
    <t>ASWPC7236L</t>
  </si>
  <si>
    <t>04ASWPC7236L128</t>
  </si>
  <si>
    <t>Varanasi</t>
  </si>
  <si>
    <t>AKHAND MOTORS</t>
  </si>
  <si>
    <t>akhandmotors80@gmail.com</t>
  </si>
  <si>
    <t>LYXPS0898G</t>
  </si>
  <si>
    <t>09LYXPS0898G1Z2</t>
  </si>
  <si>
    <t>Z28858</t>
  </si>
  <si>
    <t>Amritsar</t>
  </si>
  <si>
    <t>SANJEEV MAHAJAN AND ASSOCIATES</t>
  </si>
  <si>
    <t>9779786900</t>
  </si>
  <si>
    <t>sanji_31@hotmail.com</t>
  </si>
  <si>
    <t>EPNPM7376K</t>
  </si>
  <si>
    <t>03EPNPM7376K1Z7</t>
  </si>
  <si>
    <t>Supplementary agreement done in May'24</t>
  </si>
  <si>
    <t>JSR CONSULTANT</t>
  </si>
  <si>
    <t>Sohanlal@jsrconsultant.com; jsrconsultanty@gmail.com</t>
  </si>
  <si>
    <t>BYGPD4089K</t>
  </si>
  <si>
    <t>07BYGPD4089K1Z4</t>
  </si>
  <si>
    <t>Z24436</t>
  </si>
  <si>
    <t>SHREE KRISHNA ASSOCIATES</t>
  </si>
  <si>
    <t>202, Nanda Chambers, Opp. B N College, Udaipur (Raj.) 313001</t>
  </si>
  <si>
    <t>0294-2419266,0294-2424408</t>
  </si>
  <si>
    <t>9982681145,9829964266</t>
  </si>
  <si>
    <t>shrikrishna.raj2011@gmail.com</t>
  </si>
  <si>
    <t>shrikrishna.udaipur@gmail.com</t>
  </si>
  <si>
    <t>AKWPB5599H</t>
  </si>
  <si>
    <t>AKWPB5599HST001</t>
  </si>
  <si>
    <t>08AKWPB5599HIZF</t>
  </si>
  <si>
    <t>Z18315</t>
  </si>
  <si>
    <t>Shree Mahadevi Associates</t>
  </si>
  <si>
    <t>Kiran Kumar Khandelwal</t>
  </si>
  <si>
    <t>Ac-167C, 2Nd Floor, Shalimar Bagh, New Delhi-110088</t>
  </si>
  <si>
    <t>4765490947079020</t>
  </si>
  <si>
    <t>47654909,47079023,8178836759,9871900571,9873293460,9958887262,9013125533</t>
  </si>
  <si>
    <t>9990988889,9311359000,9311329000</t>
  </si>
  <si>
    <t>collections.sma@shreemahadevi.com</t>
  </si>
  <si>
    <t>AARPK9631N</t>
  </si>
  <si>
    <t>AARPK9631NST001</t>
  </si>
  <si>
    <t>For collection agreement initiated in Jul,Email change req recd in Jun22</t>
  </si>
  <si>
    <t>Gurgoan</t>
  </si>
  <si>
    <t>Golden hawk debt management and legal services pvt. Ltd</t>
  </si>
  <si>
    <t>ajay.singh@goldenhawk.co.in</t>
  </si>
  <si>
    <t>AADCG6578M</t>
  </si>
  <si>
    <t>06AADCG6578M2Z0</t>
  </si>
  <si>
    <t>SSS Solution</t>
  </si>
  <si>
    <t>sss.collection@ssssol.in</t>
  </si>
  <si>
    <t>CHFPB4502E</t>
  </si>
  <si>
    <t>07CHFPB4502E1Z0</t>
  </si>
  <si>
    <t>Addition of MIB product done on 14th Jan 26</t>
  </si>
  <si>
    <t>Shri Sai Associates</t>
  </si>
  <si>
    <t>ssahdfc74@gmail.com</t>
  </si>
  <si>
    <t>AEJPJ1881P</t>
  </si>
  <si>
    <t>8AEJPJ1881PP1ZU</t>
  </si>
  <si>
    <t>PORT CARE CONSULTANCY</t>
  </si>
  <si>
    <t>khyalia.vinod@gmail.com</t>
  </si>
  <si>
    <t>AWNPK8831A</t>
  </si>
  <si>
    <t>06AWNPK8831A2ZJ</t>
  </si>
  <si>
    <t>Sanjeev Kumar</t>
  </si>
  <si>
    <t>Anurag Agency</t>
  </si>
  <si>
    <t>ANURAGRATHI1010@GMAIL.COM ; aa.y@anuragagency.com</t>
  </si>
  <si>
    <t>AIJPR0004N</t>
  </si>
  <si>
    <t>22AIJPR0004N2ZE</t>
  </si>
  <si>
    <t>Sikar</t>
  </si>
  <si>
    <t>Govind Singh Gora</t>
  </si>
  <si>
    <t>govindgora09@gmail.com</t>
  </si>
  <si>
    <t>AFFPG1479P</t>
  </si>
  <si>
    <t>08AFFPG1479P1ZY</t>
  </si>
  <si>
    <t>Hodal</t>
  </si>
  <si>
    <t>MUKEEM KHAN REPO AGENCY</t>
  </si>
  <si>
    <t>Umesh Kumar</t>
  </si>
  <si>
    <t>mukeemkhan.nuh@gmail.com</t>
  </si>
  <si>
    <t>BAIPM5530L</t>
  </si>
  <si>
    <t>06BAIPM5530L1ZI</t>
  </si>
  <si>
    <t>Uttaran</t>
  </si>
  <si>
    <t>9864275832 , 9181147785 , 9181167785 , 9181214472, 9706166637</t>
  </si>
  <si>
    <t>uttaran7@yahoo.in</t>
  </si>
  <si>
    <t>AXOPP5288J</t>
  </si>
  <si>
    <t>18AXOPP5288J1ZJ</t>
  </si>
  <si>
    <t>Rakesh Kumar Sharma &amp; Consultants Pvt Ltd</t>
  </si>
  <si>
    <t>anilsharma1450@gmail.com</t>
  </si>
  <si>
    <t>AAICR3367A</t>
  </si>
  <si>
    <t>07AAICR3367A1ZJ</t>
  </si>
  <si>
    <t>Dhiraj Singh Agency</t>
  </si>
  <si>
    <t>9935735100 , 9936735100</t>
  </si>
  <si>
    <t>Dheerajsinghagency@gmail.com</t>
  </si>
  <si>
    <t>dheeraj7200@gmail.com</t>
  </si>
  <si>
    <t>EOZPS1593R</t>
  </si>
  <si>
    <t>09EOZPS1593F1ZA</t>
  </si>
  <si>
    <t>Trishakti Services</t>
  </si>
  <si>
    <t>Yogesh</t>
  </si>
  <si>
    <t>Yogesh Rajpal</t>
  </si>
  <si>
    <t>trishaktiservices@gmail.com</t>
  </si>
  <si>
    <t>AFIPY9474K</t>
  </si>
  <si>
    <t>07AFIPY9474K2ZD</t>
  </si>
  <si>
    <t>Z15135</t>
  </si>
  <si>
    <t>Star Associates</t>
  </si>
  <si>
    <t>Omprakash Sharma</t>
  </si>
  <si>
    <t xml:space="preserve">Office No 304 , Falicity Tower , Jyoti Nagar </t>
  </si>
  <si>
    <t>9829277900</t>
  </si>
  <si>
    <t>9829277900,9828101972,9351304099</t>
  </si>
  <si>
    <t>SAREPO@REDIFFMAIL.COM</t>
  </si>
  <si>
    <t>AGMPS9126M</t>
  </si>
  <si>
    <t>08AGMPS9126M1ZJ</t>
  </si>
  <si>
    <t>Sunil ja</t>
  </si>
  <si>
    <t>SUN ASSOCIATES</t>
  </si>
  <si>
    <t>Hemant Arora</t>
  </si>
  <si>
    <t>01140508371, 41611264</t>
  </si>
  <si>
    <t>info@sunassociates2121.com</t>
  </si>
  <si>
    <t>AEZPA8266M</t>
  </si>
  <si>
    <t>07AEZPA8266M2ZM</t>
  </si>
  <si>
    <t>SWARNIKA ASSOCIATES</t>
  </si>
  <si>
    <t>7903586282 , 9031029172</t>
  </si>
  <si>
    <t>swarnikaassociates@gmail.com, swarnikaoffice1@gmai.com</t>
  </si>
  <si>
    <t>GNPPK4707L</t>
  </si>
  <si>
    <t>10GNPPK4707L1ZR</t>
  </si>
  <si>
    <t>Z26651</t>
  </si>
  <si>
    <t>Swastik Associates</t>
  </si>
  <si>
    <t>Panney Singh Rathore</t>
  </si>
  <si>
    <t>Bhawani Singh</t>
  </si>
  <si>
    <t>1St Floor 352 Jawala  Vihar  Near 2Nd Puliya Petrol Pump , Chopasni Road Jodhpur 342008 Rajasthan</t>
  </si>
  <si>
    <t>9309044321</t>
  </si>
  <si>
    <t>9309044321,7877027082</t>
  </si>
  <si>
    <t>7877027082</t>
  </si>
  <si>
    <t>Raj.Swastik75@Gmail.Com</t>
  </si>
  <si>
    <t>Swastik.Jdr01@Yahoo.Com</t>
  </si>
  <si>
    <t>AANPR5795G</t>
  </si>
  <si>
    <t>08AANPR5795G2ZW</t>
  </si>
  <si>
    <t>IDFC FIRST BANK LIMITED</t>
  </si>
  <si>
    <t>Ayodhya</t>
  </si>
  <si>
    <t>AWADHESH KUMAR DUBEY</t>
  </si>
  <si>
    <t>dubey_awadhesh@rediffmail.com</t>
  </si>
  <si>
    <t>AHAPD1739N</t>
  </si>
  <si>
    <t>09AHAPD1739N1Z9</t>
  </si>
  <si>
    <t>SINGH REPOSSESSION AGENCY</t>
  </si>
  <si>
    <t>Ramnresh Singh</t>
  </si>
  <si>
    <t>Raibarely Road Haidergarh Barabanki Lucknow Uttar Pradesh 225124</t>
  </si>
  <si>
    <t>9838731790/9839913030</t>
  </si>
  <si>
    <t>singh_repo44@rediffmail.com</t>
  </si>
  <si>
    <t>BAJRS3049D</t>
  </si>
  <si>
    <t>09BAJPS3049D1ZK</t>
  </si>
  <si>
    <t>Ra Collection Agency</t>
  </si>
  <si>
    <t>Raghu Arora</t>
  </si>
  <si>
    <t>raghuarora1988@gmail.com</t>
  </si>
  <si>
    <t>AVAPA3193P</t>
  </si>
  <si>
    <t>03AVAPA3193P1ZN</t>
  </si>
  <si>
    <t>QADIR ENTERPRISES</t>
  </si>
  <si>
    <t>Qadirenterprieses@gmail.com</t>
  </si>
  <si>
    <t>ASBPK1360J</t>
  </si>
  <si>
    <t>03ASBPK1360J1Z5</t>
  </si>
  <si>
    <t>INDUSIND BANK LIMITED</t>
  </si>
  <si>
    <t>Z24460</t>
  </si>
  <si>
    <t>Unique India Associates</t>
  </si>
  <si>
    <t>Satish Saini</t>
  </si>
  <si>
    <t xml:space="preserve">1 E/22B, 2Nd Floor, Jhandewalan Extension, New Delhi </t>
  </si>
  <si>
    <t>9810011207</t>
  </si>
  <si>
    <t>9810011207,9958811891,9212731587,9873625236,9717727762,9582224216</t>
  </si>
  <si>
    <t>uniqueindia1994@gmail.com</t>
  </si>
  <si>
    <t>BAYPS8662K</t>
  </si>
  <si>
    <t>07BAYPS8662K2ZG</t>
  </si>
  <si>
    <t>Nadia</t>
  </si>
  <si>
    <t>Boundless Grow UP PRIVATE LIMITED</t>
  </si>
  <si>
    <t>Mithun Halder/Suparna Jana</t>
  </si>
  <si>
    <t>New Kalipur, Bhatjangla, Ps-Kotwali, Krishnanagar, Nadia, Pin-741102.</t>
  </si>
  <si>
    <t>9609095019 / 7872433133</t>
  </si>
  <si>
    <t>Boundlessgrowuppvtltd@gmail.com</t>
  </si>
  <si>
    <t>AAKCB8919J</t>
  </si>
  <si>
    <t>19AAKCB8919J1Z1</t>
  </si>
  <si>
    <t>MAHALAXMI REPO AGENCIES</t>
  </si>
  <si>
    <t>Ajay Singh Shekhawat</t>
  </si>
  <si>
    <t>Near New Rajnish Hospital Sahapura Jaipur 303103</t>
  </si>
  <si>
    <t>mahalaxmiagency2001@gmail.com</t>
  </si>
  <si>
    <t>BLIPS9253B</t>
  </si>
  <si>
    <t>08BLIPS9253B2ZT</t>
  </si>
  <si>
    <t>MF Services Private Limited</t>
  </si>
  <si>
    <t>P.No. - 26A, Khasra No. 5/15, Block-B, Patel Garden,Uttam Nagar, Near Kakrola Road, New Delhi-110059</t>
  </si>
  <si>
    <t>7982253393 , 9555570084 , 9643940105</t>
  </si>
  <si>
    <t>operations@mfplindia.in</t>
  </si>
  <si>
    <t>AAOCM4700E</t>
  </si>
  <si>
    <t>07AAOCM4700E1ZN</t>
  </si>
  <si>
    <t>Z21908</t>
  </si>
  <si>
    <t>Yadu Associates</t>
  </si>
  <si>
    <t>Satyaveer Singh Yadav</t>
  </si>
  <si>
    <t>Plot No - 11 Path No. 6, Vijaybari, Sikar Road, Jaipur - 302039</t>
  </si>
  <si>
    <t>98290534339314000000</t>
  </si>
  <si>
    <t>9829053433,9314053433</t>
  </si>
  <si>
    <t xml:space="preserve">satveeryadav200@gmail.com </t>
  </si>
  <si>
    <t>AAOPY9989J</t>
  </si>
  <si>
    <t>08AAOPY9989J2Z5</t>
  </si>
  <si>
    <t>Z24969</t>
  </si>
  <si>
    <t>Yashraj Associates</t>
  </si>
  <si>
    <t>Annapurna Bharti</t>
  </si>
  <si>
    <t>Gajendra Bharti</t>
  </si>
  <si>
    <t>270 Sardarpura 4Th B Road Ananta Hair School Opp Suhag Jewllers, Jodhpur</t>
  </si>
  <si>
    <t>9314703282</t>
  </si>
  <si>
    <t>9314703282,9982670169,8963827777,7976002929</t>
  </si>
  <si>
    <t>Yashrajjodcollection@Gmail.Com</t>
  </si>
  <si>
    <t>BKEPB7861B</t>
  </si>
  <si>
    <t>Z21548</t>
  </si>
  <si>
    <t>Durgapur</t>
  </si>
  <si>
    <t>Zenith Management Associates</t>
  </si>
  <si>
    <t>Swadesh Ghosal</t>
  </si>
  <si>
    <t>Meav-44, Bengal Ambuja, City Centre, Durgapur-713216</t>
  </si>
  <si>
    <t>0343-,2545070,9434009864</t>
  </si>
  <si>
    <t>0343-,2545070,9434009864,9378388030,9851886370,9732136000,8609605347,8759299510</t>
  </si>
  <si>
    <t>9732010657</t>
  </si>
  <si>
    <t>swadesh.dgp@gmail.com</t>
  </si>
  <si>
    <t>zenith.ybc@gmail.com</t>
  </si>
  <si>
    <t>AFMPG1436P</t>
  </si>
  <si>
    <t>19AFMPG1436P2ZY</t>
  </si>
  <si>
    <t>M C ASSOCIATE</t>
  </si>
  <si>
    <t>Rinarani Mohanty</t>
  </si>
  <si>
    <t>rinaranimohanty1@gmail.com</t>
  </si>
  <si>
    <t>EXWPM4699Q</t>
  </si>
  <si>
    <t>21EXWPM4699Q1Z4</t>
  </si>
  <si>
    <t>VH Management services</t>
  </si>
  <si>
    <t>Mr. Hemant Kumar</t>
  </si>
  <si>
    <t>vhmanagementservices8913@gmail.com</t>
  </si>
  <si>
    <t>HTEPK6107G</t>
  </si>
  <si>
    <t>09HTEPK6107G1ZL</t>
  </si>
  <si>
    <t>Laado Associates</t>
  </si>
  <si>
    <t>9711700085 , 9911700030</t>
  </si>
  <si>
    <t>laadoassociates@gmail.com</t>
  </si>
  <si>
    <t>AAGFL4983M</t>
  </si>
  <si>
    <t>06AAGFL4983M2ZP</t>
  </si>
  <si>
    <t>SURYAVANSHI ASSOCIATES</t>
  </si>
  <si>
    <t>Suryavanshiassociates777@gmail.com ; suryavanshi.associates07@outlook.com</t>
  </si>
  <si>
    <t>AEPFS1889G</t>
  </si>
  <si>
    <t>08AEPFS1889G1ZC</t>
  </si>
  <si>
    <t xml:space="preserve">Supplementary done on 26th aug 25 ( Addition products FMA, KCC on 2nd Dec 25 )  </t>
  </si>
  <si>
    <t>M/s Awadh Risk Management Services Pvt Ltd</t>
  </si>
  <si>
    <t xml:space="preserve">7080802214, 7080802216, 7080802218 </t>
  </si>
  <si>
    <t>awadh.rishk@gmail.com</t>
  </si>
  <si>
    <t>AANCA0030G</t>
  </si>
  <si>
    <t>09AANCA0030G1Z1</t>
  </si>
  <si>
    <t>Shivjot Enterprises</t>
  </si>
  <si>
    <t>Ashi Mehta</t>
  </si>
  <si>
    <t>8078170007,  8968888273</t>
  </si>
  <si>
    <t>shivjotentp108@gmail.com</t>
  </si>
  <si>
    <t>ASBPA5534A</t>
  </si>
  <si>
    <t>03ASBPA5534A1ZQ</t>
  </si>
  <si>
    <t>SWASTIK CONSULTANCY</t>
  </si>
  <si>
    <t>Pronob Karar/Raj Amitava Mitra</t>
  </si>
  <si>
    <t>Operations@swastikconsultancygroup.in</t>
  </si>
  <si>
    <t>AEPFS8376A</t>
  </si>
  <si>
    <t>19AEPFS8376A1ZH</t>
  </si>
  <si>
    <t>SHRI SHIV ASSOCIATES</t>
  </si>
  <si>
    <t>Chetan.gupta@shrishivassociates.com ; Manoj.Gupta@shrishivassociates.com</t>
  </si>
  <si>
    <t>ACUFS0570P</t>
  </si>
  <si>
    <t>09ACUFS0570P2Z5</t>
  </si>
  <si>
    <t>Supplementary done 30th sep 25</t>
  </si>
  <si>
    <t>Kurda</t>
  </si>
  <si>
    <t>Marichin Fin Services Pvt Ltd</t>
  </si>
  <si>
    <t>Dharmendra Narayan Das, Ramakanta Pradhan, Debadutta Mohanty, Kalpana Mohanty</t>
  </si>
  <si>
    <t>Plot No: - 352/2377/5309, Sishu Vihar, Patia, Bhubaneswar, Khurda, Odisha - 751024</t>
  </si>
  <si>
    <t>06743106074, 7381045115</t>
  </si>
  <si>
    <t>marchin.mfspl@yahoo.com ; marichinfinserv@gmail.com</t>
  </si>
  <si>
    <t>AAPCM4981L</t>
  </si>
  <si>
    <t>21AAPCM4981L1ZY</t>
  </si>
  <si>
    <t>SR COLLECTION</t>
  </si>
  <si>
    <t>Rajiv Kumar Mahato</t>
  </si>
  <si>
    <t>7003734144 , 9831374842 , 7003425702</t>
  </si>
  <si>
    <t>sr@collectionkolkata.in</t>
  </si>
  <si>
    <t>AYIPM2241Q</t>
  </si>
  <si>
    <t>19AYIPM2241Q1ZO</t>
  </si>
  <si>
    <t>BANK BRIDGE SOLUTION</t>
  </si>
  <si>
    <t>Bankbridgesolution@gmail.com</t>
  </si>
  <si>
    <t>FWFPD6079G</t>
  </si>
  <si>
    <t>08FWFPD6079G1ZA</t>
  </si>
  <si>
    <t>Supplementary done on 4th Nov 25</t>
  </si>
  <si>
    <t>SWAPNIL AND COMPANY</t>
  </si>
  <si>
    <t>swapnil.companyy@gmail.com</t>
  </si>
  <si>
    <t>AOFPG3320J</t>
  </si>
  <si>
    <t>09AOFPG3320J2Z4</t>
  </si>
  <si>
    <t>Supplementary done on 18th nov 25</t>
  </si>
  <si>
    <t>SINGH ASSET RECON SERVICES PVT LTD</t>
  </si>
  <si>
    <t>Singhassetrecon@gmail.com ; Yashpal.singh48910@gmail.com ; Divya.kumari192000@gmail.com; Adeeb.khan0991@gmail.com</t>
  </si>
  <si>
    <t>ABACS2383J</t>
  </si>
  <si>
    <t>07ABACS2383J1Z7</t>
  </si>
  <si>
    <t>Supplementary done on 11th nov 25( Addition for MIB product 12dec2025)</t>
  </si>
  <si>
    <t>JAI AMBEY ASSOCIATES</t>
  </si>
  <si>
    <t>JAIAMBEASSOCIATE@GMAIL.COM</t>
  </si>
  <si>
    <t>ACYPT6677J</t>
  </si>
  <si>
    <t>09ACYPT6677J2Z7</t>
  </si>
  <si>
    <t>Supplementary done on 4th nov 25</t>
  </si>
  <si>
    <t>ACCURATE INVESTIGATIONS</t>
  </si>
  <si>
    <t>9873412356 , 7217773183</t>
  </si>
  <si>
    <t>dayanand.kaushik1972@gmail.com  ; veenu.1976@gmail.com  ; recon@accurateinvestigations.in</t>
  </si>
  <si>
    <t>ASZPK5551F</t>
  </si>
  <si>
    <t>07ASZPK5551F1Z9</t>
  </si>
  <si>
    <t>Supplementary done on 5th Dec 25</t>
  </si>
  <si>
    <t>Z21422</t>
  </si>
  <si>
    <t>Global Management</t>
  </si>
  <si>
    <t>Rishikesh Mishra</t>
  </si>
  <si>
    <t xml:space="preserve">8809666397,8084225146,9305522921,6001956075,7002050742 , 9122499181 , </t>
  </si>
  <si>
    <t>9920726030</t>
  </si>
  <si>
    <t>prabhakar.globalmanagement@gmail.com; rishikesh.mishra@globalmanagement.in ; collection2@globalmanagement.ind.in</t>
  </si>
  <si>
    <t>ninad.global@gmail.com;collection.globalmanagement@gmail.com;rishi.globalmanagement@gmail.com</t>
  </si>
  <si>
    <t>BNMPM5304D</t>
  </si>
  <si>
    <t>27BNMPM5304D2Z3</t>
  </si>
  <si>
    <t>Shree Krishna Associates</t>
  </si>
  <si>
    <t>Tilak Motors</t>
  </si>
  <si>
    <t>Thakur Parking Yard</t>
  </si>
  <si>
    <t>Chauhan Parking Yard</t>
  </si>
  <si>
    <t>Shree Karni Motors-Bijainagar  Ajmer</t>
  </si>
  <si>
    <t>Mittal Parking Yard - Ajmer</t>
  </si>
  <si>
    <t>Pushpa Devi Stock Yard</t>
  </si>
  <si>
    <t>Star Garage</t>
  </si>
  <si>
    <t>Jarshed Parking Yard</t>
  </si>
  <si>
    <t>Ambey Parking Yard</t>
  </si>
  <si>
    <t>Maharishi Markanda Bank Parking Yard</t>
  </si>
  <si>
    <t>Darsh Enterprises-Amritsar</t>
  </si>
  <si>
    <t>S.K. Transport</t>
  </si>
  <si>
    <t>Luhaniwal Industries</t>
  </si>
  <si>
    <t>Dhama Parking  Yard</t>
  </si>
  <si>
    <t>Devraj Stockyard</t>
  </si>
  <si>
    <t>Hm Parking</t>
  </si>
  <si>
    <t>Gaurdeum Securities</t>
  </si>
  <si>
    <t>Shailendra Sanghvi</t>
  </si>
  <si>
    <t>Om Motors - Haidergarh</t>
  </si>
  <si>
    <t>Rishabh Traders Parking Yard</t>
  </si>
  <si>
    <t>A B Parking Centre</t>
  </si>
  <si>
    <t>Maa Parking -Baruipur</t>
  </si>
  <si>
    <t>Singh Yards</t>
  </si>
  <si>
    <t>Kanishk Parking Yard</t>
  </si>
  <si>
    <t>Sai Parking - Bhubaneswar</t>
  </si>
  <si>
    <t>Raju Kumar-Janki Ventures Stock Yard</t>
  </si>
  <si>
    <t>Shriram Automall Bikaner</t>
  </si>
  <si>
    <t>Lanjewar Brother Yard</t>
  </si>
  <si>
    <t>Jain Campus</t>
  </si>
  <si>
    <t>Badaun Parking Yard</t>
  </si>
  <si>
    <t>Shiv Shakti Parking Yard</t>
  </si>
  <si>
    <t>Shri Ji Parking Yard-Bulandshahar</t>
  </si>
  <si>
    <t>Dashmesh Pitta Parking Yard</t>
  </si>
  <si>
    <t>Radha Rani Parking Yard</t>
  </si>
  <si>
    <t>Sukhpinder Singh</t>
  </si>
  <si>
    <t>Mewad Auto Wheels</t>
  </si>
  <si>
    <t>Baba Biswakarma Parking Yard</t>
  </si>
  <si>
    <t>Shree Ganesh</t>
  </si>
  <si>
    <t>Sai Parking - Cuttack</t>
  </si>
  <si>
    <t>Sk Stockyard-Cuttack</t>
  </si>
  <si>
    <t>Saini Parking Yard-Dausa</t>
  </si>
  <si>
    <t>Shri Balaji Parking Yard</t>
  </si>
  <si>
    <t>Prithvi Parking Yard</t>
  </si>
  <si>
    <t>Shree Mahalaxmi Enterprises</t>
  </si>
  <si>
    <t>Maa Parking</t>
  </si>
  <si>
    <t>Buddha Parking Yard</t>
  </si>
  <si>
    <t>Shriram Automall Raipur</t>
  </si>
  <si>
    <t>Ms. Kridha Parking Yard</t>
  </si>
  <si>
    <t>Pc Parking-Faizabad</t>
  </si>
  <si>
    <t>S R Yard</t>
  </si>
  <si>
    <t>Expert Service Parking Yard</t>
  </si>
  <si>
    <t>Tirupati Associates</t>
  </si>
  <si>
    <t>Bb Farms</t>
  </si>
  <si>
    <t>Shri Shiv Shakti Parking Yard</t>
  </si>
  <si>
    <t>Pragati Logistics Pvt Ltd</t>
  </si>
  <si>
    <t>Ganapati Parking Yard</t>
  </si>
  <si>
    <t>Gorakhnath Parking Yard</t>
  </si>
  <si>
    <t>S S Parking Yard - Guwahati</t>
  </si>
  <si>
    <t>Rudrasagar Parking Yard</t>
  </si>
  <si>
    <t>Balaji Yard Center</t>
  </si>
  <si>
    <t>Shri Ganpati Auto Mall</t>
  </si>
  <si>
    <t>Gangotri Automobile</t>
  </si>
  <si>
    <t>Janta Garage</t>
  </si>
  <si>
    <t>Rm Tanvi Parking</t>
  </si>
  <si>
    <t>Dankuni Autopark Zone Pvt Ltd</t>
  </si>
  <si>
    <t>Uttam Motor Agency</t>
  </si>
  <si>
    <t>M/S. Yogendra Pareek &amp; Co.</t>
  </si>
  <si>
    <t>Gaadi 18 Services Pvt Ltd</t>
  </si>
  <si>
    <t>Ramesh Chandra Ghiya</t>
  </si>
  <si>
    <t>Shree Gajanan Stockyard - Panikoili</t>
  </si>
  <si>
    <t>Maruti Stock Yard</t>
  </si>
  <si>
    <t>Dilbagh Singh</t>
  </si>
  <si>
    <t>Ganesh Sharma</t>
  </si>
  <si>
    <t>Shriram Yard Jamshedpur</t>
  </si>
  <si>
    <t>Ganpati Stock Yard -Jamshedpur</t>
  </si>
  <si>
    <t>Raj Kishore Yadav</t>
  </si>
  <si>
    <t>Baba Group Associate</t>
  </si>
  <si>
    <t>Vashnavi Parking Yard</t>
  </si>
  <si>
    <t>Aditya Automobiles Yard</t>
  </si>
  <si>
    <t>Vishal Parakh Parking Yard</t>
  </si>
  <si>
    <t>Bhati Stock Yard-Jodhpur</t>
  </si>
  <si>
    <t>Devika Security Services</t>
  </si>
  <si>
    <t>Kanpur Security And Services</t>
  </si>
  <si>
    <t>Chauhan Security Services</t>
  </si>
  <si>
    <t>Jai Goril Baba Parking Yard Karuli</t>
  </si>
  <si>
    <t>Ravinder Lather Parking Yard</t>
  </si>
  <si>
    <t>Heyansh Farm House Parking Yard</t>
  </si>
  <si>
    <t>M K Motors Parking Yard</t>
  </si>
  <si>
    <t>Jay Bharat Corporation</t>
  </si>
  <si>
    <t>Jai Mata Di Associates Yard</t>
  </si>
  <si>
    <t>Plasto Profile Yard - Kota</t>
  </si>
  <si>
    <t>Burimaa Parking Agency</t>
  </si>
  <si>
    <t>Khushi Parking Yard</t>
  </si>
  <si>
    <t>Lucky Yard</t>
  </si>
  <si>
    <t>V K Motors - Chinhut</t>
  </si>
  <si>
    <t>Balaji Associatess</t>
  </si>
  <si>
    <t>Dashmesh Associates Parking Yard</t>
  </si>
  <si>
    <t>Waraich Parking Yard - Ludhiana</t>
  </si>
  <si>
    <t>Dharmesh Motors Yard</t>
  </si>
  <si>
    <t>Rajput Trading Company</t>
  </si>
  <si>
    <t>Darsh Enterprises</t>
  </si>
  <si>
    <t>Zorawar Singh</t>
  </si>
  <si>
    <t>Luit Associates</t>
  </si>
  <si>
    <t>Bajiya Parking Yard</t>
  </si>
  <si>
    <t>Sharma Farm-Najafgarh</t>
  </si>
  <si>
    <t>Bhavya Parking Service - Nayagarh</t>
  </si>
  <si>
    <t>Shri Balaji Parking Yard-Neem Ka Thana</t>
  </si>
  <si>
    <t>S R Yard-Delhi</t>
  </si>
  <si>
    <t>Gurmukh Dass And Sons Yard</t>
  </si>
  <si>
    <t>Shri Balaji Parking Yard-Noida</t>
  </si>
  <si>
    <t>Ashu Parking Yard - Patiala</t>
  </si>
  <si>
    <t>Krishan Singh And Sons</t>
  </si>
  <si>
    <t>Balaji Associatess - Raebareli</t>
  </si>
  <si>
    <t>High Tech Parking</t>
  </si>
  <si>
    <t>Komal Chhatri</t>
  </si>
  <si>
    <t>Bharat Garage</t>
  </si>
  <si>
    <t>Bhagawati Agency Stockyard</t>
  </si>
  <si>
    <t>Paras Stockyard</t>
  </si>
  <si>
    <t>Puspa Nath Stock Yard - Sambalpur</t>
  </si>
  <si>
    <t>Karel Parking Yard</t>
  </si>
  <si>
    <t>Santra Devi Gora Parking Yard</t>
  </si>
  <si>
    <t>Santra Devi Gora</t>
  </si>
  <si>
    <t>Amit Dhanotia</t>
  </si>
  <si>
    <t>Pratiksha Parking Yard</t>
  </si>
  <si>
    <t>Gourav Parking Yard</t>
  </si>
  <si>
    <t>National Parking</t>
  </si>
  <si>
    <t>Karni Kripa Parking Yard</t>
  </si>
  <si>
    <t>Rahul Khajuria -Udhampur</t>
  </si>
  <si>
    <t>Balasar Security Service - Kanpur</t>
  </si>
  <si>
    <t>Jk Parking</t>
  </si>
  <si>
    <t>Pc Parking Yard 2</t>
  </si>
  <si>
    <t>Shri Baba Kal Bhairav Enterprises</t>
  </si>
  <si>
    <t>Stockyard</t>
  </si>
  <si>
    <t>Plot No. 51 Bhagupur Kuberpur Teh- Etampur Agra Near Lucknow-Agra Nodia Expressway Agra Uttar Pradesh 282006</t>
  </si>
  <si>
    <t>Nh-2, Runkuta, Service Road, Near Dubey Patrol Pump Agra Uttar Pradesh 282007</t>
  </si>
  <si>
    <t>Nr Latif Trolly Adarsh Nagar Thane Ke Age Beawar Road Ajmer And Near Khalsa Petrol Pump Parvatpura By Pass  305001</t>
  </si>
  <si>
    <t>N.H. 79 , 27 Mill Chouraha, Opp. Police Station, Ajmer Road, Bijainagar-Ajmer-305624</t>
  </si>
  <si>
    <t>Nh 8  Parbatpura Bypass Ajmer Rajasthan-305002</t>
  </si>
  <si>
    <t>Vill-Madrak, Tehsil-Koel, Aligarh, Near Hathrash Road, Near Madrak Thana, Aligarh, Uttar Pradesh - 202001</t>
  </si>
  <si>
    <t>Near Baba Dhaba Sahson Phulpur Road Allahabad Pin 221507</t>
  </si>
  <si>
    <t>200 Feet Road,Luhurwadi Road,Alwar-301001</t>
  </si>
  <si>
    <t>Near Bsnl Tower , Burja , Alwar -301001</t>
  </si>
  <si>
    <t>Warehouse Link Road,Near Guru Ravidass Mandir,Saha Panchkula Road,Saha,Distt.Ambala,Haryana,133104</t>
  </si>
  <si>
    <t>Bathinda Highway  Nhi 54 Opposite Chohla Sahib Filling Station Village Bandala</t>
  </si>
  <si>
    <t>Mouza- Giranga, Khata No :- 342 ,Plot No 3608 , Anugul -759145</t>
  </si>
  <si>
    <t>Old Rico F- 47 , 48 , Industrial Area , Anupgarh ,  Dist - Sriganganagar ( Raj ) 335701</t>
  </si>
  <si>
    <t>Near Raksha Hospital, Main Delhi Saharanpur National Highway No. 709B, Baghpat, Uttar Pradesh</t>
  </si>
  <si>
    <t>Mouza.Gaintala,Ps.Balangir No.204,Khata No.271,441,Plot No.1912</t>
  </si>
  <si>
    <t>Phase-1,H M Parking -Khatra Road, Jagadalla, Near Dhaldanga More, Dist - Bankura, West Bengal Pin No.722146.Phase-2.Vill-Singhbazar,Near Gangra More Purulia</t>
  </si>
  <si>
    <t>Leo Circle, Udaipur Road, Banswara Rajasthan 327001</t>
  </si>
  <si>
    <t>02 Raj Rajeshwar Colony Opp Kuashal Bagh Hotel Kushal Bagh Banshwara (Rural) Banswara Kushalgarh Raj 327001</t>
  </si>
  <si>
    <t>31, Rauli , Haidergarh, Raibareilly Road, Barabanki - 225124. (Near : Pani Ki Tanki)</t>
  </si>
  <si>
    <t>In Front Of Medical Collage Melkhedi Road, Chhapar Baran, Rajasthan, 325205</t>
  </si>
  <si>
    <t>Villp.O.- Hisabi, P.S.- Amdanga Dist- North 24 Parganas, State- West Bengal Pin-743221</t>
  </si>
  <si>
    <t>Kumarhat, Ps- Baruipur, Po- Kumarhat, South 24 Parganas</t>
  </si>
  <si>
    <t>Near Rto Check-Post, Mathura Road, Bharatpur - 321001</t>
  </si>
  <si>
    <t>Co, Jai Bhawani Hotel, Hazari Khera, Bhilwara Bypass, Rajstan 311001</t>
  </si>
  <si>
    <t>Plot-340, Eden Garden, Johal, Po-Pahal, Ps-Balianta, Bhubaneswar-752101</t>
  </si>
  <si>
    <t>Vill  Korhar P.S- Bihta Po- Anandpur Camp  Dist Patna  Pin-801103 Beside Of Bharat Petrolium Korhar</t>
  </si>
  <si>
    <t>Khasra No.331 Near Ridmalsar</t>
  </si>
  <si>
    <t>Yard Address: Beside New High Court, Village Chatauna, Chkabhata, Billaspur Dist, Chattisgarhoffice Address: Shop No 19, Shahed Bhagat Singh Complex, Vyapar Vihar Road, Billaspur, Chattishgarh</t>
  </si>
  <si>
    <t>Village-Sambalpuri,Behind New High Court -Bilaspur</t>
  </si>
  <si>
    <t>223,Aarifpur Nawada,Awala Road,Badaun 243601,Utter Pradesh,Near Powerhouse,Opposite,Khadigramoudyog</t>
  </si>
  <si>
    <t>Near Essar Petrol Pump,Bulandsahar Road,Gulawthi</t>
  </si>
  <si>
    <t>Bhumi Khata N O 742 Gt Road Muni Khurja Near Arniya Police Station</t>
  </si>
  <si>
    <t>V.P.O Wazidpur,Moga Road, Opposite Gurudwara Jamnni Sahib, Ferozepur, Punjab - 152004</t>
  </si>
  <si>
    <t>Vill Rangilpur Near Govt. School Chandigarh Road Ropar Punjab Pin 140108</t>
  </si>
  <si>
    <t>Kala Tibba ,Abohar 152116</t>
  </si>
  <si>
    <t>Near Hera Garden Gurjar Mohalla Udaipur Road Saiti Dist Chittorgharh Rajasthan 312025</t>
  </si>
  <si>
    <t>Vill- Durmuth, Po- Durmuth, Ps- Marishda, Purba Midnapur, Wb- 721401</t>
  </si>
  <si>
    <t>V.I.P Road, Bin Patty, Near- B.D.Jain Modern High School. Po-Khagrabari,Dist- Coochbehar -736179</t>
  </si>
  <si>
    <t>At.-Bilteruan Po-Harianta Manguli Chak Opp.Nirgudi Rly Stn Near Opg Complex Cuttak,Odisha,Pin- 754025</t>
  </si>
  <si>
    <t>Plot No.309 And 311 Bhanpur,Cuttack,Pin-753011</t>
  </si>
  <si>
    <t>N.H-11, Vill-Kandoli, Post- Kalakho, Dist- Dausa Raj. 303304</t>
  </si>
  <si>
    <t>Nh 21 Jaipur Agra Road Gram Post, Patoli,Th, Mahwa, D.Dausa (Raj)</t>
  </si>
  <si>
    <t>Village Jagat Pur, Gali No. 9A. Post Office Burari, Delhi-110084</t>
  </si>
  <si>
    <t>Khasra No. 60-1 And 61-26. Village Bakoli , Alipur, Delhi-110034.</t>
  </si>
  <si>
    <t>Bani Bediya, Post- Multi, Ts Mograhut, South 24, Pareganas, Wb-743610</t>
  </si>
  <si>
    <t>Kaladih More Kandra Po-Bhitia Ps-Govindpur Dist  Dhanbad Jharkhand Pin Code  828109</t>
  </si>
  <si>
    <t>Shriram Automall India Limited, Survey No ; 296/1/4/15/9/7/3-5/6/7/4/6/9 And 297/1/8/3/5 Ph No : 49 At R.N.M. Ahiwara,Village Jangiri The,Dhamda,Dist Durg,Raipur,Chattisgarh.</t>
  </si>
  <si>
    <t>87 - Lakhapur,Datawali, Farukhabad Road, Etawah - 206001, Near Fauzi Dhaba Etawah</t>
  </si>
  <si>
    <t>Vill-Post Kotasarai Rampur Road Near Warsi Petrol Pump-224001</t>
  </si>
  <si>
    <t>D.P Chaudhary Sports Complex, Pali Sohna Road, Village Mohtabad, Faridabad,Haryana -121004</t>
  </si>
  <si>
    <t>Nh2,Adhampur,Near Jai Mata Di Dhaba,Makhanpur Firozabad,U,P283145</t>
  </si>
  <si>
    <t>Nh -24, Shahpur Bamheta,Ghaziabad, Uttar Pradesh-201010</t>
  </si>
  <si>
    <t>Nh-24, Kazipura Village, Ghaziabad, Up- 201002</t>
  </si>
  <si>
    <t>Village- Tila Shahbazpur , Near Dimand Public School, Bhopura Loni Road, Ghaziabad 201102</t>
  </si>
  <si>
    <t>Khasra No 86 Talabpur Dujana Dadri Gautambudh Nagar Uraf Hathipur Ghaziabad Gautam Buddha Nagar Uttar Pradesh 203207</t>
  </si>
  <si>
    <t>Vill:- Sholmari, P.S.- Agia, Dist. - Goalpara(Assam), Pin No.- 783120</t>
  </si>
  <si>
    <t>Vill- Kalesar, Post- Sahjanwa, Nh-27, Dist- Gorakhpur</t>
  </si>
  <si>
    <t>Lalumgaon, Kotokypara Road, Lakhara, Pin - 781034</t>
  </si>
  <si>
    <t>Plot No 2,Betkuchi,Beltola Mouza,Dispur Circle, Dist-Kamrup Guwahati</t>
  </si>
  <si>
    <t>Near Balaji Fitness Center Riicco Industerial Area , Hanumangarh Junction</t>
  </si>
  <si>
    <t>Shri Ganpati Auto Mall,Nh 24, Dev Petrol Pupm,Hapur,Duhri,Pilkhua,Uttar Pradesh-245101</t>
  </si>
  <si>
    <t>Nh-58, Ranipur Jhal, Near Gurunanak Dhaba, Jwalapur Haridwar-Uttarakhan-249407</t>
  </si>
  <si>
    <t>Sri Balaji Veigh Bridge ,Morangi Near Mansarovar Hotel,Demotand Jharkhand - 825301</t>
  </si>
  <si>
    <t>79/B, N. T. Road, Sasmalpara, Po- Baidyabati, Dist- Hooghly, West Bengal- 712222</t>
  </si>
  <si>
    <t>Balia-Uttarpara Rd, Chakundi, Paradankuni,Dist-Hooghly, West Bangal</t>
  </si>
  <si>
    <t>Kwakeithel Thiyam Leikai,Imphal West,Manipur</t>
  </si>
  <si>
    <t>Behind Amrai Hotel Pvt Ltd, Heerapura, Ajmer Road, Jaipur - 302021</t>
  </si>
  <si>
    <t>Village Narsinghpura Ajmer Road Near Pink Pearl  Bhankrota, Teh Sanganer Jaipur, Rajasthan 302026</t>
  </si>
  <si>
    <t>Khata Sankhya 487 106 Near Safeda Farm Delhi Ajmer National Highway Village Bishangarh Tehsil Amer District Jaipur 302013</t>
  </si>
  <si>
    <t>Patharpada, Panikoili, Jajpur,Odisha- 755001</t>
  </si>
  <si>
    <t>At-Mulapala,Near Nh-5,Kuakhia,Jajpur</t>
  </si>
  <si>
    <t>G Road Bye Pass Pathankot Chowk, V P O  Reru Jalandhar City 144012</t>
  </si>
  <si>
    <t>Ganesh Sharma Parking Yard, Chatta Chowaddhi, Sainik Colony, Near Hotel The Grand, 392 Sunjwan,</t>
  </si>
  <si>
    <t>Nh33 Baliguma Uppar Basti Dimna Mango Chowk Jamshedpur Jharkhand 831018</t>
  </si>
  <si>
    <t>Village Palasbani Po Bhilari Pahari Ps ,M G M District East Singhbum 831012</t>
  </si>
  <si>
    <t>110/2/4, Chhota Govindpur, Jamshedpur-831015</t>
  </si>
  <si>
    <t>Vill.Khungai,Tehsil.Badli,Dist.Jhajjar,Haryana,124103</t>
  </si>
  <si>
    <t>Plot No 55, Near Ricco Office, 3Rd Phase Ricco Industrial Area, Mama Bhanja Circle, Jhalawar (Raj ) 326001</t>
  </si>
  <si>
    <t>Village Biroli,On Ring Road, Near Hp Petrol Pump Jind Haryana 126102</t>
  </si>
  <si>
    <t>Near Satsang Nirankari Bhawan Harial Chowk Narwana- 126116</t>
  </si>
  <si>
    <t>Opp Government School, Gangana Rd, Pal Rd, Jodhpur -342001</t>
  </si>
  <si>
    <t>Khasra No.459 Sangariya-Dps Pal Bypass Road, Near Indane Gas Godown, Opp. Dod (Dhaba On Desert) Restaurant, Jodhpur-302005 (Rajasthan)</t>
  </si>
  <si>
    <t>Aaraji N0. 229, Katra Ghanshyam, Sachendi, Kanpur - 209304</t>
  </si>
  <si>
    <t>Villiage - Pakri,Kishan Nagar, Kanpur Nagar ,Utter Pradesh - 208001</t>
  </si>
  <si>
    <t>153, Jolhupur Mode, Madaripur Road, Kalpi, Kanpur - Jhansi Highway, Jalaun - 285202 (Narayan Garden)</t>
  </si>
  <si>
    <t>Khasa No 1110.Hindaun Road Mandhai Karauli</t>
  </si>
  <si>
    <t>Lather House, Neelkanth Resorts, Opp Karnal Motors, G. T. Road, Karnal, Haryana-132001</t>
  </si>
  <si>
    <t>Manugarh Maugarrh Majra Kasba Badoli Badheo Muzaffernagar, Uttar Pradesh 247776</t>
  </si>
  <si>
    <t>Vill- Tanda Kashipur Road Jaspur</t>
  </si>
  <si>
    <t>Rupnarayanpur, Kharagpur, Pachim Medinapur,West Bengal- 721301</t>
  </si>
  <si>
    <t>Plot No-A /172 Near Pargati Dharm Kata Gobriya Bawdi Circle Jhalawar Road , Kota , 324005</t>
  </si>
  <si>
    <t>F-170(1) Road No.4 , I.P.I. ,Kota-324005</t>
  </si>
  <si>
    <t>Kotwali, Nh34, Fci Godown, Krishnagar, West Bengal-741102</t>
  </si>
  <si>
    <t>Opp. Triveni Public School, Nh-75, Ranchi Road, Ps-Chandwa, Dist-Latehar, Jharkhand-829203</t>
  </si>
  <si>
    <t>Q-5; Mirzagenj; Malihabad; Lucknow; Up-226003</t>
  </si>
  <si>
    <t>853-854, Renduva Palhari, Alipur, Chinhut Dewa Road, Lucknow- 225301 Indra Nahar Kishan Path</t>
  </si>
  <si>
    <t>Gala No 2455 -1 -2392 Bakkas Post Bakkas Khurdahi Bazar Teshil Mohanlal Ganj Bhd Hp Petrol Pump Sultanpur Rd Near Kisan Peth Lucknow Uttar Pradesh 226002</t>
  </si>
  <si>
    <t>Vill. Bilga, (Sahnewal Khurd) Opp. Indian Custom Office, Near Red Mango. G. T Road Ludhiana-141421</t>
  </si>
  <si>
    <t>Opp Bapu Assa Ram Ashram,Tibba Bridge,Cannal Road Ludhiana</t>
  </si>
  <si>
    <t>Near Jain Filling Station, Kaman Road, Nandgaon, Mathura, U P 281405</t>
  </si>
  <si>
    <t>Khwajahan Pur , Bhujauti -Mau (U.P)</t>
  </si>
  <si>
    <t>Village Ghajipur, Behind Primary School, Zirakpur, Distt-Mohali-140603</t>
  </si>
  <si>
    <t>Vpo: Ghazipur, Dist - Mohali, Punjab-140603</t>
  </si>
  <si>
    <t>Vill- Morikolong Borghat. P.O.- Nagaon, P.S-Sadar,Dist-Nagaon(Assam),Pin-782001</t>
  </si>
  <si>
    <t>Near Raj  Laxmi Gaushala Jodhpur Road Nagaur 341001</t>
  </si>
  <si>
    <t>Bakkargarh Main Dhansa Road, Najafgarh Opp. Laxmi Narayan Mandir New Delhi, Pin 110040</t>
  </si>
  <si>
    <t>Plot No :197/729 Ghadual Nayagarh  Pin Code : 752068  Odisha</t>
  </si>
  <si>
    <t>Bhudoli Road , Neem Ka Thana</t>
  </si>
  <si>
    <t>Mamupur Pyau Manihari Road Narela Delhi 110040</t>
  </si>
  <si>
    <t>Gurmukh Dass And Sonskhasra, No.24-19/1,19/2,Nangloi Najafgarh Rd,Ranholla(Risal Garden) Nangloi, New Delhi-110041</t>
  </si>
  <si>
    <t>Village -Bisrakh Jalalpur Tahsil - Dadri  Sector - 1 Greater Noida W  G.B.Nagar Up-203207</t>
  </si>
  <si>
    <t>Rajpura Patiala Road, Village Multanpur, Opp. J.S.S College, Patiala</t>
  </si>
  <si>
    <t>Hira Bagh, Kali No .1 Rajpura Road Patiala, Near Excellsor Convent School, Sirhind Road, Pin Code 147001</t>
  </si>
  <si>
    <t>318 - Mohammadpur Kuchariya, Lucknow Road, Raibareilly -229001 (Near-Baba Dhaba)</t>
  </si>
  <si>
    <t>Opp Durga Darmkata Dixit Door Ring Road 02 Bhanpuri Nr Best Price Shop No 01 Raipur Chattsigarh - 492001</t>
  </si>
  <si>
    <t>Komal Chhattri Yard, Bhatagao,Raipur (C.G.),Pin Code - 492013</t>
  </si>
  <si>
    <t>Bharat Garage ,B.I.T Meshra Ranchi Jharkhand - 835217</t>
  </si>
  <si>
    <t>Hd-47,Gopabandhu Nagar,Chend,Rourkela-769015</t>
  </si>
  <si>
    <t>Near P And T Training Centre,Ambala Road,Saharanpur,Up247001</t>
  </si>
  <si>
    <t>At-Plot No- 751,Maa Pitabali Chowk,Beside Ashok Leyland Showroom,Sindurpank,Sambalpur- 768005</t>
  </si>
  <si>
    <t>Near Alwar Tiraya, Infront Of Karel Parking Yard, Alwar Road, Shahpur, Jaipur, Rajasthan 301001</t>
  </si>
  <si>
    <t>Nh-52, Opp Bjp Office, Jaipur-Bikaner Bypass,Sawali Circle, Gokulpura , Sikar ( Raj ) 332021</t>
  </si>
  <si>
    <t>Khasra No 1206/724, Nala Ka Balaji, Piprali Road, Kudli, Sikatr. Raj-332024</t>
  </si>
  <si>
    <t>Amit Dhanotia,C/O-Sona Wheels (P) Ltd,3Rd Mile,Sevoke Road,P.O-Salugarah, Siliguri, West Bengal -734008</t>
  </si>
  <si>
    <t>Near Pratiksha Hotel Village Bhagsin Tehsil Shivganj</t>
  </si>
  <si>
    <t>Khanpur, P.G.I.Road, Near Ranbir Garden, Gohana, Sonipat Haryana -131301</t>
  </si>
  <si>
    <t>Uludanga, Sadhanpur</t>
  </si>
  <si>
    <t>Khasra Number 4002, Shisham Ghati Reliance Petrol Pump Ke Pass,Airport Road Tulsi Das Ji Ki Sarai Udaipur- 313022 (Rajasthan)</t>
  </si>
  <si>
    <t>Kawa ,Air Force Road  Udhampur Near Tyre Factory.</t>
  </si>
  <si>
    <t>Near - Ganga Bridge, Pipar Kheda, Kanpur - Lucknow Highway , Unnao,Uttar Pradesh - 209861</t>
  </si>
  <si>
    <t>Jk Parking Vill-Po-Usti South 24 Paraganas West Bengal Pin No.743375</t>
  </si>
  <si>
    <t>Village  Khusipur Near Sms Collage In Front Of  Vrl Logistics  Nh2 Varanasi</t>
  </si>
  <si>
    <t>429/2 And 417 M K Dharm Kanta Sandaha Chauraha Ringroad Varanasi Uttar Pradesh 221007</t>
  </si>
  <si>
    <t>Aligarh</t>
  </si>
  <si>
    <t>Alwar</t>
  </si>
  <si>
    <t>Ambala</t>
  </si>
  <si>
    <t>Angul</t>
  </si>
  <si>
    <t>Anoopgarh</t>
  </si>
  <si>
    <t>Baghpat</t>
  </si>
  <si>
    <t>Balangir</t>
  </si>
  <si>
    <t>Bankura</t>
  </si>
  <si>
    <t>Banswara</t>
  </si>
  <si>
    <t>Barabanki</t>
  </si>
  <si>
    <t>Baran</t>
  </si>
  <si>
    <t>Barasat</t>
  </si>
  <si>
    <t>Baruipur</t>
  </si>
  <si>
    <t>Bharatpur</t>
  </si>
  <si>
    <t>Bhilwara</t>
  </si>
  <si>
    <t>Bhubaneswar</t>
  </si>
  <si>
    <t>Bihta</t>
  </si>
  <si>
    <t>Bilaspur</t>
  </si>
  <si>
    <t>Budaun</t>
  </si>
  <si>
    <t>Bulandshar</t>
  </si>
  <si>
    <t>Chittorgarh</t>
  </si>
  <si>
    <t>Contai</t>
  </si>
  <si>
    <t>Cooch Behar</t>
  </si>
  <si>
    <t>Dausa</t>
  </si>
  <si>
    <t>Dhamua</t>
  </si>
  <si>
    <t>Dhanbad</t>
  </si>
  <si>
    <t>Durg</t>
  </si>
  <si>
    <t>Etawah</t>
  </si>
  <si>
    <t>Faizabad</t>
  </si>
  <si>
    <t>Faridabad</t>
  </si>
  <si>
    <t>Firozabad</t>
  </si>
  <si>
    <t>Ghaziabad</t>
  </si>
  <si>
    <t>Goalpara</t>
  </si>
  <si>
    <t>Gorakhpur</t>
  </si>
  <si>
    <t>Hanumangarh</t>
  </si>
  <si>
    <t>Hapur</t>
  </si>
  <si>
    <t>Hazaribag</t>
  </si>
  <si>
    <t>Hooghly</t>
  </si>
  <si>
    <t>Imphal</t>
  </si>
  <si>
    <t>Jajpur</t>
  </si>
  <si>
    <t>Jhajjar</t>
  </si>
  <si>
    <t>Jhalawar</t>
  </si>
  <si>
    <t>Jind</t>
  </si>
  <si>
    <t>Karauli</t>
  </si>
  <si>
    <t>Karnal</t>
  </si>
  <si>
    <t>Kashipur</t>
  </si>
  <si>
    <t>Kharagpur</t>
  </si>
  <si>
    <t>Kota</t>
  </si>
  <si>
    <t>Krishnanagar</t>
  </si>
  <si>
    <t>Latehar</t>
  </si>
  <si>
    <t>Mathura</t>
  </si>
  <si>
    <t>Mau</t>
  </si>
  <si>
    <t>Mohali</t>
  </si>
  <si>
    <t>Nagaon</t>
  </si>
  <si>
    <t>Nagaur</t>
  </si>
  <si>
    <t>Nayagarh</t>
  </si>
  <si>
    <t>Neem Ka Thana</t>
  </si>
  <si>
    <t>Noida</t>
  </si>
  <si>
    <t>Patiala</t>
  </si>
  <si>
    <t>Raebareli</t>
  </si>
  <si>
    <t>Rourkela</t>
  </si>
  <si>
    <t>Sambalpur</t>
  </si>
  <si>
    <t>Shahpura</t>
  </si>
  <si>
    <t>Siliguri</t>
  </si>
  <si>
    <t>Sirohi</t>
  </si>
  <si>
    <t>Sonipat</t>
  </si>
  <si>
    <t>South 24 Pgs</t>
  </si>
  <si>
    <t>Udhampur</t>
  </si>
  <si>
    <t>Unnao</t>
  </si>
  <si>
    <t>Usti</t>
  </si>
  <si>
    <t>Chhattisgarh</t>
  </si>
  <si>
    <t>Manipur</t>
  </si>
  <si>
    <t>Anmol Kumar</t>
  </si>
  <si>
    <t>Om Prakash Swami</t>
  </si>
  <si>
    <t>Padmadutt Pandey</t>
  </si>
  <si>
    <t>Tararnpreet Kaur</t>
  </si>
  <si>
    <t>Ranveer Singh Rathore</t>
  </si>
  <si>
    <t>Masud Akhtar</t>
  </si>
  <si>
    <t>Syed Saad Ali</t>
  </si>
  <si>
    <t xml:space="preserve">Arun Kumar Gupta </t>
  </si>
  <si>
    <t>Kaushal Kumar Verma</t>
  </si>
  <si>
    <t>Krishna Verma</t>
  </si>
  <si>
    <t>Vikas</t>
  </si>
  <si>
    <t>Vikrant Bhalla</t>
  </si>
  <si>
    <t>Ritupan Kalita</t>
  </si>
  <si>
    <t>Prabhakar Kumar Mishra</t>
  </si>
  <si>
    <t>Debjit Das</t>
  </si>
  <si>
    <t>Bharat Kumar</t>
  </si>
  <si>
    <t>Chandan Saha</t>
  </si>
  <si>
    <t>Junti Bania</t>
  </si>
  <si>
    <t>Dinesh Mehta</t>
  </si>
  <si>
    <t>Surinder Shori</t>
  </si>
  <si>
    <t>Suraj Nair</t>
  </si>
  <si>
    <t xml:space="preserve">Abdhesh Sharma </t>
  </si>
  <si>
    <t>Sanjoy Chakraborty</t>
  </si>
  <si>
    <t>Abhishek Gupta</t>
  </si>
  <si>
    <t>Dinesh Midha</t>
  </si>
  <si>
    <t>Prasanta Saha</t>
  </si>
  <si>
    <t>Sandeep Kumar Singh</t>
  </si>
  <si>
    <t>Jai Parkash</t>
  </si>
  <si>
    <t>Sunil Vaishnav</t>
  </si>
  <si>
    <t>Rajesh Kumar</t>
  </si>
  <si>
    <t>Charanjit Singh</t>
  </si>
  <si>
    <t>Milan Sharma</t>
  </si>
  <si>
    <t>Harvinder Singh Upp</t>
  </si>
  <si>
    <t>Gagandeep Singh</t>
  </si>
  <si>
    <t>Bhupendra Singh</t>
  </si>
  <si>
    <t>Rameshwar Jaiswal</t>
  </si>
  <si>
    <t xml:space="preserve">Rakesh Kumar </t>
  </si>
  <si>
    <t>Vishnu Kumar</t>
  </si>
  <si>
    <t>Anup Kumar</t>
  </si>
  <si>
    <t>Nisha</t>
  </si>
  <si>
    <t>Mahipal</t>
  </si>
  <si>
    <t>Akhand Ppratap Singh</t>
  </si>
  <si>
    <t>Nitika Mahajan</t>
  </si>
  <si>
    <t>Jyoti Dhyani</t>
  </si>
  <si>
    <t>Mahendra Singh Bhati</t>
  </si>
  <si>
    <t>Ajay Singh Boken</t>
  </si>
  <si>
    <t>Neetu Bhandari</t>
  </si>
  <si>
    <t>Rajeev_Joshi</t>
  </si>
  <si>
    <t>Neeraj Kumar</t>
  </si>
  <si>
    <t>Anurag Rathi</t>
  </si>
  <si>
    <t>Bidyut Patowary</t>
  </si>
  <si>
    <t>Rakesh Kumar Sharma</t>
  </si>
  <si>
    <t>Dhiraj Singh</t>
  </si>
  <si>
    <t>Puja Kumari</t>
  </si>
  <si>
    <t>Awadhesh Kumar Dubey</t>
  </si>
  <si>
    <t xml:space="preserve">Ashwani Kumar  </t>
  </si>
  <si>
    <t>Mr. Somnath, Mr. Amit Mohendru And Ms, Geeta</t>
  </si>
  <si>
    <t xml:space="preserve">Poonam Sehrawat , Pardeep Sehrawat </t>
  </si>
  <si>
    <t>Kuldeep Singh</t>
  </si>
  <si>
    <t>Mr. Amit Kumar Singh &amp; Mrs. Pratibha Singh &amp; Mrs. Pinki Singh</t>
  </si>
  <si>
    <t>Manoj Kumar Gupta</t>
  </si>
  <si>
    <t>Meena Devi</t>
  </si>
  <si>
    <t>Shweta Gupta</t>
  </si>
  <si>
    <t>Yashpal</t>
  </si>
  <si>
    <t>Ajay Kumar Trivedi</t>
  </si>
  <si>
    <t>Daya Nand Kaushik</t>
  </si>
  <si>
    <t>Dhnshree Swami</t>
  </si>
  <si>
    <t>Aarya Associates</t>
  </si>
  <si>
    <t>Ar Associates</t>
  </si>
  <si>
    <t xml:space="preserve">R S Repossession Agency </t>
  </si>
  <si>
    <t>Jk Corporate Pvt Ltd</t>
  </si>
  <si>
    <t>Elite Debt Associates</t>
  </si>
  <si>
    <t>Microbe Banking Solution Limited Mbsl</t>
  </si>
  <si>
    <t>Krishnapriya Credit Management Services (P) Ltd</t>
  </si>
  <si>
    <t>J K Associate</t>
  </si>
  <si>
    <t>Jbms Associates</t>
  </si>
  <si>
    <t>Rel Connect Llp</t>
  </si>
  <si>
    <t>Goldline Solutions Pvt Ltd</t>
  </si>
  <si>
    <t>Kk Associates</t>
  </si>
  <si>
    <t>Esolve Solutions Pvt Ltd</t>
  </si>
  <si>
    <t>Krishna Associates</t>
  </si>
  <si>
    <t>Tomar Auto Recovery</t>
  </si>
  <si>
    <t>Mm Associates</t>
  </si>
  <si>
    <t>Rohan Enterprises</t>
  </si>
  <si>
    <t>Ms Ridhi Sidhi Associates</t>
  </si>
  <si>
    <t>Namanshee Associates</t>
  </si>
  <si>
    <t>Aba</t>
  </si>
  <si>
    <t>Poonia Associates</t>
  </si>
  <si>
    <t>Sunshine Credit Services</t>
  </si>
  <si>
    <t>Radha Krishn Associates</t>
  </si>
  <si>
    <t>Fusion Financier</t>
  </si>
  <si>
    <t>Ram Associates</t>
  </si>
  <si>
    <t>Smart Business Support Services</t>
  </si>
  <si>
    <t>Citi Enterprises</t>
  </si>
  <si>
    <t>Rama Associates</t>
  </si>
  <si>
    <t>Ramawat Associates</t>
  </si>
  <si>
    <t>Rk Associates</t>
  </si>
  <si>
    <t>Sai Associates</t>
  </si>
  <si>
    <t>Gurseerat Legal Management Service</t>
  </si>
  <si>
    <t>Saini Associates</t>
  </si>
  <si>
    <t>Gattu Brothers</t>
  </si>
  <si>
    <t>Ambitious Enterprises</t>
  </si>
  <si>
    <t>Ansh Enterprises</t>
  </si>
  <si>
    <t>Vishnu Repossession Agency</t>
  </si>
  <si>
    <t>G S Services</t>
  </si>
  <si>
    <t>Definate Solutions</t>
  </si>
  <si>
    <t>Shri Ganesh Enterprises</t>
  </si>
  <si>
    <t>Akhand Motors</t>
  </si>
  <si>
    <t>Sanjeev Mahajan And Associates</t>
  </si>
  <si>
    <t>Jsr Consultant</t>
  </si>
  <si>
    <t>Golden Hawk Debt Management And Legal Services Pvt. Ltd</t>
  </si>
  <si>
    <t>Sss Solution</t>
  </si>
  <si>
    <t>Port Care Consultancy</t>
  </si>
  <si>
    <t>Mukeem Khan Repo Agency</t>
  </si>
  <si>
    <t>Sun Associates</t>
  </si>
  <si>
    <t>Swarnika Associates</t>
  </si>
  <si>
    <t>Singh Repossession Agency</t>
  </si>
  <si>
    <t>Qadir Enterprises</t>
  </si>
  <si>
    <t>Boundless Grow Up Private Limited</t>
  </si>
  <si>
    <t>Mahalaxmi Repo Agencies</t>
  </si>
  <si>
    <t>Mf Services Private Limited</t>
  </si>
  <si>
    <t>M C Associate</t>
  </si>
  <si>
    <t>Vh Management Services</t>
  </si>
  <si>
    <t>Suryavanshi Associates</t>
  </si>
  <si>
    <t>M/S Awadh Risk Management Services Pvt Ltd</t>
  </si>
  <si>
    <t>Swastik Consultancy</t>
  </si>
  <si>
    <t>Shri Shiv Associates</t>
  </si>
  <si>
    <t>Sr Collection</t>
  </si>
  <si>
    <t>Bank Bridge Solution</t>
  </si>
  <si>
    <t>Swapnil And Company</t>
  </si>
  <si>
    <t>Singh Asset Recon Services Pvt Ltd</t>
  </si>
  <si>
    <t>Jai Ambey Associates</t>
  </si>
  <si>
    <t>Accurate Investigations</t>
  </si>
  <si>
    <t>Sco 131 Chhoti Baradari, Patiala, Patiala</t>
  </si>
  <si>
    <t>15, Tollygunge Circular Road, New Alipore, Kolkata - 700053</t>
  </si>
  <si>
    <t xml:space="preserve">54,2No Floor, Pink Flats, Sant Lsher Singh Nagar, Pakhowal Road, Ludhiana - 141001 </t>
  </si>
  <si>
    <t>3774, Nageswar Tangi, Jayadev Nagar, Near Maa Club, Bhubaneshwar - 751002</t>
  </si>
  <si>
    <t>At Rajesndranagar,Temple Side Lane Near Mangala Mandir,Madhupatna,Cuttack,Odisha,753010</t>
  </si>
  <si>
    <t>H-775 Mig World Bank Petrol Line Barra Kanpur -208027</t>
  </si>
  <si>
    <t>Shop No. 7, Near Vishvkarma Gate, Near Shree Ram Mandir, Bikaner - 334001</t>
  </si>
  <si>
    <t>3Rd Floor, B-228 Nehru, Colony</t>
  </si>
  <si>
    <t>Wz-20, Possangipur, Janakpuri, New Delhi – 110058</t>
  </si>
  <si>
    <t>Hig/C-21, Sector - 1, Devendra Nagar, Raipur (C.G.) 492001.</t>
  </si>
  <si>
    <t>1St Floor , Quarter No-48/C , Road No 1 , Ashok Nagar , Doranda , Ranchi , Jharkhand- 834002</t>
  </si>
  <si>
    <t>301,302,305,306,Guru Arjun Dev Bhawan,Ranjeet Nagar,Commerccial Complex,Shadipur-110008</t>
  </si>
  <si>
    <t>C - 2/395, 3Rd Floor Back Side, Janakpuri, Delhi 110058</t>
  </si>
  <si>
    <t>Hig 43 Sec 48 C ,Mohali , Sco-122-123,1St Flor Phase 11 Mohali, Pin Code 160062  ,  Good Luck Associate Through Proprietor Taranveer Kaur ( Uid - 3775 2898 9758 )  W/O Amarjit Singh  R/O  Hig - 43 Sector - 48-C , Chandhigarh - 160062</t>
  </si>
  <si>
    <t>Plot No.5B,Gulab Tower, Nirman Nagar,Ab Dcm,Ajmer Road, Jaipur</t>
  </si>
  <si>
    <t>112/10 Govind Bhawan, Opp. Savitri Girls School, Civil Lines Ajmer 305001</t>
  </si>
  <si>
    <t>17- Pushpa Vihar , Jeevantara, Goverdhan Vilas , Dewali, Udaipur -313001, Rajasthan</t>
  </si>
  <si>
    <t>Property No.9 Dlf Industrial Area Najafgarh Road Moti Nagar Delhi-110015</t>
  </si>
  <si>
    <t>Wz-12 Kh No2882/738 1St , Floor Kailash Park, Nd-15</t>
  </si>
  <si>
    <t>50 A, Naba Mohajati Road, Dumdum 700028</t>
  </si>
  <si>
    <t>Flat No 350/351 Pocket 1 Sector 6A, Second Floor Dda Flat , Jagriti Appartment Narela Delhi 110040</t>
  </si>
  <si>
    <t>Wing B-1, 7Th Florr, Shree Vrindavan Tower, Opp. Shoe Market, Sanjay Place, Agra 282002</t>
  </si>
  <si>
    <t>Flat No -705 , Prateek Center , Sanjay Palace Above Chai Sutta Bar Agra 282002</t>
  </si>
  <si>
    <t>42 Dlf Pvt No.A-1 Second Floor, Industrial Area Kirti Nagar, Delhi-110015
A-23 , Upper Ground Floor , Sector 2 Noida 201301</t>
  </si>
  <si>
    <t>Durgma Tower, 2Nd Floor, 125/06 , Queenton Road, Lalbagh , Lucknow Uttar Pradesh- 226001</t>
  </si>
  <si>
    <t>Ff16, Goel Palace, Indra Nagar Faizabad Road, Lucknow - 226016</t>
  </si>
  <si>
    <t>Vpo Barota Sonipat Road Gohana ,Sonipat,131301</t>
  </si>
  <si>
    <t>Plot No.6 D,Nai Basti Gadiana,Pac,Kanpur Nagar, Uttar Pradesh,208015</t>
  </si>
  <si>
    <t>Flat No. 130, Pocket-3, Sec-2,  Rohini Near Shiv Hanuman Mandir New Delhi 110085</t>
  </si>
  <si>
    <t>Scf -40, 3Rd Floor, Phase 2, Mohali 160055 , Smt Iqbal Kaur Ral W/O Sh , Sardful Singh R/O House No - 630 Phase -3A , Sector -53 ,Mohali , Tehsil &amp;  Distric S.A.S Nagar Punjab   ,  Mr.Samar Vir Singh S/O Sh, Satya Pal Singh R/O #1A, Yuvraj Rajdhanl Homes , Rajdhanal Enclave , Chajju Majra , Kharar Distric S.A.S. Nagar , Punjab  /   Sco-31 , 2Nd Floor Phase-1  Mohali Punjab - 160055</t>
  </si>
  <si>
    <t>Bora Market Market R.G.B Road , Borah Market Complex,1 St Floor, Near Assam State Zoo, Guwahati, Assam-781005</t>
  </si>
  <si>
    <t>2Nd Floor, Mo Daliya Chandan Market, Chandan Market, Yamaha Agency, M O Deliya, G T Road, Sasaram, Rohtas, Rohtas</t>
  </si>
  <si>
    <t>24, Ashoke Nagar, P.O- Midnapore, Ps - Kotwali, Dist - Paschim Medinipur State - West Bengal - 721101</t>
  </si>
  <si>
    <t>180/1/B, Roy Bahadur Road, Kolkata - 700034</t>
  </si>
  <si>
    <t>House No -33, Rangmili Path, M T Road, Guwahati - 780124</t>
  </si>
  <si>
    <t>Sco 50-51, Cue-1, Red Square Market, Hisar-125001 (Haryana)</t>
  </si>
  <si>
    <t>Plot No. 654, Prince Tower Residency Rd, Sardarpura, Jodhpur, Rajasthan - 342003</t>
  </si>
  <si>
    <t>11/27, 2Nd Floor , East Patel Nagar, New Delhi - 110008</t>
  </si>
  <si>
    <t>48/28A, Purnachandra Mitra Lane, Swiss Park, Kolkata - 700033</t>
  </si>
  <si>
    <t>Wing C 6Th Floor, Block No. E-12/8 Shree Vrindavan Tower , Sanjay Palace,Agra Up-282002</t>
  </si>
  <si>
    <t>8\38, Fern Road, Kolkata - 700019</t>
  </si>
  <si>
    <t>Shop 1  Sec A Sarswati Nagar Pali Road Forest Research Center Basni Jodhpur Rajasthan 342005</t>
  </si>
  <si>
    <t>32/T-10, Dharamshala Road, Gorakhpur,Uttar Pradesh-27300</t>
  </si>
  <si>
    <t>Sco-87, 1St Floor, , Sector-40C, , Chandigarh -160036</t>
  </si>
  <si>
    <t>15 24 , Stainley Road , Civil Lines Allahabad-211001</t>
  </si>
  <si>
    <t>Kh.No-1001 First Portion 1St Floor , Street No-12 Village Jagatpur Extn, Village Jagatpur Burari Near Rama Public School Delhi 110084</t>
  </si>
  <si>
    <t>Plot No. 99, Near Hanuman Mandir , Bhagat Ki Kothi</t>
  </si>
  <si>
    <t>First Floor Hl-11, Mansarover Shopping Complex , Delhi Road Mooradabad</t>
  </si>
  <si>
    <t>Sco -21 2Nd Floor Cabin No.-206, Feroz Gandhi Market, Ludhiana 141001</t>
  </si>
  <si>
    <t>Shop No 113 Behind Jagat Petrol Pump Adarsh Nagar Jwalapur Haridra , Jwalapur, Adarsh Nagar</t>
  </si>
  <si>
    <t>Kachari Basti Road, House No. 1, Holding No. 246 Of Gmc Ulubari, Guwahati, Kamrup, Assam-781007.</t>
  </si>
  <si>
    <t>Sco 5, 2Nd Floor, Saini Tower, Feroz Gandhi Market</t>
  </si>
  <si>
    <t>S/O Tilak Singh,Village, Mahuhar , Bhogaon Mainpuri,Up-205001</t>
  </si>
  <si>
    <t>Rz-154A , Main Najafgarh Road, Uttam Nagar Delhi</t>
  </si>
  <si>
    <t>Shop No 5 , 1 St Floor Block 25 , Clothe Market Sanjay Palace Agra 283102</t>
  </si>
  <si>
    <t>Ground Floor C/O Puspa Devi,Behind Hi-Tech Hospital, Basanti Nagar Danapur, Pragati Nagar Patna, Bihar-801503</t>
  </si>
  <si>
    <t>New Mahaveer Colny , Tetri Toli, Namkum,Ranchi 834010, New Mahaveer Colny , Tetri Toli, Namkum,Ranchi 834010, New Mahaveer Colny , Tetri Toli, Namkum,Ranchi 834010</t>
  </si>
  <si>
    <t>Dubey Colony,Tetri Toli,Nakmkum, Ranchi,834010,Jharkhand, Dubey Colony,Tetri Toli,Nakmkum, Ranchi,834010,Jharkhand, Dubey Colony,Tetri Toli,Nakmkum, Ranchi,834010,Jhar</t>
  </si>
  <si>
    <t>Sco No 43, First Floor, Sector 41D Chandigarh-160036</t>
  </si>
  <si>
    <t>Vill Dalipur , Post - Mangari, Near Babatpur Airport Varanasi 221202</t>
  </si>
  <si>
    <t xml:space="preserve">19, Brahm Nagar, , Lawrence Road, Amritsar -143001	</t>
  </si>
  <si>
    <t>2315/32 Gali No 1 , Near Atul Katariya Chowk , Gurgaon Haryana 122001</t>
  </si>
  <si>
    <t>Flat No 204 2Nd Floor ,, C Seheme Jaipur, Whispering Palm Opp Hotal Shakun Subhash Marg, C Seheme Jaipur-302001</t>
  </si>
  <si>
    <t>Sco No.-153, , 3Rd Floor, Red Square Market,Hisar,Haryana-125001</t>
  </si>
  <si>
    <t>First Floor Plot No 12 Near Manav City Jaipur Road, Opposite Sri Ram Transport Company Gokulpura Tiraha Sikar, Sikar, Rajasthan-332021</t>
  </si>
  <si>
    <t>Mukeem Khan Repo Agency, Opp Malik Petrol Pump, Hodal Road Nuh</t>
  </si>
  <si>
    <t>A-10 Near Mahavidya Devi Temple, Phase - 2 Mahavidya Colony , Mathur Up 281003</t>
  </si>
  <si>
    <t>B-6/144-145,Third Floor,Sector -8 Rohini -110085</t>
  </si>
  <si>
    <t>A9 North Wing 3Rd Unit 2Nd Floor Phase 2 Mayapuri Indi Area New Delhi -110064</t>
  </si>
  <si>
    <t>2Nd Floor Sarmera House , Near Post Office, Jamal Road</t>
  </si>
  <si>
    <t>Chandpur Harvansh Purbi, Chandpur Harbanshpur Po Dabha Semar Disct.Ayodhya Up 224133</t>
  </si>
  <si>
    <t>Ground Floor 1975/8 Old Number And 626/8New Number Islamabad Noore Shah Road Amritsar Punjab 143001</t>
  </si>
  <si>
    <t>Sco. 18 Thrid Floor, Nehru Shopping Complex Lawrance Road, Amritsar Punjab</t>
  </si>
  <si>
    <t>Plot No-244, Atnuapada, Po/Ps – Madhupatna, Cuttack, 753010</t>
  </si>
  <si>
    <t>Khasra No.-678/1 Kanpur Road, Behsa, Lko(Jb Metro Heights) 5Th Floor, Flat No. 501, Lucknow Uttar Pradesh- 226008</t>
  </si>
  <si>
    <t>Opp Dav Puplic School, Near Maharana Pratab Chowk, Sukharli Enclave, Gururam Haryana-122001,</t>
  </si>
  <si>
    <t>First And Second Floor Plot No 97 Om Shiv Nagar Gokulpura Jhotwara Jaipur- 302012</t>
  </si>
  <si>
    <t>A-42 Annapurna Complex Sector H Lda Colony Kanpur Road, Lucknow, Uttar Pradesh 226012</t>
  </si>
  <si>
    <t>20 Basant Vatika Extension Guru Angad Dev Colony Flower Enclave Ludhiana 141013</t>
  </si>
  <si>
    <t>10B Mukherjee Para Lane, 1St Floor Kolkata.Pin-700026.</t>
  </si>
  <si>
    <t>1St Floor Royal Trade Center, Khurramnagar Lucknow 226022</t>
  </si>
  <si>
    <t>70A Charu Chandra Avenue.Kolkata-700033.</t>
  </si>
  <si>
    <t>63/2 , Basement Hall, City Center The Mall Road Kanpur 208001</t>
  </si>
  <si>
    <t>Plot No 36 And 36A, Third Floor Kh No-4/2 Block-C, Nishant Park Kakrola, New Delhi, South West Delhi, New Delhi 110078</t>
  </si>
  <si>
    <t>A30 Pillar No 538 2Nd Floor Tilak Nagar Near Janalpuri East Metro Station New Delhi 110018</t>
  </si>
  <si>
    <t>A5- Shankar Garden Opp Metro Pillar No 618, Najafgarh Road Vikas Puri New Delhi 110018</t>
  </si>
  <si>
    <t xml:space="preserve">Erp Id </t>
  </si>
  <si>
    <t>Yblv1117</t>
  </si>
  <si>
    <t>Yblv1107</t>
  </si>
  <si>
    <t>Yblv1016</t>
  </si>
  <si>
    <t>Yblv1072</t>
  </si>
  <si>
    <t>Yblv1123</t>
  </si>
  <si>
    <t>Yblv1132</t>
  </si>
  <si>
    <t>Yblv1129</t>
  </si>
  <si>
    <t>Yblv0960</t>
  </si>
  <si>
    <t>Yblv1188</t>
  </si>
  <si>
    <t>Sharma Farm</t>
  </si>
  <si>
    <t>Gopal Nagar Najafgarh</t>
  </si>
  <si>
    <t>2Nd Floor, 111/273 Harsh Nagar,Kanpur 208012</t>
  </si>
  <si>
    <t>A/56,Housing Colony Lohiyanagar,Kankarbagh Patna Bihar_800020</t>
  </si>
  <si>
    <t>H No .4 Dispur Gate Naharani Path Guwahati Assam 781038</t>
  </si>
  <si>
    <t>454, Urao Basti, Old Sitaramdera, P.O - Agrico, Jamshedpur - 831009</t>
  </si>
  <si>
    <t>Room No.9, 1St Floor, Jat Boarding, Station Road, Alwar-301001-</t>
  </si>
  <si>
    <t>Panipat</t>
  </si>
  <si>
    <t>Prince Guest House, Room No.2-B,Near Axis Bank, G T Road, Panipat-132103</t>
  </si>
  <si>
    <t>Audit Failed due to non cooperation.</t>
  </si>
  <si>
    <t>Saltee Plaza,Room No 504,1 No Jessore Road,Gol Park, Kamar Danga,North Damdam West Bengal, Kolkata 700080</t>
  </si>
  <si>
    <t>Rohtas</t>
  </si>
  <si>
    <t>Agency working from Pune</t>
  </si>
  <si>
    <t>As discussed with Shiraz sir, Royal Finance Associates to be marked as not audited as agency having less than 10 collection cases in Jan to March 2026</t>
  </si>
  <si>
    <t>Low allocation in January and no allocation afterwards</t>
  </si>
  <si>
    <t>307, Vaishali Tower - 1, Nursery Circle, Vaishali Nagar, Jaipur - 302021</t>
  </si>
  <si>
    <t>No repo or collection cases available with Agency in Jan to March 2026</t>
  </si>
  <si>
    <t>Audited</t>
  </si>
  <si>
    <t>CHAUDHARY ASSOCIATES</t>
  </si>
  <si>
    <t>Sigma Associate</t>
  </si>
  <si>
    <t>Tiger Brothers Services Pvt Ltd</t>
  </si>
  <si>
    <t>Vaishnavi Repo Agency</t>
  </si>
  <si>
    <t>1St Floor,Office No-1, Anany Kunj,Oppostive Vicky Complex Lower Chutia Dist- Ranchi 834001</t>
  </si>
  <si>
    <t>5/91, Opp Mental Hospital Soth Ki Mandi Agra-282002</t>
  </si>
  <si>
    <t>Vindavan Colony Jakaripur Baripahari,Agamkuan Patna Bihar 800007</t>
  </si>
  <si>
    <t xml:space="preserve">69 Raja Garden 2Nd Floor, Delhi 110015
</t>
  </si>
  <si>
    <t>C-10, H Park Maha Nagar, Lucknow - 226006-</t>
  </si>
  <si>
    <t>68/A Jessore Road, Dumdum, North 24 Parganas, 700028</t>
  </si>
  <si>
    <t>C-128/2, Village- Mohdpur New Delhi- 110067</t>
  </si>
  <si>
    <t>Floor No. Part - B, Basement Floor, Plot No - 1179, Sakal Sumangal, Rani Sati Nagar, Nirman Nagar, Jaipur - 302019</t>
  </si>
  <si>
    <t>O. P. Complex, Opp Hdfc Bank, P &amp; M Mall Road, Kurji, Patna 800010</t>
  </si>
  <si>
    <t>17/3 Sahapur Colony New Alipore, Kolkata-700053
Office Adders-34/</t>
  </si>
  <si>
    <t>Not Audited</t>
  </si>
  <si>
    <t>45-46 Balaji Complex, 2Nd Floor, Guru Nanak Nagar West Laxmi Nagar New Delhi 110092</t>
  </si>
  <si>
    <t xml:space="preserve">Head Office Address : C 70 Kashyap Path, Janpath, Shyam Nagar Jaipur 302006
</t>
  </si>
  <si>
    <t>Branch Office Address : Plot No 2, Purana Bhura Siddh, Temple Gate, Jaipur Road, Alwar - 301001</t>
  </si>
  <si>
    <t>49-A, New Jawahar Nagar, ( Opp Apj School, Bmc Chowk ) Jalandhar City, Jalandhar-144001</t>
  </si>
  <si>
    <t xml:space="preserve"> # 7-8 Nehru Garden Road, Opp. Bocki Industries,  Jalandhar-I, Jalandhar, 144001</t>
  </si>
  <si>
    <t>Sco-31 , 2Nd Floor Phase-1  Mohali Punjab - 160055</t>
  </si>
  <si>
    <t>H No - 06, Vidyapati Nagar, Main Road Baridih, Jamshedpur - 831017 //</t>
  </si>
  <si>
    <t xml:space="preserve">B/111 Subhash Road, Baagun Nagar Baridih Near Aiwc High School Po Baridih East Singhbhum Jamshedpur 831017. </t>
  </si>
  <si>
    <t>20/1, Plot, 100 Sahapur Colony, New Alipore, Kolkata- 700053</t>
  </si>
  <si>
    <t xml:space="preserve">
1/50/2/71, 2Nd Floor Lalita Park Laxmi Nagar Delhi 110092</t>
  </si>
  <si>
    <t>D-8, Upper Ground Floor, Laxmi Nagar, Near Metro Pillar No. 36, Delhi – 110092.</t>
  </si>
  <si>
    <t>Plot No. 15/1, Sector 28, Opposite Unicorn Garden, Rohtak, Haryana.</t>
  </si>
  <si>
    <t xml:space="preserve">Malik Complex , Shop No 23, Double Phatak, Geeta Colony , Rohtak , Haryana 124001 /  </t>
  </si>
  <si>
    <t xml:space="preserve">B2 And B3 Khasra No. 2761/738 And 2762/738/1, , Second Floor, Kailash Park ,Vill. Basaidara Pur, Moti Nagar West Delhi 110015 </t>
  </si>
  <si>
    <t xml:space="preserve"> /  14/27 Chowbhaga Road, Kolkata – 700039.</t>
  </si>
  <si>
    <t>3E/6 Jhandewaln Extn New Delhi 110055</t>
  </si>
  <si>
    <t>MK Associates</t>
  </si>
  <si>
    <t>YBLV1131</t>
  </si>
  <si>
    <t>Plot No -824, Flat No. S-1 Shalimar Garden Extn -1, Sahibabad,Ghaziabad,Uttar Pradesh</t>
  </si>
  <si>
    <t>Allocaton given by Stockyard</t>
  </si>
  <si>
    <t>Z20975</t>
  </si>
  <si>
    <t>UTTAR PRADESH</t>
  </si>
  <si>
    <t>Amit Singh</t>
  </si>
  <si>
    <t>Syed Bukhari/ Zeba Zamir/ Ismat Zamir</t>
  </si>
  <si>
    <t>YBLV0960</t>
  </si>
  <si>
    <t>Visited the agency but audit not done due to agency is working for Yes Bank from their another branch, Address : 454, Urao Basti, Old Sitaramdera, P.O - Agrico, Jamshedpur - 831009</t>
  </si>
  <si>
    <t>17/3 Sahapur Colony New Alipore, Kolkata-700053</t>
  </si>
  <si>
    <t>Visited the agency but audit not done due to agency is working for Yes Bank from their another branch, Address : 17/3 Sahapur Colony New Alipore, Kolkata-700053</t>
  </si>
  <si>
    <t>Visited the agency but audit not done due to agency is working for Yes Bank from their another branch, Address : 2nd floor, Saara Tower, Near Nursery Circle, Vaishali Nagar Jaipur - 302021</t>
  </si>
  <si>
    <t xml:space="preserve">On 24th April 2026, our auditor Mr. Chandan Sharma visited the agency to conduct the audit. However, the audit could not be completed due to deliberate non-cooperation and obstructive behaviour by the agency staff.
After presenting the authorized letter and ID card to agency person, the audit could not be completed due to deliberate non-cooperation , Abusing, harsh/rude behaviour and threaten to beat Auditor by the agency person. Agency person have collected auditor’s phone by forcefully and deleted all the evidence captured by the auditor. and agency person asked who have been authorised you to audit my agency and asked him to leave the agency or he will beat auditor. 
Due to these, hostile behaviour, and lack of cooperation, the audit could not be conducted and all the evidence deleted by agency person.
</t>
  </si>
  <si>
    <t>Audited on another address : 45 46 , 2nd floor , west guru angad nagar , laxmi nagar -110092</t>
  </si>
  <si>
    <t>Head Office Address : C 70 Kashyap Path, Janpath, Shyam Nagar Jaipur 302006</t>
  </si>
  <si>
    <t>Audited on another address : Head Office Address : C 70 Kashyap Path, Janpath, Shyam Nagar Jaipur 302006</t>
  </si>
  <si>
    <t>23, Bankim Mukherjee Sarani,, 198A, Block-J, New Alipore,, Kolkata - 700053</t>
  </si>
  <si>
    <t>Audited on another address : Door No : 20/1, PLOT, 100 SAHAPUR COLONY, NEW ALIPORE, KOLKATA- 700053</t>
  </si>
  <si>
    <t>Visited the agency but audit not done due to agency is working for Yes Bank from their another branch, Address : A-1 1st floor , shastri nagar , new delhi -110034</t>
  </si>
  <si>
    <t>D-2/50-52 Sikka House Basement, Vibhuti Khand, Gomti Nagar, Lucknow-226010</t>
  </si>
  <si>
    <t>Visited the agency but audit not done due to agency is working for Yes Bank from their another branch, Address : O. P. Complex, Opp Hdfc Bank, P &amp; M Mall Road, Kurji, Patna 800010</t>
  </si>
  <si>
    <t>Mb-1/E, Madhuban Road, Vikas Marg, Shakarpur, New Delhi,East Delhi, Delhi India -110092</t>
  </si>
  <si>
    <t>Plot No.5 Top Floor Near Marry Zone Banquet , Subhash Nagar Metro Station , Gate No.2 Tilak Nagar , Industrial Area , New Delhi-110019</t>
  </si>
  <si>
    <t>Audited on another address : Door No : 1/50/2/71, 2Nd Floor Lalita Park Laxmi Nagar Delhi 110092</t>
  </si>
  <si>
    <t>Visited the agency but audit not done due to agency is working for Yes Bank from their another branch, Address : 1st Floor O.P Complex in front of Bandhan Bank Kurji Near Krishna Hospital Kurji Patna Bihar 800010</t>
  </si>
  <si>
    <t>Audited on another address : Sco-31 , 2Nd Floor Phase-1  Mohali Punjab - 160055</t>
  </si>
  <si>
    <t>Audited on another address : 49-A, New Jawahar Nagar, ( Opp Apj School, Bmc Chowk ) Jalandhar City, Jalandhar-144001</t>
  </si>
  <si>
    <t xml:space="preserve">Audited on another address : B/111 subhash road, baagun nagar baridih near AIWC high school po baridih east singhbhum jamshedpur 831017. </t>
  </si>
  <si>
    <t>Audited on another address : Plot No. 15/1, Sector 28, Opposite Unicorn Garden, Rohtak, Haryana.</t>
  </si>
  <si>
    <t xml:space="preserve">Visited the agency but audit not done due to agency is working for Yes Bank from their another branch, Address : B2 And B3 Khasra No. 2761/738 And 2762/738/1, , Second Floor, Kailash Park ,Vill. Basaidara Pur, Moti Nagar West Delhi 110015 </t>
  </si>
  <si>
    <t>On 23rd April 2026, our auditor Mr. Abhinav Khurana visited the agency premises at (Plot No. 824, Flat No. S-1, Shalimar Garden Extn-1, Sahibabad, Ghaziabad, Uttar Pradesh) for the scheduled audit activity. However, the agency was not available at the given address.
Despite efforts to communicate with the agency manager, Mr. Ritin, the contact details provided for the agency person did not yield any response. Furthermore, the manager himself was unable to confirm the current address of the agency for audit purposes.</t>
  </si>
  <si>
    <t>Agpo Management Services Pvt Ltd - Kanpur</t>
  </si>
  <si>
    <t>Agpo Management Services Pvt Ltd - Lucknow</t>
  </si>
  <si>
    <t>Agpo Management Services Pvt Ltd - Agra</t>
  </si>
  <si>
    <t>Aim Corporate - Kolkata</t>
  </si>
  <si>
    <t>Aim Corporate - Patna</t>
  </si>
  <si>
    <t>Excel Agencies - Mohali</t>
  </si>
  <si>
    <t>Excel Agencies - Ludhiana</t>
  </si>
  <si>
    <t>Excel Agencies - Amritsar</t>
  </si>
  <si>
    <t>Kalyani Associate - Kolkata</t>
  </si>
  <si>
    <t>Kalyani Associate - Bhubaneshwar</t>
  </si>
  <si>
    <t>Kalyani Associate - Jamshedpur</t>
  </si>
  <si>
    <t>A R Group - Alwar</t>
  </si>
  <si>
    <t>A R Group - Jaipur</t>
  </si>
  <si>
    <t>Choudhary Brothers Group - Jaipur</t>
  </si>
  <si>
    <t>Choudhary Brothers Group - Alwar</t>
  </si>
  <si>
    <t>G.D.M. Management Services Pvt Ltd - Panipat</t>
  </si>
  <si>
    <t>G.D.M. Management Services Pvt Ltd - Delhi</t>
  </si>
  <si>
    <t>Global Management - Patna</t>
  </si>
  <si>
    <t>Global Management - Lucknow</t>
  </si>
  <si>
    <t>Global Services - Allahabad</t>
  </si>
  <si>
    <t>Global Services - Delhi</t>
  </si>
  <si>
    <t>Gurman Industries - Shubhash Nagar</t>
  </si>
  <si>
    <t>Gurman Industries - Nirman Vihar</t>
  </si>
  <si>
    <t>Rakesh Kumar Sharma &amp; Consultants Pvt Ltd - Mathura</t>
  </si>
  <si>
    <t>Rakesh Kumar Sharma &amp; Consultants Pvt Ltd - Jaipur</t>
  </si>
  <si>
    <t>The Pentagon House - Delhi</t>
  </si>
  <si>
    <t>The Pentagon House - Lucknow</t>
  </si>
  <si>
    <t>Chaudhary Associates</t>
  </si>
  <si>
    <t>165, Gali No 5 Village Jagatpur, New Delhi North East Delh-110084</t>
  </si>
  <si>
    <t>Raju Ghosh</t>
  </si>
  <si>
    <t>Deepu Kumar</t>
  </si>
  <si>
    <t>2Nd Floor, Seth Sadan Compund, 20 Rana Pratap Marg, Lucknow, - 226001-</t>
  </si>
  <si>
    <t>Shop No 14, 2Nd Floor, Block No 1, Shoe Market, Sanjay Place, Agra  - 282002-</t>
  </si>
  <si>
    <t>Kamrabad Road Near Hdfc Banks Onarpur 700150</t>
  </si>
  <si>
    <t>C-3, Hall 5, 3Rd Floor, Plot No. A/410, Metro House, Saheed Nagar, Bhubaneshwar - 751007-</t>
  </si>
  <si>
    <t>Plot No 259,Phase Viii B,Industrial Focal Point,Sas Nagar,  Mohali - 160062</t>
  </si>
  <si>
    <t>Office No. 2, 2Nd Floor, Novelty Plaza, Opp. Park Plaza, Bhai Wala Chowk, Ludhiana - 141001</t>
  </si>
  <si>
    <t>Shop No 20, Ssss Complex, Batala Road, Randhwa, Amritsar - 143001</t>
  </si>
  <si>
    <t>2Nd Floor, Saara Tower, Near Nursery Circle, Vaishali Nagar Jaipur - 302021</t>
  </si>
  <si>
    <t>A-1 1St Floor , Shastri Nagar , New Delhi -110034</t>
  </si>
  <si>
    <t>Plot No 734, Ratha Road, Barik Sahi, Ward No 54, Khorda, Bhubhneshwar Odisha-751002</t>
  </si>
  <si>
    <t>1St Floor O.P Complex In Front Of Bandhan Bank Kurji Near Krishna Hospital Kurji Patna Bihar 800010</t>
  </si>
  <si>
    <t>S-674 B Side F/F School Block Shakarpur Delhi-110092</t>
  </si>
  <si>
    <t>3Rd Floor,Hanumanta Complex,Near Mansu Realty Ring Road No. 1 Agoraha Colony Raipura Raipur (492013)</t>
  </si>
  <si>
    <t>Borah Maket Rgb Road ,, Guwahati , Kamrup Metro , 781005</t>
  </si>
  <si>
    <t>L3 Awadh Paradise Haruha Airport Road Haruha Varansi Up-221001</t>
  </si>
  <si>
    <t>Mk Associates</t>
  </si>
  <si>
    <t>Pooja Chaudhry</t>
  </si>
  <si>
    <t>Audited address</t>
  </si>
  <si>
    <t>Console</t>
  </si>
  <si>
    <t>Manager</t>
  </si>
  <si>
    <t>Auditor Name</t>
  </si>
  <si>
    <t>Auditor Cont. Number</t>
  </si>
  <si>
    <t>Audit date</t>
  </si>
  <si>
    <t>CM ID</t>
  </si>
  <si>
    <t>CM</t>
  </si>
  <si>
    <t>RCM</t>
  </si>
  <si>
    <t>Kumar Gaurav Agarwal &amp; company</t>
  </si>
  <si>
    <t>Gurjeet Kour</t>
  </si>
  <si>
    <t>Kiran Kashyap</t>
  </si>
  <si>
    <t>Aaditya Gupta : 8931845182</t>
  </si>
  <si>
    <t>Hariom Sharma</t>
  </si>
  <si>
    <t>Surjit</t>
  </si>
  <si>
    <t>Tanmoy Chandra</t>
  </si>
  <si>
    <t>Sanjeev Chakraborty</t>
  </si>
  <si>
    <t>Rajesh Rohil : 9873954912</t>
  </si>
  <si>
    <t>Saswata Chakraborty</t>
  </si>
  <si>
    <t>Palak/9878883314</t>
  </si>
  <si>
    <t>Savita</t>
  </si>
  <si>
    <t>Pushpendra Choudhary / 9829221122</t>
  </si>
  <si>
    <t>Pradeep Kumar Yadav / 6377663047</t>
  </si>
  <si>
    <t>Suradip Mondal</t>
  </si>
  <si>
    <t>Himanshu Awashti</t>
  </si>
  <si>
    <t>Rajneesh Kumar / 9990486864</t>
  </si>
  <si>
    <t>Bharat Ratan Singh: 9314060500</t>
  </si>
  <si>
    <t>Anju / 7217680450</t>
  </si>
  <si>
    <t>Arvind Kumar Mishra : 7080800310</t>
  </si>
  <si>
    <t>Payal</t>
  </si>
  <si>
    <t>Manoj</t>
  </si>
  <si>
    <t>Mukul Ramawat / 8209758199</t>
  </si>
  <si>
    <t>Ajay Gupta</t>
  </si>
  <si>
    <t>Dimple</t>
  </si>
  <si>
    <t>Sukhdev/9317575751</t>
  </si>
  <si>
    <t>Pooja Gupta/8837665745</t>
  </si>
  <si>
    <t>Ankit (9675445974)</t>
  </si>
  <si>
    <t>Arif / 8742950251</t>
  </si>
  <si>
    <t>Mohammed Rizwan (7509634823)</t>
  </si>
  <si>
    <t>Akash Kushwah / 7725943164</t>
  </si>
  <si>
    <t>Rohit</t>
  </si>
  <si>
    <t xml:space="preserve">Rahul Arora </t>
  </si>
  <si>
    <t>Suhshant Sharma</t>
  </si>
  <si>
    <t xml:space="preserve">Hig 43 Sec 48 C ,Mohali , Sco-122-123,1St Flor Phase 11 Mohali, Pin Code 160062 </t>
  </si>
  <si>
    <t>Vartika Sharma</t>
  </si>
  <si>
    <t>Kanta Prasad Sharma</t>
  </si>
  <si>
    <t>Ranveer Singh Rathore / 9829383528</t>
  </si>
  <si>
    <t>Mayank</t>
  </si>
  <si>
    <t xml:space="preserve">Shivam / 7042377975 </t>
  </si>
  <si>
    <t>Mithlesh Kumar</t>
  </si>
  <si>
    <t>Dheeraj (9215247808)</t>
  </si>
  <si>
    <t>Syad / 9911639094</t>
  </si>
  <si>
    <t>Shansank Agarwal</t>
  </si>
  <si>
    <t>Sarvesh Shukla</t>
  </si>
  <si>
    <t>Vishal ( 9971044062)</t>
  </si>
  <si>
    <t xml:space="preserve">Shukhpreet Kour </t>
  </si>
  <si>
    <t>Puneet Handa</t>
  </si>
  <si>
    <t>Sandeep Saini / 9719790000</t>
  </si>
  <si>
    <t>Divyansh Verma - 9559897603</t>
  </si>
  <si>
    <t>Prateek Asthana : 9140973378</t>
  </si>
  <si>
    <t>Deepika Tiwari : 9919523444</t>
  </si>
  <si>
    <t>Vikas (8222800422)</t>
  </si>
  <si>
    <t>Himanshu Sharma / 9251011749</t>
  </si>
  <si>
    <t>Ravindr</t>
  </si>
  <si>
    <t>Naveen Sharma / 9571354428</t>
  </si>
  <si>
    <t>Samar Vir</t>
  </si>
  <si>
    <t>Aknsha Kumari / 9548597076</t>
  </si>
  <si>
    <t xml:space="preserve"> 10-03-2026</t>
  </si>
  <si>
    <t>Varun / 7017433994</t>
  </si>
  <si>
    <t>Vineet Pathak</t>
  </si>
  <si>
    <t>Anshul Arora</t>
  </si>
  <si>
    <t>Arif Khan</t>
  </si>
  <si>
    <t>Sandeep Kumar Gosh</t>
  </si>
  <si>
    <t>Abhshek Gupta</t>
  </si>
  <si>
    <t>Radhika</t>
  </si>
  <si>
    <t>Neha (8851441735)</t>
  </si>
  <si>
    <t xml:space="preserve"> Priyanka</t>
  </si>
  <si>
    <t>Manjeet Choudhary / 8005614723</t>
  </si>
  <si>
    <t>Karthik Jangid / 8058077453</t>
  </si>
  <si>
    <t>Rakesh</t>
  </si>
  <si>
    <t>Rakesh Chahat</t>
  </si>
  <si>
    <t xml:space="preserve">Vicky </t>
  </si>
  <si>
    <t>Rakesh Ji</t>
  </si>
  <si>
    <t>Sanjeev Chauhan</t>
  </si>
  <si>
    <t>Sohan / 9899429228</t>
  </si>
  <si>
    <t>Deepak Kumar</t>
  </si>
  <si>
    <t>Vaishali / 7011037379</t>
  </si>
  <si>
    <t>Neetika Jangid / 9887303806</t>
  </si>
  <si>
    <t>Namarta Sharma / 8770534356</t>
  </si>
  <si>
    <t>Ashok Bagaria / 8005544510</t>
  </si>
  <si>
    <t>Mukeem Khan</t>
  </si>
  <si>
    <t>Amit Kumar / 9460233477</t>
  </si>
  <si>
    <t>Piyush Singh</t>
  </si>
  <si>
    <t>Yogesh (9582326292)</t>
  </si>
  <si>
    <t>Gourav Kumawat</t>
  </si>
  <si>
    <t>Poonam / 9205421924</t>
  </si>
  <si>
    <t>Puja</t>
  </si>
  <si>
    <t>Harshvardhan Singh / 6375020475</t>
  </si>
  <si>
    <t>Ramandeep Kaur/6239439933</t>
  </si>
  <si>
    <t>Gajendra Bharti / 9314703282</t>
  </si>
  <si>
    <t>Pragati Vishwakarma : 9696987347</t>
  </si>
  <si>
    <t>Mayank Sain / 7014016146</t>
  </si>
  <si>
    <t>Satyam Singh : 7080802261</t>
  </si>
  <si>
    <t>Dalijeet Singh</t>
  </si>
  <si>
    <t>Manoj Kumar Gupta : 9839044301</t>
  </si>
  <si>
    <t>Anil Swami / 7976225567</t>
  </si>
  <si>
    <t>Naina</t>
  </si>
  <si>
    <t>Pravesh (9205533109)</t>
  </si>
  <si>
    <t>Pankaj Kumar</t>
  </si>
  <si>
    <t xml:space="preserve">Rahul Verma </t>
  </si>
  <si>
    <t>Vikky Kumar</t>
  </si>
  <si>
    <t>Chandan Sharma</t>
  </si>
  <si>
    <t>Aman Monga</t>
  </si>
  <si>
    <t xml:space="preserve">Pradeep </t>
  </si>
  <si>
    <t>Pawan Kumar</t>
  </si>
  <si>
    <t xml:space="preserve">Akash Sharma </t>
  </si>
  <si>
    <t xml:space="preserve">Akshay Notiyal </t>
  </si>
  <si>
    <t>Parteek Yadav</t>
  </si>
  <si>
    <t>Sachit Yadav</t>
  </si>
  <si>
    <t>Sharansh</t>
  </si>
  <si>
    <t>Sunny Rawat</t>
  </si>
  <si>
    <t>Bhagwati Singh</t>
  </si>
  <si>
    <t>Liyakat</t>
  </si>
  <si>
    <t>Ajay</t>
  </si>
  <si>
    <t>Tushar</t>
  </si>
  <si>
    <t>Gulshan</t>
  </si>
  <si>
    <t>Mohit Sharma</t>
  </si>
  <si>
    <t>Satendra Singh</t>
  </si>
  <si>
    <t>Jung</t>
  </si>
  <si>
    <t>Lucky</t>
  </si>
  <si>
    <t>Abhinash</t>
  </si>
  <si>
    <t xml:space="preserve">Rahul </t>
  </si>
  <si>
    <t>Pradeep Kumar</t>
  </si>
  <si>
    <t>Sanjay Kumar</t>
  </si>
  <si>
    <t>Ashwani</t>
  </si>
  <si>
    <t>Heena</t>
  </si>
  <si>
    <t>Subhrajyoti</t>
  </si>
  <si>
    <t>Barun</t>
  </si>
  <si>
    <t>Arup Das</t>
  </si>
  <si>
    <t>Ramendra Singh</t>
  </si>
  <si>
    <t>Shiv</t>
  </si>
  <si>
    <t>Vikas Gautam</t>
  </si>
  <si>
    <t>Hanuman Rath</t>
  </si>
  <si>
    <t>Raja Chaurasia</t>
  </si>
  <si>
    <t>Asif Mondal</t>
  </si>
  <si>
    <t>Jitendra</t>
  </si>
  <si>
    <t>Dinesh Gurjar</t>
  </si>
  <si>
    <t>Hemendra</t>
  </si>
  <si>
    <t>Om</t>
  </si>
  <si>
    <t>Vishal</t>
  </si>
  <si>
    <t>Prashant</t>
  </si>
  <si>
    <t>Imran Khan</t>
  </si>
  <si>
    <t>Yash</t>
  </si>
  <si>
    <t>Gaurav</t>
  </si>
  <si>
    <t>Satish Chauhan</t>
  </si>
  <si>
    <t>Prakul</t>
  </si>
  <si>
    <t>Prem Sharma</t>
  </si>
  <si>
    <t>Ravinder Kartaiya</t>
  </si>
  <si>
    <t>Anmol Sharma</t>
  </si>
  <si>
    <t>Dushyant</t>
  </si>
  <si>
    <t>Mohit Kumar</t>
  </si>
  <si>
    <t>Hanuman</t>
  </si>
  <si>
    <t>Suraj Kumar</t>
  </si>
  <si>
    <t>Ajay Ji</t>
  </si>
  <si>
    <t>Pankaj Jain</t>
  </si>
  <si>
    <t>Dipankar Dingal</t>
  </si>
  <si>
    <t>Soumitra</t>
  </si>
  <si>
    <t>Biswanath Barman</t>
  </si>
  <si>
    <t>Ashish</t>
  </si>
  <si>
    <t>Jinesh Kumar Raut</t>
  </si>
  <si>
    <t>Smruti Ranjan Dhir</t>
  </si>
  <si>
    <t>Mahesh Saini</t>
  </si>
  <si>
    <t>Vikram Singh</t>
  </si>
  <si>
    <t>Manjo Kumar</t>
  </si>
  <si>
    <t>Ravindra</t>
  </si>
  <si>
    <t>Laxman</t>
  </si>
  <si>
    <t>Raunak</t>
  </si>
  <si>
    <t>Soyeb Ahamed</t>
  </si>
  <si>
    <t>Subham Kumar</t>
  </si>
  <si>
    <t>Gopal Yadav</t>
  </si>
  <si>
    <t>Laxmikant Umariya</t>
  </si>
  <si>
    <t>Bhumika</t>
  </si>
  <si>
    <t>Golu Yadav</t>
  </si>
  <si>
    <t>Tanishka</t>
  </si>
  <si>
    <t>Ankit Singh</t>
  </si>
  <si>
    <t>Anshika</t>
  </si>
  <si>
    <t>Mr. Sumit</t>
  </si>
  <si>
    <t>Amit</t>
  </si>
  <si>
    <t>Anuj Yadav</t>
  </si>
  <si>
    <t>Nitin</t>
  </si>
  <si>
    <t>Shivanshu Tyagi</t>
  </si>
  <si>
    <t>Mrs. Beena Bansal</t>
  </si>
  <si>
    <t>Abhishek Sharma</t>
  </si>
  <si>
    <t>Satyam Singh</t>
  </si>
  <si>
    <t>Sandeepan</t>
  </si>
  <si>
    <t>Utpal Chaudhary</t>
  </si>
  <si>
    <t>Raj  Das</t>
  </si>
  <si>
    <t>Rahul Biswakarma</t>
  </si>
  <si>
    <t>Suresh Sharma</t>
  </si>
  <si>
    <t>Sahil Khan</t>
  </si>
  <si>
    <t>Shubham Sharma</t>
  </si>
  <si>
    <t>Mudit</t>
  </si>
  <si>
    <t>Nishant Khurana</t>
  </si>
  <si>
    <t>Umesh Singh</t>
  </si>
  <si>
    <t>Bipin</t>
  </si>
  <si>
    <t>Radhe Ghosh</t>
  </si>
  <si>
    <t>Raja</t>
  </si>
  <si>
    <t>Uttam</t>
  </si>
  <si>
    <t>Ganpat</t>
  </si>
  <si>
    <t>Ajay Gautam</t>
  </si>
  <si>
    <t>Vinod</t>
  </si>
  <si>
    <t>Nand Lal Ji</t>
  </si>
  <si>
    <t>Moin Khan</t>
  </si>
  <si>
    <t>Tamisha</t>
  </si>
  <si>
    <t>Sudhankar</t>
  </si>
  <si>
    <t>Pravas Ranjan</t>
  </si>
  <si>
    <t>Sanjay</t>
  </si>
  <si>
    <t>Jaspal</t>
  </si>
  <si>
    <t>Jagdev Sharma</t>
  </si>
  <si>
    <t>Akshat Pandey</t>
  </si>
  <si>
    <t>Jitendar Pandey</t>
  </si>
  <si>
    <t>Sarvan</t>
  </si>
  <si>
    <t>Sumit</t>
  </si>
  <si>
    <t>Vijay</t>
  </si>
  <si>
    <t>Raju</t>
  </si>
  <si>
    <t>Manish Kandu</t>
  </si>
  <si>
    <t>Aditya Kumar</t>
  </si>
  <si>
    <t>Hemant Megwal</t>
  </si>
  <si>
    <t>Saket Pandey</t>
  </si>
  <si>
    <t>Alam</t>
  </si>
  <si>
    <t>Parth</t>
  </si>
  <si>
    <t>Arjun</t>
  </si>
  <si>
    <t>Vishwnath Mee</t>
  </si>
  <si>
    <t>Arya</t>
  </si>
  <si>
    <t>Manoj Kumar</t>
  </si>
  <si>
    <t>Vikash</t>
  </si>
  <si>
    <t>Promit</t>
  </si>
  <si>
    <t>Ayan Khan</t>
  </si>
  <si>
    <t>Dilraj</t>
  </si>
  <si>
    <t>Biswas</t>
  </si>
  <si>
    <t>Guddu</t>
  </si>
  <si>
    <t>Surendra</t>
  </si>
  <si>
    <t>Shiva</t>
  </si>
  <si>
    <t>Veerendra Kumar</t>
  </si>
  <si>
    <t>C B Shukla</t>
  </si>
  <si>
    <t>Mukesh</t>
  </si>
  <si>
    <t>Sunny</t>
  </si>
  <si>
    <t>Lav Kush</t>
  </si>
  <si>
    <t>Ranvijay</t>
  </si>
  <si>
    <t>Amrindra Singh</t>
  </si>
  <si>
    <t>Raja Khan</t>
  </si>
  <si>
    <t>Om Prakash</t>
  </si>
  <si>
    <t>Ratan Singh</t>
  </si>
  <si>
    <t>Anil</t>
  </si>
  <si>
    <t xml:space="preserve">Raunak </t>
  </si>
  <si>
    <t>Sudhir</t>
  </si>
  <si>
    <t>Lokesh Saini</t>
  </si>
  <si>
    <t>Kundan Kumar</t>
  </si>
  <si>
    <t>Raju Kumar</t>
  </si>
  <si>
    <t>Rahul</t>
  </si>
  <si>
    <t>Udesh</t>
  </si>
  <si>
    <t>Suresh Kumar Yadav</t>
  </si>
  <si>
    <t>Ritesh</t>
  </si>
  <si>
    <t>Rajendra Mishra</t>
  </si>
  <si>
    <t>Domesh</t>
  </si>
  <si>
    <t>13-04-2026 &amp; 14-04-2026</t>
  </si>
  <si>
    <t>Sushil</t>
  </si>
  <si>
    <t>Abhijeet Swain</t>
  </si>
  <si>
    <t>Utkarsh</t>
  </si>
  <si>
    <t>Abhiram Sahoo</t>
  </si>
  <si>
    <t>Akib</t>
  </si>
  <si>
    <t>Rajesh Yadav</t>
  </si>
  <si>
    <t>Akshay Notiyal</t>
  </si>
  <si>
    <t>Snehasis Acharya</t>
  </si>
  <si>
    <t>Biswa Rajan</t>
  </si>
  <si>
    <t xml:space="preserve">Kaluram </t>
  </si>
  <si>
    <t>Pawan</t>
  </si>
  <si>
    <t>Amit Roy</t>
  </si>
  <si>
    <t>Arjun Lal</t>
  </si>
  <si>
    <t>Pardeep</t>
  </si>
  <si>
    <t>Jaimuddin</t>
  </si>
  <si>
    <t>Mahipal Ji</t>
  </si>
  <si>
    <t>Ajay Kumar</t>
  </si>
  <si>
    <t>Satish Kumar</t>
  </si>
  <si>
    <t>Aman</t>
  </si>
  <si>
    <t>Arvind</t>
  </si>
  <si>
    <t>Nidhi</t>
  </si>
  <si>
    <t>Ganesh</t>
  </si>
  <si>
    <t>Raju Gosh</t>
  </si>
  <si>
    <t>Sanjay Sethi /9811006913</t>
  </si>
  <si>
    <t>Jai Prakash / 9871064272</t>
  </si>
  <si>
    <t>Jai Kumar Sharma / 9694906891</t>
  </si>
  <si>
    <t>Santosh Kumar Sahoo</t>
  </si>
  <si>
    <t>Bibhusundar Jena</t>
  </si>
  <si>
    <t>Md Imran</t>
  </si>
  <si>
    <t>Ram Kumar</t>
  </si>
  <si>
    <t>Puja Das</t>
  </si>
  <si>
    <t>Hashim Raza (7999332578)</t>
  </si>
  <si>
    <t>Gauri Shankar Sharma/7011373173</t>
  </si>
  <si>
    <t>Rupali Singh/8539940963</t>
  </si>
  <si>
    <t>Krishna Kanhaya</t>
  </si>
  <si>
    <t>Bhupati Bhusan Maharana</t>
  </si>
  <si>
    <t>Masud Aktar</t>
  </si>
  <si>
    <t>Rajib Halder</t>
  </si>
  <si>
    <t>Tinku Sonkar</t>
  </si>
  <si>
    <t>Ak Tyagi / 9719020130</t>
  </si>
  <si>
    <t>Somnath Dey</t>
  </si>
  <si>
    <t>Hemraj Meena</t>
  </si>
  <si>
    <t>Prabhakar Ji</t>
  </si>
  <si>
    <t>Avijit Mallik</t>
  </si>
  <si>
    <t>Tarun Kumar Kundu</t>
  </si>
  <si>
    <t>Abdul Kayum</t>
  </si>
  <si>
    <t>Amit Sengupta</t>
  </si>
  <si>
    <t>Govind Singh / 8209348011</t>
  </si>
  <si>
    <t>Manish Kunar Barick</t>
  </si>
  <si>
    <t>Sandip Singh</t>
  </si>
  <si>
    <t>Sunil Vaishnav / 9602662666</t>
  </si>
  <si>
    <t>Priyanshu / 6398262071</t>
  </si>
  <si>
    <t>Milan Sharma / 9720025016</t>
  </si>
  <si>
    <t>Pankaj Yadav</t>
  </si>
  <si>
    <t>Akhilesh Kumar Tripahi</t>
  </si>
  <si>
    <t>Mahipal And Kajal</t>
  </si>
  <si>
    <t>Aditya Pratap Singh</t>
  </si>
  <si>
    <t>Mithilesh Kumar</t>
  </si>
  <si>
    <t>Kuldeep Baniya</t>
  </si>
  <si>
    <t>Vijay Dube</t>
  </si>
  <si>
    <t>Vikashawasthi : 8948907174</t>
  </si>
  <si>
    <t>Jagat Singh / 9711373011</t>
  </si>
  <si>
    <t>Subir Sikdar</t>
  </si>
  <si>
    <t>Yogendra Singh</t>
  </si>
  <si>
    <t>Ajay Kumar/7217827969</t>
  </si>
  <si>
    <t>Rishabh Yadav / 9314053433</t>
  </si>
  <si>
    <t>Sk Kamruzaman</t>
  </si>
  <si>
    <t>Bhagyalaxmi</t>
  </si>
  <si>
    <t>Kalpit Purwar / 9142810005</t>
  </si>
  <si>
    <t>Rasaal Singh</t>
  </si>
  <si>
    <t xml:space="preserve">Devi Prasad Mishra </t>
  </si>
  <si>
    <t>Nidhi Sardar</t>
  </si>
  <si>
    <t>Sanjay Kumar /9999894909</t>
  </si>
  <si>
    <t>Piyush Chouhan / 7014621268</t>
  </si>
  <si>
    <t>Niki Kumari</t>
  </si>
  <si>
    <t>Amar Singh</t>
  </si>
  <si>
    <t>Jitu Sa</t>
  </si>
  <si>
    <t>Sanjay Singh</t>
  </si>
  <si>
    <t>Babai Sinha</t>
  </si>
  <si>
    <t>Kaptan Singh</t>
  </si>
  <si>
    <t>Pratap Kumar Raut</t>
  </si>
  <si>
    <t>Kundan Kumar Singh</t>
  </si>
  <si>
    <t>Ramesh Ji</t>
  </si>
  <si>
    <t>Raj Bahadur Singh</t>
  </si>
  <si>
    <t>Sukhjinder Singh</t>
  </si>
  <si>
    <t>Harsh Kumar Singh</t>
  </si>
  <si>
    <t>Sumiran Kumar Ghosh</t>
  </si>
  <si>
    <t>Pawan Kumar Singh</t>
  </si>
  <si>
    <t>Lalit Kumar Singla</t>
  </si>
  <si>
    <t>Piyush</t>
  </si>
  <si>
    <t>Dhanraj</t>
  </si>
  <si>
    <t>Sangram Kishore</t>
  </si>
  <si>
    <t>Shyan Sunder Verma</t>
  </si>
  <si>
    <t>Mr Das</t>
  </si>
  <si>
    <t>Shyam Sharma</t>
  </si>
  <si>
    <t>Manaram Ji</t>
  </si>
  <si>
    <t>Msk</t>
  </si>
  <si>
    <t>A K Tripathi</t>
  </si>
  <si>
    <t>Karan Singh</t>
  </si>
  <si>
    <t>Abhinav Khurana</t>
  </si>
  <si>
    <t>Prakash Dhageya</t>
  </si>
  <si>
    <t>Sohib Hussain</t>
  </si>
  <si>
    <t>Vishal Saini</t>
  </si>
  <si>
    <t>Parikshit Joshi</t>
  </si>
  <si>
    <t>Pushpendra Singh</t>
  </si>
  <si>
    <t>Surinder</t>
  </si>
  <si>
    <t>Pradeep Cp</t>
  </si>
  <si>
    <t>Sethi Complex 2Nd Floor, Above Icici Bank Near Polo Ground, Patiala</t>
  </si>
  <si>
    <t>Impereal Uzan Bazzar Flat No-3-B-Third Floor Commercial M.C.Road Uzan Bazar</t>
  </si>
  <si>
    <t>3 Rd Florr House No 20 Hr Port Near Decora Marriage Hall Rgb Road Guwahati</t>
  </si>
  <si>
    <t>2Nd Floor .H.No. 14,Near Mehra Nursing Home, New Haridwar, (U.K)- 249407</t>
  </si>
  <si>
    <t>Kargjinp Achrubs Makh Kska 795113</t>
  </si>
  <si>
    <t>A+</t>
  </si>
  <si>
    <t>Yes</t>
  </si>
  <si>
    <t>Subhasis Banerjee, Md Shabbir Alam</t>
  </si>
  <si>
    <t>NKE6776587, SBE6782270, VME6772902, SRE6782838, RSE6776475, NDE6765957</t>
  </si>
  <si>
    <t>NSE6771909, SKE5835012, MSE6236002, SRE6739824, NRE6746973</t>
  </si>
  <si>
    <t>Sanjeev Kumar, Sameer Dhar</t>
  </si>
  <si>
    <t>RAE6783127, KSE6769063, SKE5835012, SSE6775469, RSE6763776, STE5844128, PKE6779360, MKE6780549</t>
  </si>
  <si>
    <t>Rittin Arya, Kushpal Singh, Sushim Kumar, Sukhwinder Singh, Ram Shankar, Sandeep Tyagi, Pawan Kumar, Milind Kumbhar</t>
  </si>
  <si>
    <t>RSE6762728, DSE6786366, MKE6467020, VME6772902, KKE6776767</t>
  </si>
  <si>
    <t>Ravi Singh, Dheerendra Singh, Manoj Kumar, Vaibhav Mishra, Kunwar Kumar Singh</t>
  </si>
  <si>
    <t>Mse6236002, VGE6773224, NSE6771909</t>
  </si>
  <si>
    <t>ASE6770928, SKE6779366, RSE6776115, SKE5835012, MKE5878004, SSE6776468, VGE6773224, RAE6783127, SPE6776273, NKE6775741, KKE6777919</t>
  </si>
  <si>
    <t>Aanchal Singh, Sumit Kumar, Rahul Sharma, Sushim Kumar, Manish Kumar, Subhash Sharma, Vishal Gupta, Rittin Arya, Sushant Parashar, Nitin Kumar, Kamal Kumar</t>
  </si>
  <si>
    <t>GME6718001, RPE6784768, MFE6778570, GKE6784579, GNC1022594, STE5844128, RAE6783127</t>
  </si>
  <si>
    <t>ASE6770928, MKE6467020, RSE6776115, VPE6766232</t>
  </si>
  <si>
    <t>Aanchal Singh, Manoj Kumar, Rahul Sharma, Vivek Pandey</t>
  </si>
  <si>
    <t>RAE6783127, JSE6785583, VME6772902, MKE6467020, SKE6753392, CME6702019, AKE6778416, SBE6782270</t>
  </si>
  <si>
    <t>Rittin Arya, Jay Shukla, Vaibhav Mishra, Manoj Kumar, Sandeep Kumar, Chander Miglani, Amit Kumar, Subhajit Bhowmik</t>
  </si>
  <si>
    <t>APE6750911, RSE6763776</t>
  </si>
  <si>
    <t>Amit Pandey, Ram Shankar</t>
  </si>
  <si>
    <t>RSE6763776, GKE6543092</t>
  </si>
  <si>
    <t>Ram Shankar, Govind Kumar</t>
  </si>
  <si>
    <t>SKE6779366, RSE6776115</t>
  </si>
  <si>
    <t>Sumit Kumar, Rahul Sharma</t>
  </si>
  <si>
    <t>ANE5784049</t>
  </si>
  <si>
    <t>Anil Kumar Nandal</t>
  </si>
  <si>
    <t>AKE6777646, SDE6781658, SPE6753711, KBE6776090, ASE6778477, AME6761288, AME6777270, PKE6762328, PYE6778749, CJE6782046, KME6780756, ASE6777499, STE6769262, PME6771779, ASE5641009</t>
  </si>
  <si>
    <t>RME6754808</t>
  </si>
  <si>
    <t>Rabi Mishra</t>
  </si>
  <si>
    <t>DRE6759196, KCE6776713</t>
  </si>
  <si>
    <t>Devi Rathore, Kana Choudhary</t>
  </si>
  <si>
    <t>Kalpesh Raval, Pawan Rana</t>
  </si>
  <si>
    <t>PGE6777921, NSE6771909</t>
  </si>
  <si>
    <t>Sameer Dhar, Sanjeev Kumar</t>
  </si>
  <si>
    <t>KKE6777919, SKE6779366, RSE6776115, SPE6776273</t>
  </si>
  <si>
    <t>Kamal Kumar, Sumit Kumar, Rahul Sharma, Sushant Parashar</t>
  </si>
  <si>
    <t>KBE6776090, KME6780756, AME6777270, CJE6782046</t>
  </si>
  <si>
    <t>Kalpataru Baishakh, Kiran Mohapatra, Avdesh Mishra, Choudhury Jena</t>
  </si>
  <si>
    <t>SSE6756265, SPE6753711, SNE6610031</t>
  </si>
  <si>
    <t>Santosh Sharma, Subhakanta Panda, Suryanarayan Nayak</t>
  </si>
  <si>
    <t>PSE6777607, JBE6662016, SGE6771981, SKE6776527, JSE6784665, KDE6778345, SCE6758746</t>
  </si>
  <si>
    <t>Pramod Sankhala, Jaspreet Bhathal, Sahil Gorsi, Sunil Kumar , Jagmohan Singh, Kailash Devanda, Sunil Choudhary</t>
  </si>
  <si>
    <t>SSE6775469, VKE6782576, SRE6782838, SSE6748795</t>
  </si>
  <si>
    <t>SKE6777255, JBE6662016, PKE6446010, VKE6782576, JSE6784665, RRE6766563</t>
  </si>
  <si>
    <t>Sandeep Kumar, Jaspreet Bhathal, Parveen Kumar, Vikash Kumar, Jagmohan Singh, Rishu Raghuvanshi</t>
  </si>
  <si>
    <t>Sanjeev Kumar, Vineet Kumar, Sameer Dhar, Ashutosh Gupta</t>
  </si>
  <si>
    <t>PKE6446010, SKE6777255</t>
  </si>
  <si>
    <t>Parveen Kumar, Sandeep Kumar</t>
  </si>
  <si>
    <t>KSE6769063, VKE6782576, SSE6775469, SKE6777255, DSE6260011, PKE6751851, SSE6748795, T23418</t>
  </si>
  <si>
    <t>Kushpal Singh, Vikash Kumar, Sukhwinder Singh, Sandeep Kumar, Diwakar Singh, Priya Kumari, Sukhwant Singh, Nilesh Pednekar</t>
  </si>
  <si>
    <t>MKE6407056</t>
  </si>
  <si>
    <t>Maninder Kumar</t>
  </si>
  <si>
    <t>KSE6769063, SSE6775469, SKE6776527, VKE6782576, VKE6600027, Mse6761857, SSE6748795</t>
  </si>
  <si>
    <t>Kushpal Singh, Sukhwinder Singh, Sunil Kumar , Vikash Kumar, Vivek Kumar Kaushal, Manmohan Singh, Sukhwant Singh</t>
  </si>
  <si>
    <t>SKE6777255</t>
  </si>
  <si>
    <t>Sandeep Kumar</t>
  </si>
  <si>
    <t>RKE6784256</t>
  </si>
  <si>
    <t>SSE6748795, SSE6775469, KSE6769063</t>
  </si>
  <si>
    <t>Sukhwant Singh, Sukhwinder Singh, Kushpal Singh</t>
  </si>
  <si>
    <t>ATE6773431</t>
  </si>
  <si>
    <t>Ashish Tiwari</t>
  </si>
  <si>
    <t>PSE6778569, KDE6778345, SME5900019, KRE6769463, MCE6787677</t>
  </si>
  <si>
    <t>Pravesh Sharma, Kailash Devanda, Siddharth Maharishi, Kuldeep Rathore, Maya Choudhary</t>
  </si>
  <si>
    <t>DBE6783560</t>
  </si>
  <si>
    <t>Dilip Bhati</t>
  </si>
  <si>
    <t>PSE6778569</t>
  </si>
  <si>
    <t>Pravesh Sharma</t>
  </si>
  <si>
    <t>KRE6769463</t>
  </si>
  <si>
    <t>Kuldeep Rathore</t>
  </si>
  <si>
    <t>APE6750911, SRE6739824, RBE6757282, GNC1022594, KDE6778345, RJE5843013, SJE5845014, SSE6776468, MSE3469008, TSE6288042, RJE6768328, NSE6633007, SME5900019, RHE6775503, DSE6782069, DAE6777331, VGE6786972, JSE6767235, AAE6786937, ASE6774744, MCE6787677, YSE4841008, MSE6236002, GKE6784579, GJE6789280, NSE6771909</t>
  </si>
  <si>
    <t>DBE6783560, MCE6212008, KCE6776713, SSE6776468, KKE6777919</t>
  </si>
  <si>
    <t>Dilip Bhati, Mahendra Chouhan, Kana Choudhary, Subhash Sharma, Kamal Kumar</t>
  </si>
  <si>
    <t>DBE6783560, KCE6776713</t>
  </si>
  <si>
    <t>Dilip Bhati, Kana Choudhary</t>
  </si>
  <si>
    <t>JSE6767235, DBE6783560, RBE6777034, SDE6785724, DRE6759196</t>
  </si>
  <si>
    <t>Jetendra Singh, Dilip Bhati, Rohit Bhagoria, Sandip Dhumal, Devi Rathore</t>
  </si>
  <si>
    <t>MCE6212008, DBE6783560</t>
  </si>
  <si>
    <t>Mahendra Chouhan, Dilip Bhati</t>
  </si>
  <si>
    <t>VGE6786972, NSE6633007</t>
  </si>
  <si>
    <t>Vivek Gupta, Nitin Kumar Singh</t>
  </si>
  <si>
    <t>DSE6786366, SCE6722048, ASE5322056, DAE6777331</t>
  </si>
  <si>
    <t>Dheerendra Singh, Sachin Chauhan, Ashish Kumar Shukla, Devendra Asthana</t>
  </si>
  <si>
    <t>DAE6777331, VGE6786972, ASE5322056, NSE6633007, RSE6763776</t>
  </si>
  <si>
    <t>RSE6763776, SKE6774754, APE6750911</t>
  </si>
  <si>
    <t>Ram Shankar, Satendra Kumar, Amit Pandey</t>
  </si>
  <si>
    <t>MKE6768979</t>
  </si>
  <si>
    <t>Manibhushan Kumar</t>
  </si>
  <si>
    <t>JSE6775853, HKE6745350, RAE6783127, STE5844128</t>
  </si>
  <si>
    <t>Jeetmani Silswal, Hayat Kathayat, Rittin Arya, Sandeep Tyagi</t>
  </si>
  <si>
    <t>HKE6745350</t>
  </si>
  <si>
    <t>Hayat Kathayat</t>
  </si>
  <si>
    <t>NKE6775741, HKE6745350, SKE6779366, RAE6783127</t>
  </si>
  <si>
    <t>Nitin Kumar, Hayat Kathayat, Sumit Kumar, Rittin Arya</t>
  </si>
  <si>
    <t>MSE6778149, ASE6777499, TSE6288042, RBE6757282, PME6771779, DSE6782069, MBE6782720, SGE6696032, MAE6785142</t>
  </si>
  <si>
    <t>Md Sarfarazuddin, Arindam Sarkar, Tarkeshwar Singh, Ritam Basak, Priyanka Mondal, Deepak Singh, Manish Bhagat, Soumitra Ghosh, Monawwar Alam</t>
  </si>
  <si>
    <t>Ashutosh Gupta, Subhasis Banerjee, Biswarup Ghosh, Md Shabbir Alam</t>
  </si>
  <si>
    <t>SME6784348, PME6771779, AME6761288, SPE6770640, ASE6777499, IEE6769906, DSE6782069, TSE6288042, RBE6757282, MBE6782720, SGE6696032, MAE6785142, SPE6753711</t>
  </si>
  <si>
    <t>Saisab Mallick, Priyanka Mondal, Md Azharuddin, Souvik Pramanik, Arindam Sarkar, Imran Elahi, Deepak Singh, Tarkeshwar Singh, Ritam Basak, Manish Bhagat, Soumitra Ghosh, Monawwar Alam, Subhakanta Panda</t>
  </si>
  <si>
    <t>KSE6767729, JSE6781036</t>
  </si>
  <si>
    <t>Krishnendu Sarder, Joy Saha</t>
  </si>
  <si>
    <t>SME6781177, SDE6778568, RBE6757282, TSE6288042, DSE6782069</t>
  </si>
  <si>
    <t>ASE6777499, KSE6767729, PME6771779, IEE6769906, TSE6288042</t>
  </si>
  <si>
    <t>Arindam Sarkar, Krishnendu Sarder, Priyanka Mondal, Imran Elahi, Tarkeshwar Singh</t>
  </si>
  <si>
    <t>SDE6778568, JSE6781036</t>
  </si>
  <si>
    <t>Suman Das, Joy Saha</t>
  </si>
  <si>
    <t>SME6784348, RSE6776475, MKE6776747, IEE6769906, AKE6769375, MAE6785142, OAE6762281, ABE6771337, RHE6158002, SGE6696032, JME6788432</t>
  </si>
  <si>
    <t>Saisab Mallick, Rupesh Singh, Md Kausar, Imran Elahi, Abhishek Kumar, Monawwar Alam, Ossam Aditya, Abhisek Bose, Rajkumar Hazra, Soumitra Ghosh, Jayadev Mishra</t>
  </si>
  <si>
    <t>ASE6777499, RBE6757282, TSE6288042, DSE6782069, PME6771779, RHE6158002, ABE6771337, MBE6782720, MAE6785142</t>
  </si>
  <si>
    <t>Arindam Sarkar, Ritam Basak, Tarkeshwar Singh, Deepak Singh, Priyanka Mondal, Rajkumar Hazra, Abhisek Bose, Manish Bhagat, Monawwar Alam</t>
  </si>
  <si>
    <t>Subhasis Banerjee, Biswarup Ghosh, Md Shabbir Alam</t>
  </si>
  <si>
    <t>PYE6778749, RSE6776475, MME6755196, GSE6778012, STE6769262</t>
  </si>
  <si>
    <t>VPE6766232, CME6702019, MKE6467020</t>
  </si>
  <si>
    <t>Vivek Pandey, Chander Miglani, Manoj Kumar</t>
  </si>
  <si>
    <t>HBE6784419, RSE6778024, ASE6749478, VJE6777344, NTE6776994, RPE6777552</t>
  </si>
  <si>
    <t>Hemant Bajaj, Rinki Sharma, Ashvini Sharma, Vikashbhai Joshi, Neelesh Tiwari, Robin Pachchigar</t>
  </si>
  <si>
    <t>VGE6773224, SRE6782838, NKE6775741, JSE6785583, SBE6782270</t>
  </si>
  <si>
    <t>JSE6785583</t>
  </si>
  <si>
    <t>Jay Shukla</t>
  </si>
  <si>
    <t>JSE6785583, AKE6778416</t>
  </si>
  <si>
    <t>Jay Shukla, Amit Kumar</t>
  </si>
  <si>
    <t>SCE6766134, JSE6775853, SSE6762160, MME6529036</t>
  </si>
  <si>
    <t>Shailendra Chauhan, Jeetmani Silswal, Sushant Singh, Manoj Mishra</t>
  </si>
  <si>
    <t>SKE6774754, SPE6776273, RSE6776115, SKE6779366</t>
  </si>
  <si>
    <t>Satendra Kumar, Sushant Parashar, Rahul Sharma, Sumit Kumar</t>
  </si>
  <si>
    <t>VSE6777588, PKE6777451, VKE5933002, ERE6776646</t>
  </si>
  <si>
    <t>Vikas Saini, Pawan Kumar, Vinay Kumar, Ekta Rani</t>
  </si>
  <si>
    <t>VSE6762677, VKE6782576, JBE6662016, KSE6769063, RRE6766563</t>
  </si>
  <si>
    <t>Vikram Singh, Vikash Kumar, Jaspreet Bhathal, Kushpal Singh, Rishu Raghuvanshi</t>
  </si>
  <si>
    <t>STE6769262, AKE6777646, PYE6778749, CJE6782046, AME6777270</t>
  </si>
  <si>
    <t>RRE6766563</t>
  </si>
  <si>
    <t>Rishu Raghuvanshi</t>
  </si>
  <si>
    <t>JSE6784665, JBE6662016, SKE6776527</t>
  </si>
  <si>
    <t>KRE6769463, MSE6781974</t>
  </si>
  <si>
    <t>Kuldeep Rathore, Manish Shukla</t>
  </si>
  <si>
    <t>YME6753113, PSE6778569, KDE6778345, AHE6782821</t>
  </si>
  <si>
    <t>Yasin Mohammed, Pravesh Sharma, Kailash Devanda, Akram Hussain</t>
  </si>
  <si>
    <t>SSE6726031, AME6750890, DBE6782156, DSE6260011</t>
  </si>
  <si>
    <t>Sagar Sawant, Ashvamegh Mane, Devidas Belose, Diwakar Singh</t>
  </si>
  <si>
    <t>DRE6759196, RCE6775150</t>
  </si>
  <si>
    <t>Devi Rathore, Ram Choudhary</t>
  </si>
  <si>
    <t>Saurabh Saroch, Kalpesh Raval</t>
  </si>
  <si>
    <t>RSE6763776</t>
  </si>
  <si>
    <t>Ram Shankar</t>
  </si>
  <si>
    <t>MME6755196, MKE6768979</t>
  </si>
  <si>
    <t>Ashutosh Gupta, Subhasis Banerjee</t>
  </si>
  <si>
    <t>SBE6782270, SPE6776273, SKE6774754, STE5844128, SKE6779366, RSE6776115, RAE6783127</t>
  </si>
  <si>
    <t>Subhajit Bhowmik, Sushant Parashar, Satendra Kumar, Sandeep Tyagi, Sumit Kumar, Rahul Sharma, Rittin Arya</t>
  </si>
  <si>
    <t>VME6772902</t>
  </si>
  <si>
    <t>Vaibhav Mishra</t>
  </si>
  <si>
    <t>HKE6745350, DAE6777331</t>
  </si>
  <si>
    <t>Hayat Kathayat, Devendra Asthana</t>
  </si>
  <si>
    <t>Abhinav Lal, Sanjeev Kumar, Rohit Nijhawan, Sameer Dhar</t>
  </si>
  <si>
    <t>KSE6767729, SDE6781658</t>
  </si>
  <si>
    <t>Krishnendu Sarder, Sujoy Das</t>
  </si>
  <si>
    <t>SDE6781658</t>
  </si>
  <si>
    <t>Sujoy Das</t>
  </si>
  <si>
    <t>SME6784348, IEE6769906</t>
  </si>
  <si>
    <t>Saisab Mallick, Imran Elahi</t>
  </si>
  <si>
    <t>BRE6281007, RCE6775867, ASE6768487</t>
  </si>
  <si>
    <t>Bhavna Rajput, Ritesh Chourasia, Anuj Saxena</t>
  </si>
  <si>
    <t>CJE6782046, SJE6757641, KBE6776090, SPE6753711, KME6780756, AME6777270</t>
  </si>
  <si>
    <t>PSE6778569, AHE6782821, PSE6777607, SME5900019, YSE4841008, YME6753113, DRE6786932, HME5635003, LCE6760405, DKE6771022, RSE6783367, KSE6776999, ATE6773431, -</t>
  </si>
  <si>
    <t>VGE6773224, HJE6739606, MSE6694032</t>
  </si>
  <si>
    <t>Vishal Gupta, Harish Johar, Manpreet Singh(Sbl)</t>
  </si>
  <si>
    <t>Abhinav Lal, Sameer Dhar, Sanjeev Kumar, Dipak Mangaldas Dhandhukiya, Sekhar Gundala, Sagar Pritishwar Choudhari</t>
  </si>
  <si>
    <t>Sourabh Parihar, Vivek Kumar Shukla</t>
  </si>
  <si>
    <t>Santosh Sharma, Suryanarayan Nayak</t>
  </si>
  <si>
    <t>Gur Amritpal Singh</t>
  </si>
  <si>
    <t>Shyam Parkash, Vivek Kumar Shukla</t>
  </si>
  <si>
    <t>Shyam Parkash, Kushpal Singh</t>
  </si>
  <si>
    <t>Ashok Bagaria, Manpreet Singh, Shyam Parkash, Pushpendra Jangid</t>
  </si>
  <si>
    <t>Vivek Joshi, Praveen Kumar Kurra, Sameer Dhar, Sanjeev Kumar</t>
  </si>
  <si>
    <t>Abhishek Kumar, Vivek Kumar Shukla, Shyam Parkash, Rittin Arya</t>
  </si>
  <si>
    <t>Vivek Kumar Shukla, Shyam Parkash, Rittin Arya, Sachin Chauhan, Prashant Singh, Vivek Shukla</t>
  </si>
  <si>
    <t>Sameer Dhar, Sanjeev Kumar, Abhinav Lal</t>
  </si>
  <si>
    <t>Kushpal Singh, Vivek Kumar Shukla, Vivek Shukla, Manibhushan Kumar, Ankit Bambhaniya.</t>
  </si>
  <si>
    <t>Abhinav Lal, Subhasis Banerjee</t>
  </si>
  <si>
    <t>Rittin Arya</t>
  </si>
  <si>
    <t>Priyanka Mondal, Sourabh Parihar</t>
  </si>
  <si>
    <t>Subhasis Banerjee, Biswarup Ghosh</t>
  </si>
  <si>
    <t>Biswarup Ghosh, Sagar Pritishwar Choudhari, Subhasis Banerjee</t>
  </si>
  <si>
    <t>Shyam Parkash, Gaurav Mishra, Nitesh Madhavi, Vivek Shukla, Abhinav Lal</t>
  </si>
  <si>
    <t>Abhinav Lal, Sagar Pritishwar Choudhari, Sameer Dhar, Biswarup Ghosh</t>
  </si>
  <si>
    <t>Abhinav Lal, Ravi Parkash, Gopal Khatri</t>
  </si>
  <si>
    <t>Shyam Parkash, Vivek Kumar Shukla, Vivek Shukla, Sourabh Parihar, Sushim Kumar</t>
  </si>
  <si>
    <t>Abhinav Lal, Sagar Pritishwar Choudhari, Sanjeev Kumar</t>
  </si>
  <si>
    <t>Manpreet Singh, Shyam Parkash, Rittin Arya</t>
  </si>
  <si>
    <t>Santosh Kumar Thakur, Amit Ranjan Singh, Sachin Bharti, Sankerbalaji N, Santosh Kumar Sharma, Pritam Khastagir</t>
  </si>
  <si>
    <t>Nishant Kumar, Nitesh Madhavi</t>
  </si>
  <si>
    <t>Biswarup Ghosh, Sagar Pritishwar Choudhari</t>
  </si>
  <si>
    <t>Biswarup Ghosh, Sagar Pritishwar Choudhari, Subhasis Banerjee, Rajnish Dwivedi</t>
  </si>
  <si>
    <t>Shyam Parkash, Lokesh Kumar Sharma</t>
  </si>
  <si>
    <t>Kishore Singh, Deependra Rathore, Deependra Singh, Ashish Tiwari, Dilip Rathore, Kamlesh Dave, Rahul Kushwaha, Shyam Parkash</t>
  </si>
  <si>
    <t>Vivek Joshi, Jasvendra Singh</t>
  </si>
  <si>
    <t>Vivek Kumar Shukla, Vivek Shukla, Shyam Parkash</t>
  </si>
  <si>
    <t>Abhinav Lal, Sanjeev Kumar</t>
  </si>
  <si>
    <t>Nishant Kumar, Abhishek Kumar</t>
  </si>
  <si>
    <t>Shyam Parkash, Vivek Kumar Shukla, Vivek Shukla, Nitesh Madhavi</t>
  </si>
  <si>
    <t>Abhinav Lal, Rajnish Dwivedi</t>
  </si>
  <si>
    <t>Shyam Parkash, Rittin Arya, Vivek Shukla, Vivek Kumar Shukla</t>
  </si>
  <si>
    <t>Sameer Dhar, Abhinav Lal, Sanjeev Kumar</t>
  </si>
  <si>
    <t>Vivek Kumar Shukla</t>
  </si>
  <si>
    <t>Vivek Kumar Shukla, Sourabh Parihar, Punit Chhotelal Sharma</t>
  </si>
  <si>
    <t>Dipak Mangaldas Dhandhukiya, Sanjeev Kumar</t>
  </si>
  <si>
    <t>Manpreet Singh, Vivek Kumar Shukla</t>
  </si>
  <si>
    <t>Sameer Dhar, Abhinav Lal</t>
  </si>
  <si>
    <t>Deepak Singh, Santosh Sharma, Tarkeshwar Singh, Biswarup Ghosh , Nitesh Madhavi, Priyanka Mondal, Suryanarayan Nayak</t>
  </si>
  <si>
    <t>Sanjeev Kumar, Sameer Dhar, Subhasis Banerjee</t>
  </si>
  <si>
    <t>Ravi Parkash, Shyam Parkash</t>
  </si>
  <si>
    <t>Abhinav Lal, Biswarup Ghosh</t>
  </si>
  <si>
    <t>Vivek Shukla, Deepak Singh</t>
  </si>
  <si>
    <t>Tarkeshwar Singh, Sekhar Mukharjee, Deepak Singh</t>
  </si>
  <si>
    <t>Sandeep Tyagi</t>
  </si>
  <si>
    <t>Kushpal Singh</t>
  </si>
  <si>
    <t>Vivek Kumar Shukla - VSE6777333</t>
  </si>
  <si>
    <t>Nitin Srivastava</t>
  </si>
  <si>
    <t>Sumit Narang</t>
  </si>
  <si>
    <t>Lokesh Kumar</t>
  </si>
  <si>
    <t>Suryanarayan Nayak</t>
  </si>
  <si>
    <t>Santosh Sharma</t>
  </si>
  <si>
    <t>Arindam Sarkar - ASE6777499</t>
  </si>
  <si>
    <t>Swarup Kumar Dey</t>
  </si>
  <si>
    <t>Sachin Bharti</t>
  </si>
  <si>
    <t>Nitesh Ramchandra Madhavi - NME6744676</t>
  </si>
  <si>
    <t>Rajesh Kohli</t>
  </si>
  <si>
    <t>Jagmohan Singh, Jaspreet Bhathal, Sunil Kumar</t>
  </si>
  <si>
    <t>Pravesh Sharma, Akram Hussain, Pramod Sankhala, Siddharth Maharishi, Yogeshkumar Sharma, Yasin Mohammed, Deependra Rathore, Himmat Singh Mangawa, Lal Chand Chimpa, Dinesh Kumar, Ram Singh , Kishore Singh, Ashish Tiwari, -, Deependra Rathore</t>
  </si>
  <si>
    <t>Joy Saha</t>
  </si>
  <si>
    <t>Priyanka Mondal, Pritam Khastagir</t>
  </si>
  <si>
    <t>Manibhushan Kumar, Nishant Kumar, Abhishek Kumar</t>
  </si>
  <si>
    <t>Shyam Parkash</t>
  </si>
  <si>
    <t>Sanjeev Kumar, Rajnish Dwivedi, Chetram Chahal</t>
  </si>
  <si>
    <t>Gourav Bagga</t>
  </si>
  <si>
    <t>Jasvendra Singh</t>
  </si>
  <si>
    <t>Mahendra Patel</t>
  </si>
  <si>
    <t>Abhishek Kumar, Nitesh Madhavi</t>
  </si>
  <si>
    <t>Biswarup Ghosh, Sagar Choudhari, Subhasis Banerjee</t>
  </si>
  <si>
    <t>Bineet Kumar Tiwari</t>
  </si>
  <si>
    <t>Abhinav Lal, Gopal Khatri</t>
  </si>
  <si>
    <t>Nilesh Pednekar</t>
  </si>
  <si>
    <t>Shyam Parkash, Maninder Kumar</t>
  </si>
  <si>
    <t>Abhinav Lal, Sanjeev Kumar, Sameer Dhar</t>
  </si>
  <si>
    <t>Shyam Parkash, Surender Kumar</t>
  </si>
  <si>
    <t>Nitesh Ramchandra Madhavi, Kushpal Singh</t>
  </si>
  <si>
    <t>Rajnish Dwivedi</t>
  </si>
  <si>
    <t>Kushpal Singh, Pawan Kumar</t>
  </si>
  <si>
    <t>Santosh Kumar Thakur, Nishant Kumar, Shyam Parkash</t>
  </si>
  <si>
    <t>Amit Ranjan Singh, Sankerbalaji N, Shyam Parkash</t>
  </si>
  <si>
    <t>Subhasis Banerjee, Abhinav Lal</t>
  </si>
  <si>
    <t>Amit Ranjan Singh</t>
  </si>
  <si>
    <t>Nitesh Ramchandra Madhavi, Manikandan G</t>
  </si>
  <si>
    <t>Sagar Choudhari</t>
  </si>
  <si>
    <t>Abhishek Kumar, Nitesh Ramchandra Madhavi</t>
  </si>
  <si>
    <t>Santosh Kumar Sharma</t>
  </si>
  <si>
    <t>Santosh Sharma, Nitesh Madhavi, Suryanarayan Nayak</t>
  </si>
  <si>
    <t>Biswarup Ghosh, Sagar Choudhari</t>
  </si>
  <si>
    <t>Navajakhan S P, Gur Amritpal Singh</t>
  </si>
  <si>
    <t>Sekhar Gundala, Sanjeev Kumar, Sameer Dhar</t>
  </si>
  <si>
    <t>Swapnil Suresh Palav, Sukhwinder Singh, Nilesh Pednekar</t>
  </si>
  <si>
    <t>Shyam Parkash, Kushpal Singh, Sukhwinder Singh, Gagandeep Singh Malhotra</t>
  </si>
  <si>
    <t>Maninder Kumar, Parveen Kumar</t>
  </si>
  <si>
    <t>Kushpal Singh, Swapnil Suresh Palav</t>
  </si>
  <si>
    <t>Kushpal Singh, Maninder Kumar</t>
  </si>
  <si>
    <t>Gopal Khatri, Kushpal Singh</t>
  </si>
  <si>
    <t>Kishore Singh</t>
  </si>
  <si>
    <t>Shyam Parkash, Punit Chhotelal Sharma, Ashish Tiwari</t>
  </si>
  <si>
    <t>Abhinav Lal, Dipak Mangaldas Dhandhukiya, Vivek Joshi</t>
  </si>
  <si>
    <t>Pushpendra Jangid, Himmat Singh</t>
  </si>
  <si>
    <t>Kishore Singh, Rahul Kushwaha</t>
  </si>
  <si>
    <t>Shyam Parkash, Ritin Arya , Amit Kumar Pandey, Parveen Kumar</t>
  </si>
  <si>
    <t>Shyam Parkash, Yogesh Kumar Sharma, Kuldeep Singh Rathore</t>
  </si>
  <si>
    <t>Abhinav Lal, Dharmendra Balmiki</t>
  </si>
  <si>
    <t>Shyam Parkash, Lokesh Kumar Sharma, Dilip Rathore</t>
  </si>
  <si>
    <t>Sanjeev Kumar, Jasvendra Singh</t>
  </si>
  <si>
    <t>Shyam Parkash, Kushpal Singh, Lokesh Kumar Sharma</t>
  </si>
  <si>
    <t>Manpreet Singh, Rittin Arya, Vivek Kumar Shukla</t>
  </si>
  <si>
    <t>Dinesh Kumar</t>
  </si>
  <si>
    <t>Kuldeep Singh Rathore</t>
  </si>
  <si>
    <t>Kuldeep Singh Rathore, Vivek Kumar Shukla</t>
  </si>
  <si>
    <t>Rahul Kushwah</t>
  </si>
  <si>
    <t>Punit Chhotelal Sharma, Kamlesh Dave, Gopal Khatri</t>
  </si>
  <si>
    <t>Dipak Mangaldas Dhandhukiya, Jasvendra Singh, Abhinav Lal</t>
  </si>
  <si>
    <t>Nitesh Ramchandra Madhavi</t>
  </si>
  <si>
    <t>Ashok Bagaria</t>
  </si>
  <si>
    <t>Praveen Kurra</t>
  </si>
  <si>
    <t>Manpreet Singh</t>
  </si>
  <si>
    <t>Deependra Rathore, Deependra Singh</t>
  </si>
  <si>
    <t>Shyam Parkash, Kishore Singh</t>
  </si>
  <si>
    <t>Vivek Kumar Shukla, Ram Shankar , Vivek Shukla, Amit Kumar Pandey, Sushim Kumar, Shyam Parkash</t>
  </si>
  <si>
    <t>Shyam Parkash, Amit Kumar Pandey, Vivek Shukla, Sourabh Parihar, Vivek Kumar Shukla</t>
  </si>
  <si>
    <t>Sameer Dhar, Sanjeev Kumar, Abhinav Lal, Sagar Choudhari</t>
  </si>
  <si>
    <t>Abhinav Lal, Amit Kumar Pandey, Vivek Kumar Shukla</t>
  </si>
  <si>
    <t>Abhinav Lal, Sameer Dhar, Sanjeev Kumar</t>
  </si>
  <si>
    <t>Prashant Singh</t>
  </si>
  <si>
    <t>Rittin Arya, Shyam Parkash</t>
  </si>
  <si>
    <t>Sanjeev Kumar, Abhinav Lal</t>
  </si>
  <si>
    <t>Kushpal Singh, Vivek Shukla, Sourabh Parihar, Rittin Arya</t>
  </si>
  <si>
    <t>Sameer Dhar, Dipak Mangaldas Dhandhukiya</t>
  </si>
  <si>
    <t>Sushim Kumar, Rittin Arya, Manpreet Singh</t>
  </si>
  <si>
    <t>Sourabh Parihar, Nitesh Madhavi</t>
  </si>
  <si>
    <t>Vivek Kumar Shukla, Vivek Shukla</t>
  </si>
  <si>
    <t>Vivek Kumar Shukla, Shyam Parkash, Rittin Arya, Prashant Singh, Sachin Chauhan, Vivek Shukla</t>
  </si>
  <si>
    <t>Amit Kumar Pandey, Vivek Shukla</t>
  </si>
  <si>
    <t>Shyam Parkash, Ankit Bambhaniya.</t>
  </si>
  <si>
    <t>Vivek Shukla, Vivek Kumar Shukla, Prashant Singh</t>
  </si>
  <si>
    <t>Rittin Arya, Vivek Shukla, Vivek Kumar Shukla, Punit Chhotelal Sharma</t>
  </si>
  <si>
    <t>Aman Kesharwani</t>
  </si>
  <si>
    <t>Anil Kumar Nandal, Rittin Arya</t>
  </si>
  <si>
    <t>Arindam Sarkar, Joy Saha, Sachin Bharti</t>
  </si>
  <si>
    <t>Joy Saha, Imran Elahi, Arindam Sarkar, Priyanka Mondal</t>
  </si>
  <si>
    <t>Priyanka Mondal</t>
  </si>
  <si>
    <t>Pritam Khastagir</t>
  </si>
  <si>
    <t>Imran Elahi</t>
  </si>
  <si>
    <t>Joy Saha, Tarkeshwar Singh</t>
  </si>
  <si>
    <t>Priyanka Mondal, Arindam Sarkar, Amit Ranjan Singh, Suryakanta Jena</t>
  </si>
  <si>
    <t>Sourabh Parihar</t>
  </si>
  <si>
    <t>Arindam Sarkar, Pritam Khastagir, Joy Saha</t>
  </si>
  <si>
    <t>Sanjeev Kumar, Rajnish Dwivedi</t>
  </si>
  <si>
    <t>Ashutosh Gupta, Md Shabbir Alam</t>
  </si>
  <si>
    <t>Vineet Kumar</t>
  </si>
  <si>
    <t xml:space="preserve">Na </t>
  </si>
  <si>
    <t>Biswarup Ghosh, Md Shabbir Alam</t>
  </si>
  <si>
    <t>NDE6765957, RPE6775155</t>
  </si>
  <si>
    <t>Nayanjyoti Deka, Rakesh Pathak</t>
  </si>
  <si>
    <t>Narinder Singh, Sushim Kumar, Manpreet Singh(Auto), Syed Razavdeep Rastogi</t>
  </si>
  <si>
    <t>NKE6775741, AKE6778416, SRE6782838, RSE6776475, VKE6782576, SSE6775469, MME6755196, VGE6773224, SSE6748795</t>
  </si>
  <si>
    <t>Manpreet Singh(Auto), Vishal Guptarinder Singh</t>
  </si>
  <si>
    <t>SBE6782270</t>
  </si>
  <si>
    <t>Subhajit Bhowmik</t>
  </si>
  <si>
    <t>RAE6783127</t>
  </si>
  <si>
    <t>Shyam Parkash, Abhinav Lal, Punit Chhotelal Sharmavajakhan S P, Vivek Kumar Shukla, Sourabh Parihar, Amit Kumar Pandey, Vivek Shukla, Nitesh Madhavi, Kushpal Singh, Rittin Arya</t>
  </si>
  <si>
    <t>Priyanka Guptarinder Singh</t>
  </si>
  <si>
    <t>NKE6776587, AGE6739903, DNE6774673, MME6529036, MKE6768979, RSE6776475, GSE6778012, MME6755196E6771064, AKE6769375, SBE6771663, AKE6777646, SCE6766134, NDE6765957, SSE6762160, KPE6762069</t>
  </si>
  <si>
    <t>Nitumani Kalita, Arjun Gudewar, Divya Nagda, Manoj Mishra, Manibhushan Kumar, Rupesh Singh, Gaurav Singh, Mritunjay Munnageshwar A, Abhishek Kumar, Swapnil Bhat, Ashit Kumar, Shailendra Chauhanyanjyoti Deka, Sushant Singh, Ketan Pol</t>
  </si>
  <si>
    <t>VGE6773224, GKE6784579, MFE6778570, RPE6784768, NDE6765957, PME6777882</t>
  </si>
  <si>
    <t>Vishal Gupta, Gopal Khatri, Md Faizullah, Ravi Parkashyanjyoti Deka, Pooja Mehra</t>
  </si>
  <si>
    <t>RSE6763776, MRE6786842</t>
  </si>
  <si>
    <t>Ram Shankar, Mohit Rathore</t>
  </si>
  <si>
    <t>VME6772902, SCE6722048, VGE6786972, DAE6777331</t>
  </si>
  <si>
    <t>Vaibhav Mishra, Sachin Chauhan, Vivek Gupta, Devendra Asthana</t>
  </si>
  <si>
    <t>KSE6769063, SSE6775469, VKE6782576, ANE5784049, PKE6779360, SRE6782838, RKE6218030, SSE6748795, KKE6765046</t>
  </si>
  <si>
    <t>YME6753113, AHE6782821, PSE6777607, RSE6771124, SCE6758746, MSE6781974</t>
  </si>
  <si>
    <t>Yasin Mohammed, Akram Hussain, Pramod Sankhala, Ranjan Solanki, Sunil Choudhary, Manish Shukla</t>
  </si>
  <si>
    <t>Vikram Singhrinder Pal Singh, Sachin Chauhan, Parveen Kumar, Pravin Yashwant Pawar, Sukhwinder Singh, Neeraj Kumar</t>
  </si>
  <si>
    <t>Sushim Kumarrinder Pal Singh, Rittin Arya, Manpreet singhrinder singhvdeep Rastogi, Rittin Arya</t>
  </si>
  <si>
    <t>Sushim Kumarrinder Pal Singh, Rittin Arya, Manpreet Singhrinder Singhvdeep Rastogi, Rittin Arya</t>
  </si>
  <si>
    <t>Shyam Parkash, Rittin Aryarinder Pal Singh</t>
  </si>
  <si>
    <t>Manpreet Singhrinder Pal Singh, Shyam Parkash, Vivek Kumar Shukla, Sushim Kumar</t>
  </si>
  <si>
    <t>Manpreet Singh, Rittin Aryarinder Pal Singh, Shyam Parkash, Vivek Kumar Shukla, Rittin Arya , Sushim Kumar</t>
  </si>
  <si>
    <t>Nitumani Kalita, Subhajit Bhowmik, Vaibhav Mishra, Sidharth RaRupesh Singhyanjyoti Deka</t>
  </si>
  <si>
    <t>Nitin Kumar, Amit Kumar, Sidharth RaRupesh Singh, Vikash Kumar, Sukhwinder Singh, Mritunjay MunVishal Gupta, Sukhwant Singh</t>
  </si>
  <si>
    <t>Gaurav Mishra, Ravi Parkash, Md Faizullah, Gopal Khatri, Gopal Sandeep Tyagi, Rittin Arya</t>
  </si>
  <si>
    <t>Ashit Kumar, Sujoy Das, Subhakanta Panda, Kalpataru Baishakh, Amit Singh, Md Azharuddin, Avdesh Mishra, Prabhakar Kumar, Pankaj Yadav, Choudhury JeKiran Mohapatra, Arindam Sarkar, Santosh Thakur, Priyanka Mondal</t>
  </si>
  <si>
    <t>Sukhwinder Singh, Vikash Kumar, Sidharth RaSukhwant Singh</t>
  </si>
  <si>
    <t>Amit Pandey, Syed Raza, Ritam Basak, Gopal Kailash Devanda, Rajeev Jain, Surendra Jhala, Subhash Sharma, Mahendra Singh Rathore, Tarkeshwar Singh, Rahul Jirota, Nitin Kumar Singh, Siddharth Maharishi, Rahul Harishankar, Deepak Singh, Devendra AsthaVivek Gupta, Jetendra Singh, Abhishek, Ankit Sandhu, Maya Choudhary, Yogeshkumar Sharma, Abhishek Arora, Manpreet Singh(Auto), Gopal Khatri, Gopal Joshirinder Singh</t>
  </si>
  <si>
    <t>Devendra AsthaVivek Gupta, Ashish Kumar Shukla, Nitin Kumar Singh, Ram Shankar</t>
  </si>
  <si>
    <t>Sudip ManSuman Das, Ritam Basak, Tarkeshwar Singh, Deepak Singh</t>
  </si>
  <si>
    <t>Pankaj Yadav, Rupesh Singh, Mritunjay MunGaurav Singh, Santosh Thakur</t>
  </si>
  <si>
    <t>Vishal Gupta, Sidharth RaNitin Kumar, Jay Shukla, Subhajit Bhowmik</t>
  </si>
  <si>
    <t>Santosh Thakur, Ashit Kumar, Pankaj Yadav, Choudhury JeAvdesh Mishra</t>
  </si>
  <si>
    <t>Mritunjay MunManibhushan Kumar</t>
  </si>
  <si>
    <t>Choudhury JeSuryakanta JeKalpataru Baishakh, Subhakanta Panda, Kiran Mohapatra, Avdesh Mishra</t>
  </si>
  <si>
    <t>Kushpal Singh, Sukhwinder Singh, Vikash Kumar, Anil Kumar Nandal, Pawan Kumar, Sidharth RaRavi Kant, Sukhwant Singh, Kapil Kumar</t>
  </si>
  <si>
    <t>Nitesh Madhavi, Nitesh Ramchandra Madhavi, Sourabh Parihar, Sudip ManK Ravi Kumar</t>
  </si>
  <si>
    <t>Suryanarayan Nayak, Santosh Kumar Sharma, Nitesh Ramchandra Madhavi, Arindam Sarkar, Suryakanta JeManikandan G</t>
  </si>
  <si>
    <t>Arindam Sarkar, Priyanka Mondal, Deepak Singh, Imran Elahi, Sachin Bharti, Sudip ManAmit Ranjan Singh, Suryakanta Jena</t>
  </si>
  <si>
    <t>Sudip ManBiswarup Ghosh , Pritam Khastagir, Abhishek Kumar</t>
  </si>
  <si>
    <t>Nayan Jyoti Deka, Sudip ManPritam Khastagir, Abhishek Kumar, Pritam Khatsagir</t>
  </si>
  <si>
    <t>Nitesh Ramchandra Madhavi, Nitesh Madhavi, Rizwan Quraishi, Sourabh Parihar, K Ravi Kumar, Sudip ManAbhishek Kumar</t>
  </si>
  <si>
    <t>Imran Elahi, Sudip ManDeepak Singh</t>
  </si>
  <si>
    <t>Ashutosh Gupta, Pawan Ra</t>
  </si>
  <si>
    <t xml:space="preserve"> , Rajnish Dwivedi, Kalpesh Raval</t>
  </si>
  <si>
    <t>BKE6757902, GCE6775573</t>
  </si>
  <si>
    <t>Bikash Kalita, Gautam Chowdhury</t>
  </si>
  <si>
    <t>PSE6778569, JSE6785583, PYE6778749, NKE6776587, SDE6778568, SSE6756265, NDE6765957, STE6769262, SBE5788018</t>
  </si>
  <si>
    <t>Pravesh Sharma, Jay Shukla, Pankaj Yadav, Nitumani Kalita, Suman Das, Santosh Sharmayanjyoti Deka, Santosh Thakur, Sachin Bharti</t>
  </si>
  <si>
    <t>RWE6776982, BKE6757902, NKE6776587, RPE6775155, NDE6765957</t>
  </si>
  <si>
    <t>Roshmi Wary, Bikash Kalita, Nitumani Kalita, Rakesh Pathakyanjyoti Deka</t>
  </si>
  <si>
    <t>Ashutosh Gupta, Biswarup Ghosh, Subhasis Banerjee</t>
  </si>
  <si>
    <t>KSE6767729, SME6784348, IEE6769906, PME6771779, RBE6757282, DSE6782069, SNE6610031, ASE6777499, TSE6288042, NKE6754736, RHE6158002, ABE6771337, OAE6762281, SGE6696032, MAE6785142, JME6788432</t>
  </si>
  <si>
    <t>Krishnendu Sarder, Saisab Mallick, Imran Elahi, Priyanka Mondal, Ritam Basak, Deepak Singh, Suryanarayan Nayak, Arindam Sarkar, Tarkeshwar Singh, Nishant Kumar, Rajkumar Hazra, Abhisek Bose, Ossam Aditya, Soumitra Ghosh, Monawwar Alam, Jayadev Mishra</t>
  </si>
  <si>
    <t>VUE6755300, RQE6781542, ASE6778431, SME6345002, MKE6775854, ADE6782782</t>
  </si>
  <si>
    <t>Vikram Upadhyay, Rizwan Quraishi, Avtar Singh, Sudarshan Maddu, Manoj Kumar, Anindh Dubey</t>
  </si>
  <si>
    <t>VUE6755300, LVE6783252, ASE6778431, MKE6775854, SME6345002, RQE6781542, MKE6467020, NME6765631</t>
  </si>
  <si>
    <t>Vikram Upadhyay, Lokesh Vadaskar, Avtar Singh, Manoj Kumar, Sudarshan Maddu, Rizwan Quraishi, Nikunj Mohod</t>
  </si>
  <si>
    <t>Amar Gupte, Abhijeet Kashid, Subhasis Banerjee, Biswarup Ghosh, Saurabh Chaturvedi, Md Shabbir Alam, Ashutosh Gupta</t>
  </si>
  <si>
    <t>NRE6746973, SRE6739824, RSE6763776, SRE6782838, RCE6775867, BRE6281007, ANE5784049, ERE6776646, PKE6779360, VME6772902, KSE6769063, MRE6786842</t>
  </si>
  <si>
    <t>Navdeep Rastogi, Syed Raza, Ram Shankar, Sidharth RaRitesh Chourasia, Bhavna Rajput, Anil Kumar Nandal, Ekta Rani, Pawan Kumar, Vaibhav Mishra, Kushpal Singh, Mohit Rathore</t>
  </si>
  <si>
    <t>Sameer Dhar, Kunal Malhotra, Sanjeev Kumar, Ashutosh Gupta, Upanshu Bajaj</t>
  </si>
  <si>
    <t>GME6718001, NKE6775741, KKE6776767, SKE6779366, PGE6777921, DSE6786366, RPE6784768, RSE6776115, GKE6784579, STE5844128, MFE6778570, VGE6773224, RAE6783127, SPE6776273</t>
  </si>
  <si>
    <t>Gaurav Mishra, Nitin Kumar, Kunwar Kumar Singh, Sumit Kumar, Priyanka Gupta, Dheerendra Singh, Ravi Parkash, Rahul Sharma, Gopal Khatri, Sandeep Tyagi, Md Faizullah, Vishal Gupta, Rittin Arya, Sushant Parashar</t>
  </si>
  <si>
    <t>KKE6765046, PKE6777451, AAE6786937, ASE6774744, Lne6739065</t>
  </si>
  <si>
    <t>Kapil Kumar, Pawan Kumar, Abhishek, Ankit Sandhu, Lavender Singh Negi</t>
  </si>
  <si>
    <t>Amandeep Singh, Vineet Kumar, -, Jasmeet Singh</t>
  </si>
  <si>
    <t>PYE6778749, PKE6762328, STE6769262, CRE6787981</t>
  </si>
  <si>
    <t>Pankaj Yadav, Prabhakar Kumar, Santosh Thakur, Chandan Rishabh</t>
  </si>
  <si>
    <t>PKE6446010, GME5833008, MKE6407056, MKE6407067</t>
  </si>
  <si>
    <t>Parveen Kumar, Gaurav Mahajan, Maninder Kumar</t>
  </si>
  <si>
    <t>Ashutosh Gupta, Sameer Dhar</t>
  </si>
  <si>
    <t>GME6781291, GSE6775504, HSE6770924, JSE6784665, ERE6776646, MKE6407056, MSE6761857, GME5833008, BKE6785547, NKE6770128, AAE6786937, GSE6775504, -, Lne6739065, ASE6774744</t>
  </si>
  <si>
    <t>Gagandeep Malhotra, Gur Singh, Harjinder Singh, Jagmohan Singh, Ekta Rani, Maninder Kumar, Manmohan Singh, Gaurav Mahajan, Bhushan Kumar, Neeraj Kumar, Abhishek, -, Abhishek Arora, Lavender Singh Negi, Ankit Sandhu</t>
  </si>
  <si>
    <t>Sameer Dhar, Ashutosh Gupta, Sanjeev Kumar, Vineet Kumar, -, Jasmeet Singh, Chetram Chahal</t>
  </si>
  <si>
    <t>MCE6212008, SSE6776468, DKE6771022, ATE6773431, LCE6760405, PKE6777451</t>
  </si>
  <si>
    <t>Mahendra Chouhan, Subhash Sharma, Dinesh Kumar, Ashish Tiwari, Lal Chand Chimpa, Pawan Kumar</t>
  </si>
  <si>
    <t>Ashutosh Gupta, Kalpesh Raval, Sameer Dhar, Sanjeev Kumar, Pawan RaVivek Joshi, -</t>
  </si>
  <si>
    <t>Sameer Dhar, Biswarup Ghosh, Abhinav Lal, Ashutosh Gupta, Sanjeev Kumar, -, Chetram Chahal</t>
  </si>
  <si>
    <t>KRE6769463, SSE6776468, SME5900019, RSE6782005, KKE6777919</t>
  </si>
  <si>
    <t>Kuldeep Rathore, Subhash Sharma, Siddharth Maharishi, Rajveer Singh, Kamal Kumar</t>
  </si>
  <si>
    <t>SSE6776468, KSE6776999, DRE6786932, HME5635003, SKE6774754</t>
  </si>
  <si>
    <t>Subhash Sharma, Kishore Singh, Deependra Rathore , Himmat Singh Mangawa, Satendra Kumar, Deependra Rathore</t>
  </si>
  <si>
    <t>MKE5878004, RJE6768328, RCE6775150, GSE6774316, YME6753113</t>
  </si>
  <si>
    <t>Manish Kumar, Rahul Jirota, Ram Choudhary, Gajraj Singh, Yasin Mohammed</t>
  </si>
  <si>
    <t>Amit Sharma, Ashutosh Gupta, Sanjeev Kumar, Kalpesh Raval, Saurabh Saroch, -, Sameer Dhar</t>
  </si>
  <si>
    <t>VME6772902, SPE6785038, SCE6722048, SKE6774754, APE6750911, RSE6763776, NSE6773411, RHE6775503, HJE6739606, DAE6777331, VGE6786972, PKE6749748</t>
  </si>
  <si>
    <t>Vaibhav Mishra, Shashi Pratap Singh, Sachin Chauhan, Satendra Kumar, Amit Pandey, Ram Shankar, Nitin Srivastava, Rahul Harishankar, Harish Johar, Devendra AsthaVivek Gupta, Pawan Kumar</t>
  </si>
  <si>
    <t>Sameer Dhar, Sanjeev Kumar, Abhinav Lal, Subhodip Mukherjee, Vineet Kumar</t>
  </si>
  <si>
    <t>SSE6762160, SCE6766134, MME6529036</t>
  </si>
  <si>
    <t>Sushant Singh, Shailendra Chauhan, Manoj Mishra</t>
  </si>
  <si>
    <t>Ashutosh Gupta, Sanjeev Kumar, Abhinav Lal, Sameer Dhar</t>
  </si>
  <si>
    <t>Sanjeev Kumar, Abhinav Lal, Sameer Dhar, Rohit Nijhawan</t>
  </si>
  <si>
    <t>Abhijeet Kashid, Subhasis Banerjee, Ashutosh Gupta, Kunal Malhotra</t>
  </si>
  <si>
    <t>Abhinav Lal, Rohit Nijhawan</t>
  </si>
  <si>
    <t>Ashutosh Gupta, Abhinav Lal, Abhinav Lal , Pawan Rana</t>
  </si>
  <si>
    <t>Sameer Dhar, Sanjeev Kumar, Ashutosh Gupta, Pawan Rana</t>
  </si>
  <si>
    <t>LNE6739065, AME6777270, VSE6777588, JBE6662016, JSE6784665, JSE6743753, SKE6776527</t>
  </si>
  <si>
    <t xml:space="preserve">Lavender Singh Negi, Avdesh Mishra, Vikas Saini, Jaspreet Bhathal, Jagmohan Singh, Jauny Singh, Sunil Kumar </t>
  </si>
  <si>
    <t>JSE6786498, SBE6782270, STE6544016, SKE6753392, PKE6751851, PKE6749748, GKE6543092, PME6777882</t>
  </si>
  <si>
    <t>Jatin Saini, Subhajit Bhowmik, Shivakant Trivedi, Sandeep Kumar, Priya Kumari, Pawan Kumar, Govind Kumar, Pooja Mehra</t>
  </si>
  <si>
    <t>Ashutosh Gupta, Subhasis Banerjee, Saurabh Chaturvedi</t>
  </si>
  <si>
    <t>Sameer Dhar, Sanjeev Kumar, Pawan RaVineet Kumar</t>
  </si>
  <si>
    <t>Ashutosh Gupta , Kalpesh Raval, Saurabh Saroch</t>
  </si>
  <si>
    <t>SCE6758746, SKE6777255, RSE6771124, PSE6777607, T23418, SME5900019, KDE6778345, RSE6782005</t>
  </si>
  <si>
    <t>Sunil Choudhary, Sandeep Kumar, Ranjan Solanki, Pramod Sankhala, Nilesh Pednekar, Siddharth Maharishi, Kailash Devanda, Rajveer Singh</t>
  </si>
  <si>
    <t>Ashutosh Gupta, Sanjeev Kumar, Sameer Dhar, Pawan Rana</t>
  </si>
  <si>
    <t>Ashutosh Gupta , Sameer Dhar, Vivek Joshi, -, Bikram Chakraborty</t>
  </si>
  <si>
    <t>SDE6778568, MSE6778149, AME6761288, SME6781177, TSE6288042, DSE6782069</t>
  </si>
  <si>
    <t>Suman Das, Md Sarfarazuddin, Md Azharuddin, Sudip ManTarkeshwar Singh, Deepak Singh</t>
  </si>
  <si>
    <t>Ashutosh Gupta, Biswarup Ghosh</t>
  </si>
  <si>
    <t>Satendra Kumar Singh, Biswarup Ghosh, Biswarup Ghosh</t>
  </si>
  <si>
    <t>Saurabh Chaturvedi, Biswarup Ghosh, Md Shabbir Alam, -, Saurabh Chaturvedi , Bikram Chakraborty</t>
  </si>
  <si>
    <t>Kunal Malhotra, Upanshu Bajaj</t>
  </si>
  <si>
    <t>Sanjeev Kumar, Amit Sharma</t>
  </si>
  <si>
    <t>Nitesh Jain, Rohit Nijhawan</t>
  </si>
  <si>
    <t>Sanjeev Kumar , Sameer Dhar, Pawan Rana</t>
  </si>
  <si>
    <t>Vivek Joshi, -</t>
  </si>
  <si>
    <t>Ashutosh Gupta, Sameer Dhar, Sanjeev Kumar</t>
  </si>
  <si>
    <t>SPE6785038, AKE6744759, DSE6786366, KKE6776767</t>
  </si>
  <si>
    <t>Shashi Pratap Singh, Aman Kesharwani, Dheerendra Singh, Kunwar Kumar Singh</t>
  </si>
  <si>
    <t>Subhasis Banerjee, Ashutosh Gupta, Biswarup Ghosh, Md Shabbir Alam</t>
  </si>
  <si>
    <t>Kunal Malhotra, Rajnish Dwivedi, Upanshu Bajaj</t>
  </si>
  <si>
    <t>Ashutosh Gupta, Pawan Rana</t>
  </si>
  <si>
    <t>Kunal Malhotra, Rohit Nijhawan, Upanshu Bajaj</t>
  </si>
  <si>
    <t>Rohit Nijhawan, Upanshu Bajaj</t>
  </si>
  <si>
    <t>Samsudin</t>
  </si>
  <si>
    <t>Govinda</t>
  </si>
  <si>
    <t>Parikisht</t>
  </si>
  <si>
    <t>Harshit</t>
  </si>
  <si>
    <t>Ravinder</t>
  </si>
  <si>
    <t>Lakshay</t>
  </si>
  <si>
    <t>Moradabad</t>
  </si>
  <si>
    <t>Mainpuri</t>
  </si>
  <si>
    <t>ZCM</t>
  </si>
  <si>
    <t>gautam.chowdhury@yes.bank.in</t>
  </si>
  <si>
    <t>subhasis.banerjee@yes.bank.in,mdshabbir.alam@yes.bank.in</t>
  </si>
  <si>
    <t>abhishek.kumar84@yes.bank.in</t>
  </si>
  <si>
    <t>nitumani.kalita@yes.bank.in,subhajit.bhowmik@yes.bank.in,vaibhav.mishra2@yes.bank.in,sidharth.rana@yes.bank.in,rupesh.singh1@yes.bank.in,nayanjyoti.deka@yes.bank.in</t>
  </si>
  <si>
    <t>sekhar.mukharjee@yes.bank.in,mukesh.rawat2@yes.bank.in,sukhwant.singh2@yes.bank.in</t>
  </si>
  <si>
    <t>nayanjyoti.deka@yes.bank.in,rakesh.pathak@yes.bank.in</t>
  </si>
  <si>
    <t>sekhar.mukharjee@yes.bank.in,ashutosh.gupta3@yes.bank.in</t>
  </si>
  <si>
    <t>roshmi.wary@yes.bank.in,nitumani.kalita@yes.bank.in,rakesh.pathak@yes.bank.in,nayanjyoti.deka@yes.bank.in</t>
  </si>
  <si>
    <t>ashutosh.gupta3@yes.bank.in,biswarup.ghosh@yes.bank.in,sekhar.mukharjee@yes.bank.in,subhasis.banerjee@yes.bank.in,gitartha.sarma@yes.bank.in</t>
  </si>
  <si>
    <t>ashutosh.gupta3@yes.bank.in</t>
  </si>
  <si>
    <t>krishnendu.sarder@yes.bank.in,saisab.mallick@yes.bank.in,imran.elahi@yes.bank.in,priyanka.mondal@yes.bank.in,ritam.basak@yes.bank.in,deepak.singh39@yes.bank.in,suryanarayan.nayak@yes.bank.in,arindam.sarkar2@yes.bank.in,tarkeshwar.singh@yes.bank.in,nishant.kumar16@yes.bank.in,rajkumar.hazra@yes.bank.in,abhisek.bose@yes.bank.in,ossam.aditya@yes.bank.in,soumitra.ghosh1@yes.bank.in,monawwar.alam1@yes.bank.in</t>
  </si>
  <si>
    <t>sekhar.mukharjee@yes.bank.in,manikandan.g4@yes.bank.in,subhasis.banerjee@yes.bank.in,biswarup.ghosh@yes.bank.in,mdshabbir.alam@yes.bank.in</t>
  </si>
  <si>
    <t>manikandan.g4@yes.bank.in</t>
  </si>
  <si>
    <t>vikram.upadhyay@yes.bank.in,rizwan.quraishi@yes.bank.in,avtar.singh9@yes.bank.in,sudarshan.maddu@yes.bank.in,manoj.kumar96@yes.bank.in,anindh.dubey@yes.bank.in</t>
  </si>
  <si>
    <t>sekhar.mukharjee@yes.bank.in,saurabh.chaturvedi2@yes.bank.in,biswarup.ghosh@yes.bank.in,mdshabbir.alam@yes.bank.in,nikhil.pachouri@yes.bank.in,bikram.chakraborty@yes.bank.in</t>
  </si>
  <si>
    <t>vikram.upadhyay@yes.bank.in,lokesh.vadaskar@yes.bank.in,avtar.singh9@yes.bank.in,manoj.kumar96@yes.bank.in,sudarshan.maddu@yes.bank.in,rizwan.quraishi@yes.bank.in,manoj.kumar56@yes.bank.in,nikunj.mohod1@yes.bank.in</t>
  </si>
  <si>
    <t>sekhar.mukharjee@yes.bank.in,amar.gupte@yes.bank.in,subhasis.banerjee@yes.bank.in,biswarup.ghosh@yes.bank.in,saurabh.chaturvedi2@yes.bank.in,mdshabbir.alam@yes.bank.in,ashutosh.gupta3@yes.bank.in</t>
  </si>
  <si>
    <t>narinder.singh3@yes.bank.in,sushim.kumar@yes.bank.in,manpreet.singh29@yes.bank.in,SyedMohd.Raza@yes.bank.in,navdeep.rastogi@yes.bank.in</t>
  </si>
  <si>
    <t>sanjeev.kumar30@yes.bank.in,sameer.dhar@yes.bank.in</t>
  </si>
  <si>
    <t>rittin.arya@yes.bank.in,kushpal.singh@yes.bank.in,sushim.kumar@yes.bank.in,sukhwinder.singh18@yes.bank.in,ram.shankar@yes.bank.in,sandeep.tyagi@yes.bank.in,pawan.kumar62@yes.bank.in</t>
  </si>
  <si>
    <t>sumit.narang@yes.bank.in,sukhwant.singh2@yes.bank.in,sanjeev.kumar30@yes.bank.in</t>
  </si>
  <si>
    <t>nitin.kumar30@yes.bank.in,amit.kumar183@yes.bank.in,sidharth.rana@yes.bank.in,rupesh.singh1@yes.bank.in,vikash.kumar40@yes.bank.in,sukhwinder.singh18@yes.bank.in,mritunjay.munna@yes.bank.in,vishal.gupta15@yes.bank.in,sukhwant.singh2@yes.bank.in</t>
  </si>
  <si>
    <t>mukesh.rawat2@yes.bank.in,kumar.sambhav@yes.bank.in,sukhwant.singh2@yes.bank.in,sekhar.mukharjee@yes.bank.in,ashutosh.gupta3@yes.bank.in</t>
  </si>
  <si>
    <t>sandeep.mehta3@yes.bank.in</t>
  </si>
  <si>
    <t>navdeep.rastogi@yes.bank.in,SyedMohd.Raza@yes.bank.in,ram.shankar@yes.bank.in,sidharth.rana@yes.bank.in,ritesh.chourasia@yes.bank.in,bhavana.rajput@yes.bank.in,anilkumar.nandal@yes.bank.in,ekta.rani1@yes.bank.in,pawan.kumar62@yes.bank.in,vaibhav.mishra2@yes.bank.in,kushpal.singh@yes.bank.in,mohit.rathore2@yes.bank.in</t>
  </si>
  <si>
    <t>sameer.dhar@yes.bank.in,sukhwant.singh2@yes.bank.in,upanshu.bajaj@yes.bank.in,sanjeev.kumar30@yes.bank.in,ashutosh.gupta3@yes.bank.in,krishan.saini@yes.bank.in</t>
  </si>
  <si>
    <t>sandeep.mehta3@yes.bank.in,ashutosh.gupta3@yes.bank.in</t>
  </si>
  <si>
    <t>ravi.singh19@yes.bank.in,dheerendra.singh2@yes.bank.in,manoj.kumar56@yes.bank.in,vaibhav.mishra2@yes.bank.in,kunwar.kumarsingh@yes.bank.in</t>
  </si>
  <si>
    <t>upanshu.bajaj@yes.bank.in,avinash.kumar17@yes.bank.in,kumar.sambhav@yes.bank.in,sukhwant.singh2@yes.bank.in</t>
  </si>
  <si>
    <t>sandeep.mehta3@yes.bank.in,avinash.kumar17@yes.bank.in</t>
  </si>
  <si>
    <t>gaurav.mishra5@yes.bank.in,nitin.kumar30@yes.bank.in,kunwar.kumarsingh@yes.bank.in,sumit.kumar78@yes.bank.in,priyanka.gupta15@yes.bank.in,dheerendra.singh2@yes.bank.in,ravi.parkash1@yes.bank.in,rahul.sharma57@yes.bank.in,gopal.khatri@yes.bank.in,sandeep.tyagi@yes.bank.in,md.faizullah@yes.bank.in,vishal.gupta15@yes.bank.in,rittin.arya@yes.bank.in,sushant.parashar@yes.bank.in</t>
  </si>
  <si>
    <t>sumit.narang@yes.bank.in,mukesh.rawat2@yes.bank.in,avinash.kumar17@yes.bank.in,sameer.dhar@yes.bank.in,abhinav.lal2@yes.bank.in</t>
  </si>
  <si>
    <t>avinash.kumar17@yes.bank.in</t>
  </si>
  <si>
    <t>manpreet.singh29@yes.bank.in,vishal.gupta15@yes.bank.in,narinder.singh3@yes.bank.in</t>
  </si>
  <si>
    <t>sameer.dhar@yes.bank.in,mukesh.rawat2@yes.bank.in,sanjeev.kumar30@yes.bank.in</t>
  </si>
  <si>
    <t>subhajit.bhowmik@yes.bank.in</t>
  </si>
  <si>
    <t>mukesh.rawat2@yes.bank.in</t>
  </si>
  <si>
    <t>rittin.arya@yes.bank.in</t>
  </si>
  <si>
    <t>sumit.narang@yes.bank.in</t>
  </si>
  <si>
    <t>gaurav.mishra5@yes.bank.in,ravi.parkash1@yes.bank.in,md.faizullah@yes.bank.in,gopal.khatri@yes.bank.in,sandeep.tyagi@yes.bank.in,rittin.arya@yes.bank.in</t>
  </si>
  <si>
    <t>sumit.narang@yes.bank.in,abhinav.lal2@yes.bank.in</t>
  </si>
  <si>
    <t>aanchal.singh2@yes.bank.in,manoj.kumar56@yes.bank.in,rahul.sharma57@yes.bank.in,vivek.pandey7@yes.bank.in</t>
  </si>
  <si>
    <t>kumar.sambhav@yes.bank.in,avinash.kumar17@yes.bank.in</t>
  </si>
  <si>
    <t>rittin.arya@yes.bank.in,jay.shukla1@yes.bank.in,vaibhav.mishra2@yes.bank.in,manoj.kumar56@yes.bank.in,sandeep.kumar95@yes.bank.in,chander.miglani@yes.bank.in,amit.kumar183@yes.bank.in,subhajit.bhowmik@yes.bank.in</t>
  </si>
  <si>
    <t>sumit.narang@yes.bank.in,mukesh.rawat2@yes.bank.in,sukhwant.singh2@yes.bank.in,kumar.sambhav@yes.bank.in,rohit.nijhawan@yes.bank.in</t>
  </si>
  <si>
    <t>amit.pandey12@yes.bank.in,ram.shankar@yes.bank.in</t>
  </si>
  <si>
    <t>sameer.dhar@yes.bank.in,sanjeev.kumar30@yes.bank.in,sukhwant.singh2@yes.bank.in</t>
  </si>
  <si>
    <t>ram.shankar@yes.bank.in,govind.kumar3@yes.bank.in</t>
  </si>
  <si>
    <t>sukhwant.singh2@yes.bank.in,rohit.nijhawan@yes.bank.in</t>
  </si>
  <si>
    <t>sumit.kumar78@yes.bank.in,rahul.sharma57@yes.bank.in</t>
  </si>
  <si>
    <t>kapil.kumar24@yes.bank.in,pawan.kumar61@yes.bank.in,abhishek.arora7@yes.bank.in,ankit.sandhu@yes.bank.in,LavenderSingh.Negi@yes.bank.in</t>
  </si>
  <si>
    <t>amandeep.singh28@yes.bank.in,vineet.kumar12@yes.bank.in,avinash.kumar17@yes.bank.in,vikas.chawla@yes.bank.in,sunil.jangir@yes.bank.in</t>
  </si>
  <si>
    <t>arun.goel@yes.bank.in,avinash.kumar17@yes.bank.in</t>
  </si>
  <si>
    <t>pravesh.sharma1@yes.bank.in,jay.shukla1@yes.bank.in,pankaj.yadav11@yes.bank.in,nitumani.kalita@yes.bank.in,suman.das3@yes.bank.in,santosh.sharma9@yes.bank.in,nayanjyoti.deka@yes.bank.in,santosh.thakur@yes.bank.in,sachin.bharti@yes.bank.in</t>
  </si>
  <si>
    <t>manish.shukla10@yes.bank.in,mukesh.rawat2@yes.bank.in,sekhar.mukharjee@yes.bank.in,biswarup.ghosh@yes.bank.in,mdshabbir.alam@yes.bank.in</t>
  </si>
  <si>
    <t>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t>
  </si>
  <si>
    <t>ashutosh.gupta3@yes.bank.in,manikandan.g4@yes.bank.in,sekhar.mukharjee@yes.bank.in,subhasis.banerjee@yes.bank.in,rathindra.das@yes.bank.in</t>
  </si>
  <si>
    <t>manikandan.g4@yes.bank.in,ashutosh.gupta3@yes.bank.in</t>
  </si>
  <si>
    <t>pankaj.yadav11@yes.bank.in,prabhakar.kumar2@yes.bank.in,santosh.thakur@yes.bank.in</t>
  </si>
  <si>
    <t>sekhar.mukharjee@yes.bank.in,ashutosh.gupta3@yes.bank.in,mdshabbir.alam@yes.bank.in</t>
  </si>
  <si>
    <t>rabi.mishra@yes.bank.in</t>
  </si>
  <si>
    <t>subhasis.banerjee@yes.bank.in</t>
  </si>
  <si>
    <t>devi.rathore@yes.bank.in,kana.choudhary@yes.bank.in</t>
  </si>
  <si>
    <t>kalpesh.raval@yes.bank.in,pawan.rana@yes.bank.in</t>
  </si>
  <si>
    <t>priyanka.gupta15@yes.bank.in,narinder.singh3@yes.bank.in</t>
  </si>
  <si>
    <t>sameer.dhar@yes.bank.in,sanjeev.kumar30@yes.bank.in</t>
  </si>
  <si>
    <t>kamal.kumar13@yes.bank.in,sumit.kumar78@yes.bank.in,rahul.sharma57@yes.bank.in,sushant.parashar@yes.bank.in</t>
  </si>
  <si>
    <t>kalpataru.baishakh@yes.bank.in,kiran.mohapatra@yes.bank.in,avdesh.mishra@yes.bank.in,choudhury.jena@yes.bank.in</t>
  </si>
  <si>
    <t>santosh.sharma9@yes.bank.in,subhakanta.panda@yes.bank.in,suryanarayan.nayak@yes.bank.in</t>
  </si>
  <si>
    <t>biswarup.ghosh@yes.bank.in,manikandan.g4@yes.bank.in,mdshabbir.alam@yes.bank.in</t>
  </si>
  <si>
    <t>pramod.sankhala@yes.bank.in,jaspreetsingh.bhathal@yes.bank.in,sahil.gorsi@yes.bank.in,sunil.kumar113@yes.bank.in,jagmohan.singh3@yes.bank.in,kailash.devanda@yes.bank.in,sunil.choudhary2@yes.bank.in</t>
  </si>
  <si>
    <t>ashutosh.gupta3@yes.bank.in,harmeet.singh5@yes.bank.in,krishan.saini@yes.bank.in</t>
  </si>
  <si>
    <t>sukhwinder.singh18@yes.bank.in,vikash.kumar40@yes.bank.in,sidharth.rana@yes.bank.in,sukhwant.singh2@yes.bank.in</t>
  </si>
  <si>
    <t>sukhwant.singh2@yes.bank.in</t>
  </si>
  <si>
    <t>sandeep.kumar121@yes.bank.in,jaspreetsingh.bhathal@yes.bank.in,parveen.kumar16@yes.bank.in,vikash.kumar40@yes.bank.in,jagmohan.singh3@yes.bank.in,rishu.raghuvanshi@yes.bank.in</t>
  </si>
  <si>
    <t>avinash.kumar17@yes.bank.in,ashutosh.gupta3@yes.bank.in,sanjeev.kumar30@yes.bank.in,sameer.dhar@yes.bank.in,sukhwant.singh2@yes.bank.in,harmeet.singh5@yes.bank.in,pawan.rana@yes.bank.in</t>
  </si>
  <si>
    <t>avinash.kumar17@yes.bank.in,ashutosh.gupta3@yes.bank.in</t>
  </si>
  <si>
    <t>parveen.kumar16@yes.bank.in,gaurav.mahajan2@yes.bank.in,maninder.kumar@yes.bank.in</t>
  </si>
  <si>
    <t>sanjeev.kumar30@yes.bank.in,vineet.kumar12@yes.bank.in,sameer.dhar@yes.bank.in,ashutosh.gupta3@yes.bank.in</t>
  </si>
  <si>
    <t>parveen.kumar16@yes.bank.in,sandeep.kumar121@yes.bank.in</t>
  </si>
  <si>
    <t>sameer.dhar@yes.bank.in,avinash.kumar17@yes.bank.in,sanjeev.kumar30@yes.bank.in</t>
  </si>
  <si>
    <t>kushpal.singh@yes.bank.in,vikash.kumar40@yes.bank.in,sukhwinder.singh18@yes.bank.in,sandeep.kumar121@yes.bank.in,priya.kumari8@yes.bank.in,sukhwant.singh2@yes.bank.in</t>
  </si>
  <si>
    <t>sukhwant.singh2@yes.bank.in,avinash.kumar17@yes.bank.in,rohit.nijhawan@yes.bank.in</t>
  </si>
  <si>
    <t>maninder.kumar@yes.bank.in</t>
  </si>
  <si>
    <t>kushpal.singh@yes.bank.in,sukhwinder.singh18@yes.bank.in,sunil.kumar113@yes.bank.in,vikash.kumar40@yes.bank.in,vivekkumar.kaushal@yes.bank.in,manmohan.singh7@yes.bank.in,sukhwant.singh2@yes.bank.in</t>
  </si>
  <si>
    <t>sukhwant.singh2@yes.bank.in,ashutosh.gupta3@yes.bank.in,harmeet.singh5@yes.bank.in,sunil.jangir@yes.bank.in,sameer.dhar@yes.bank.in</t>
  </si>
  <si>
    <t>rajesh.kohli@yes.bank.in</t>
  </si>
  <si>
    <t>pawan.rana@yes.bank.in</t>
  </si>
  <si>
    <t>gagandeep.malhotra1@yes.bank.in,gur.singh@yes.bank.in,harjinder.singh7@yes.bank.in,jagmohan.singh3@yes.bank.in,ekta.rani1@yes.bank.in,maninder.kumar@yes.bank.in,manmohan.singh7@yes.bank.in,gaurav.mahajan2@yes.bank.in,bhushan.kumar1@yes.bank.in,neeraj.kumar36@yes.bank.in,abhishek.arora7@yes.bank.in,LavenderSingh.Negi@yes.bank.in,ankit.sandhu@yes.bank.in</t>
  </si>
  <si>
    <t>sameer.dhar@yes.bank.in,harmeet.singh5@yes.bank.in,ashutosh.gupta3@yes.bank.in,sanjeev.kumar30@yes.bank.in,vineet.kumar12@yes.bank.in,vikas.chawla@yes.bank.in,sunil.jangir@yes.bank.in,chetram.chahal@yes.bank.in</t>
  </si>
  <si>
    <t>ashutosh.gupta3@yes.bank.in,sandeep.mehta3@yes.bank.in</t>
  </si>
  <si>
    <t>sukhwant.singh2@yes.bank.in,sukhwinder.singh18@yes.bank.in,kushpal.singh@yes.bank.in</t>
  </si>
  <si>
    <t>ashish.tiwari10@yes.bank.in</t>
  </si>
  <si>
    <t>vivek.joshi4@yes.bank.in</t>
  </si>
  <si>
    <t>mahendra.chouhan1@yes.bank.in,subhash.sharma4@yes.bank.in,dinesh.kumar44@yes.bank.in,ashish.tiwari10@yes.bank.in,lalchand.chimpa@yes.bank.in,pawan.kumar61@yes.bank.in</t>
  </si>
  <si>
    <t>ashutosh.gupta3@yes.bank.in,avinash.kumar17@yes.bank.in,kalpesh.raval@yes.bank.in,lokeshkumar.sharma@yes.bank.in,sameer.dhar@yes.bank.in,sanjeev.kumar30@yes.bank.in,pawan.rana@yes.bank.in,vivek.joshi4@yes.bank.in</t>
  </si>
  <si>
    <t>avinash.kumar17@yes.bank.in,sameer.dhar@yes.bank.in</t>
  </si>
  <si>
    <t>dilip.bhati@yes.bank.in</t>
  </si>
  <si>
    <t>manish.shukla10@yes.bank.in</t>
  </si>
  <si>
    <t>pravesh.sharma1@yes.bank.in</t>
  </si>
  <si>
    <t>kuldeep.rathore1@yes.bank.in</t>
  </si>
  <si>
    <t>amit.pandey12@yes.bank.in,SyedMohd.Raza@yes.bank.in,ritam.basak@yes.bank.in,kailash.devanda@yes.bank.in,rajeev.jain@yes.bank.in,surendra.jhala@yes.bank.in,subhash.sharma4@yes.bank.in,mahendra.singhrathore@yes.bank.in,tarkeshwar.singh@yes.bank.in,rahul.jirota@yes.bank.in,nitinkumar.singh@yes.bank.in,siddharth.maharishi@yes.bank.in,rahul.harishankar@yes.bank.in,deepak.singh39@yes.bank.in,devendra.asthana@yes.bank.in,vivek.gupta13@yes.bank.in,jetendra.singh@yes.bank.in,abhishek.arora7@yes.bank.in,ankit.sandhu@yes.bank.in,maya.choudhary@yes.bank.in,yogesh.sharma5@yes.bank.in,manpreet.singh29@yes.bank.in,gopal.khatri@yes.bank.in,gopal.joshi1@yes.bank.in,narinder.singh3@yes.bank.in</t>
  </si>
  <si>
    <t>sameer.dhar@yes.bank.in,biswarup.ghosh@yes.bank.in,abhinav.lal2@yes.bank.in,ashutosh.gupta3@yes.bank.in,sunil.jangir@yes.bank.in,avinash.kumar17@yes.bank.in,sanjeev.kumar30@yes.bank.in,vikas.chawla@yes.bank.in,chetram.chahal@yes.bank.in</t>
  </si>
  <si>
    <t>kuldeep.rathore1@yes.bank.in,subhash.sharma4@yes.bank.in,siddharth.maharishi@yes.bank.in,rajveer.singh5@yes.bank.in,kamal.kumar13@yes.bank.in</t>
  </si>
  <si>
    <t>manish.shukla10@yes.bank.in,avinash.kumar17@yes.bank.in,sanjeev.kumar30@yes.bank.in,sameer.dhar@yes.bank.in,pawan.rana@yes.bank.in</t>
  </si>
  <si>
    <t>subhash.sharma4@yes.bank.in,kishore.singh2@yes.bank.in,deependra.rathore@yes.bank.in,himmat.mangawa@yes.bank.in</t>
  </si>
  <si>
    <t>avinash.kumar17@yes.bank.in,vivek.joshi4@yes.bank.in</t>
  </si>
  <si>
    <t>dilip.bhati@yes.bank.in,mahendra.chouhan1@yes.bank.in,kana.choudhary@yes.bank.in,subhash.sharma4@yes.bank.in,kamal.kumar13@yes.bank.in</t>
  </si>
  <si>
    <t>manish.shukla10@yes.bank.in,ashutosh.gupta3@yes.bank.in,pawan.rana@yes.bank.in,avinash.kumar17@yes.bank.in</t>
  </si>
  <si>
    <t>dilip.bhati@yes.bank.in,kana.choudhary@yes.bank.in</t>
  </si>
  <si>
    <t>manish.shukla10@yes.bank.in,pawan.rana@yes.bank.in</t>
  </si>
  <si>
    <t>jetendra.singh@yes.bank.in,dilip.bhati@yes.bank.in,devi.rathore@yes.bank.in</t>
  </si>
  <si>
    <t>sunil.jangir@yes.bank.in,manish.shukla10@yes.bank.in,kalpesh.raval@yes.bank.in</t>
  </si>
  <si>
    <t>mahendra.chouhan1@yes.bank.in,dilip.bhati@yes.bank.in</t>
  </si>
  <si>
    <t>lokeshkumar.sharma@yes.bank.in,ashutosh.gupta3@yes.bank.in,manish.shukla10@yes.bank.in,sameer.dhar@yes.bank.in,sanjeev.kumar30@yes.bank.in</t>
  </si>
  <si>
    <t>sameer.dhar@yes.bank.in</t>
  </si>
  <si>
    <t>manish.kumar51@yes.bank.in,rahul.jirota@yes.bank.in,ram.choudhary@yes.bank.in,gajraj.singh@yes.bank.in,yasin.mohammed1@yes.bank.in</t>
  </si>
  <si>
    <t>Amit.Sharma62@yes.bank.in,ashutosh.gupta3@yes.bank.in,sanjeev.kumar30@yes.bank.in,kalpesh.raval@yes.bank.in,saurabh.saroch@yes.bank.in,lokeshkumar.sharma@yes.bank.in,manish.shukla10@yes.bank.in,sameer.dhar@yes.bank.in</t>
  </si>
  <si>
    <t>arun.goel@yes.bank.in,sameer.dhar@yes.bank.in</t>
  </si>
  <si>
    <t>vaibhav.mishra2@yes.bank.in,shashi.pratapsingh@yes.bank.in,sachin.chauhan3@yes.bank.in,amit.pandey12@yes.bank.in,ram.shankar@yes.bank.in,nitin.srivastava1@yes.bank.in,rahul.harishankar@yes.bank.in,Harish.Johar@yes.bank.in,devendra.asthana@yes.bank.in,vivek.gupta13@yes.bank.in,pawan.kumar47@yes.bank.in</t>
  </si>
  <si>
    <t>sukhwant.singh2@yes.bank.in,sameer.dhar@yes.bank.in,sanjeev.kumar30@yes.bank.in,abhinav.lal2@yes.bank.in,subhodip.mukherjee@yes.bank.in,vineet.kumar12@yes.bank.in</t>
  </si>
  <si>
    <t>avinash.kumar17@yes.bank.in,arun.goel@yes.bank.in</t>
  </si>
  <si>
    <t>vivek.gupta13@yes.bank.in,nitinkumar.singh@yes.bank.in</t>
  </si>
  <si>
    <t>abhinav.lal2@yes.bank.in</t>
  </si>
  <si>
    <t>dheerendra.singh2@yes.bank.in,sachin.chauhan3@yes.bank.in,ashishkumar.shukla1@yes.bank.in,devendra.asthana@yes.bank.in</t>
  </si>
  <si>
    <t>avinash.kumar17@yes.bank.in,sukhwant.singh2@yes.bank.in,abhinav.lal2@yes.bank.in</t>
  </si>
  <si>
    <t>shashi.pratapsingh@yes.bank.in,aman.kesharwani@yes.bank.in,dheerendra.singh2@yes.bank.in,kunwar.kumarsingh@yes.bank.in</t>
  </si>
  <si>
    <t>sanjeev.kumar30@yes.bank.in,sameer.dhar@yes.bank.in,avinash.kumar17@yes.bank.in</t>
  </si>
  <si>
    <t>sushant.singh2@yes.bank.in,shailendra.chauhan@yes.bank.in,manojkumar.mishra3@yes.bank.in</t>
  </si>
  <si>
    <t>devendra.asthana@yes.bank.in,vivek.gupta13@yes.bank.in,ashishkumar.shukla1@yes.bank.in,nitinkumar.singh@yes.bank.in,ram.shankar@yes.bank.in</t>
  </si>
  <si>
    <t>abhinav.lal2@yes.bank.in,sukhwant.singh2@yes.bank.in</t>
  </si>
  <si>
    <t>ram.shankar@yes.bank.in,amit.pandey12@yes.bank.in</t>
  </si>
  <si>
    <t>sukhwant.singh2@yes.bank.in,sanjeev.kumar30@yes.bank.in,sameer.dhar@yes.bank.in</t>
  </si>
  <si>
    <t>manibhushan.kumar@yes.bank.in</t>
  </si>
  <si>
    <t>jeetmani.silswal@yes.bank.in,hayat.kathayat@yes.bank.in,rittin.arya@yes.bank.in,sandeep.tyagi@yes.bank.in</t>
  </si>
  <si>
    <t>ashutosh.gupta3@yes.bank.in,sandeep.mehta3@yes.bank.in,sanjeev.kumar30@yes.bank.in,sumit.narang@yes.bank.in,abhinav.lal2@yes.bank.in,sameer.dhar@yes.bank.in</t>
  </si>
  <si>
    <t>hayat.kathayat@yes.bank.in</t>
  </si>
  <si>
    <t>rohit.nijhawan@yes.bank.in</t>
  </si>
  <si>
    <t>nitin.kumar30@yes.bank.in,hayat.kathayat@yes.bank.in,sumit.kumar78@yes.bank.in,rittin.arya@yes.bank.in</t>
  </si>
  <si>
    <t>mukesh.rawat2@yes.bank.in,sanjeev.kumar30@yes.bank.in,abhinav.lal2@yes.bank.in,sameer.dhar@yes.bank.in,rohit.nijhawan@yes.bank.in,avinash.kumar17@yes.bank.in,sumit.narang@yes.bank.in</t>
  </si>
  <si>
    <t>md.sarfarazuddin@yes.bank.in,arindam.sarkar2@yes.bank.in,tarkeshwar.singh@yes.bank.in,ritam.basak@yes.bank.in,priyanka.mondal@yes.bank.in,deepak.singh39@yes.bank.in,manish.bhagat@yes.bank.in,soumitra.ghosh1@yes.bank.in,monawwar.alam1@yes.bank.in</t>
  </si>
  <si>
    <t>ashutosh.gupta3@yes.bank.in,subhasis.banerjee@yes.bank.in,biswarup.ghosh@yes.bank.in,mdshabbir.alam@yes.bank.in</t>
  </si>
  <si>
    <t>saisab.mallick@yes.bank.in,priyanka.mondal@yes.bank.in,azharuddin.md@yes.bank.in,souvik.pramanik@yes.bank.in,arindam.sarkar2@yes.bank.in,imran.elahi@yes.bank.in,deepak.singh39@yes.bank.in,tarkeshwar.singh@yes.bank.in,ritam.basak@yes.bank.in,manish.bhagat@yes.bank.in,soumitra.ghosh1@yes.bank.in,monawwar.alam1@yes.bank.in,subhakanta.panda@yes.bank.in</t>
  </si>
  <si>
    <t>manikandan.g4@yes.bank.in,subhasis.banerjee@yes.bank.in,ashutosh.gupta3@yes.bank.in,rathindra.das@yes.bank.in,biswarup.ghosh@yes.bank.in,mdshabbir.alam@yes.bank.in</t>
  </si>
  <si>
    <t>krishnendu.sarder@yes.bank.in,joy.saha@yes.bank.in</t>
  </si>
  <si>
    <t>sekhar.mukharjee@yes.bank.in</t>
  </si>
  <si>
    <t>sudip.manna@yes.bank.in,suman.das3@yes.bank.in,ritam.basak@yes.bank.in,tarkeshwar.singh@yes.bank.in,deepak.singh39@yes.bank.in</t>
  </si>
  <si>
    <t>sekhar.mukharjee@yes.bank.in,biswarup.ghosh@yes.bank.in</t>
  </si>
  <si>
    <t>arindam.sarkar2@yes.bank.in,krishnendu.sarder@yes.bank.in,priyanka.mondal@yes.bank.in,imran.elahi@yes.bank.in,tarkeshwar.singh@yes.bank.in</t>
  </si>
  <si>
    <t>subhasis.banerjee@yes.bank.in,sekhar.mukharjee@yes.bank.in,manikandan.g4@yes.bank.in,biswarup.ghosh@yes.bank.in</t>
  </si>
  <si>
    <t>suman.das3@yes.bank.in,joy.saha@yes.bank.in</t>
  </si>
  <si>
    <t>saisab.mallick@yes.bank.in,rupesh.singh1@yes.bank.in,md.kausar@yes.bank.in,imran.elahi@yes.bank.in,abhishek.kumar84@yes.bank.in,monawwar.alam1@yes.bank.in,ossam.aditya@yes.bank.in,abhisek.bose@yes.bank.in,rajkumar.hazra@yes.bank.in,soumitra.ghosh1@yes.bank.in</t>
  </si>
  <si>
    <t>manikandan.g4@yes.bank.in,sekhar.mukharjee@yes.bank.in,ashutosh.gupta3@yes.bank.in,rathindra.das@yes.bank.in,mdshabbir.alam@yes.bank.in</t>
  </si>
  <si>
    <t>arindam.sarkar2@yes.bank.in,ritam.basak@yes.bank.in,tarkeshwar.singh@yes.bank.in,deepak.singh39@yes.bank.in,priyanka.mondal@yes.bank.in,rajkumar.hazra@yes.bank.in,abhisek.bose@yes.bank.in,manish.bhagat@yes.bank.in,monawwar.alam1@yes.bank.in</t>
  </si>
  <si>
    <t>subhasis.banerjee@yes.bank.in,biswarup.ghosh@yes.bank.in,mdshabbir.alam@yes.bank.in</t>
  </si>
  <si>
    <t>nitumani.kalita@yes.bank.in,manojkumar.mishra3@yes.bank.in,manibhushan.kumar@yes.bank.in,rupesh.singh1@yes.bank.in,gaurav.singh23@yes.bank.in,mritunjay.munna@yes.bank.in,abhishek.kumar84@yes.bank.in,ashit.kumar3@yes.bank.in,shailendra.chauhan@yes.bank.in,nayanjyoti.deka@yes.bank.in,sushant.singh2@yes.bank.in</t>
  </si>
  <si>
    <t>sekhar.mukharjee@yes.bank.in,sandeep.mehta3@yes.bank.in,subhasis.banerjee@yes.bank.in,ashutosh.gupta3@yes.bank.in,rathindra.das@yes.bank.in</t>
  </si>
  <si>
    <t>pankaj.yadav11@yes.bank.in,rupesh.singh1@yes.bank.in,mritunjay.munna@yes.bank.in,gaurav.singh23@yes.bank.in,santosh.thakur@yes.bank.in</t>
  </si>
  <si>
    <t>sekhar.mukharjee@yes.bank.in,ashutosh.gupta3@yes.bank.in,rathindra.das@yes.bank.in</t>
  </si>
  <si>
    <t>vivek.pandey7@yes.bank.in,chander.miglani@yes.bank.in,manoj.kumar56@yes.bank.in</t>
  </si>
  <si>
    <t>kumar.sambhav@yes.bank.in,rohit.nijhawan@yes.bank.in</t>
  </si>
  <si>
    <t>hemant.bajaj1@yes.bank.in,rinki.sharma@yes.bank.in</t>
  </si>
  <si>
    <t>upanshu.bajaj@yes.bank.in</t>
  </si>
  <si>
    <t>vishal.gupta15@yes.bank.in,gopal.khatri@yes.bank.in,md.faizullah@yes.bank.in,ravi.parkash1@yes.bank.in,nayanjyoti.deka@yes.bank.in,pooja.mehra1@yes.bank.in</t>
  </si>
  <si>
    <t>mukesh.rawat2@yes.bank.in,abhinav.lal2@yes.bank.in,sekhar.mukharjee@yes.bank.in,rohit.nijhawan@yes.bank.in</t>
  </si>
  <si>
    <t>vishal.gupta15@yes.bank.in,sidharth.rana@yes.bank.in,nitin.kumar30@yes.bank.in,jay.shukla1@yes.bank.in,subhajit.bhowmik@yes.bank.in</t>
  </si>
  <si>
    <t>mukesh.rawat2@yes.bank.in,sukhwant.singh2@yes.bank.in</t>
  </si>
  <si>
    <t>jay.shukla1@yes.bank.in</t>
  </si>
  <si>
    <t>jay.shukla1@yes.bank.in,amit.kumar183@yes.bank.in</t>
  </si>
  <si>
    <t>mukesh.rawat2@yes.bank.in,kumar.sambhav@yes.bank.in</t>
  </si>
  <si>
    <t>shailendra.chauhan@yes.bank.in,jeetmani.silswal@yes.bank.in,sushant.singh2@yes.bank.in,manojkumar.mishra3@yes.bank.in</t>
  </si>
  <si>
    <t>sushant.parashar@yes.bank.in,rahul.sharma57@yes.bank.in,sumit.kumar78@yes.bank.in</t>
  </si>
  <si>
    <t>vikas.saini2@yes.bank.in,pawan.kumar61@yes.bank.in,vinay.kumar15@yes.bank.in,ekta.rani1@yes.bank.in</t>
  </si>
  <si>
    <t>ashutosh.gupta3@yes.bank.in,avinash.kumar17@yes.bank.in,abhinav.lal2@yes.bank.in,krishan.saini@yes.bank.in,pawan.rana@yes.bank.in</t>
  </si>
  <si>
    <t>vikram.singh26@yes.bank.in,vikash.kumar40@yes.bank.in,jaspreetsingh.bhathal@yes.bank.in,kushpal.singh@yes.bank.in,rishu.raghuvanshi@yes.bank.in</t>
  </si>
  <si>
    <t>sameer.dhar@yes.bank.in,sukhwant.singh2@yes.bank.in,sanjeev.kumar30@yes.bank.in,ashutosh.gupta3@yes.bank.in,pawan.rana@yes.bank.in</t>
  </si>
  <si>
    <t>santosh.thakur@yes.bank.in,ashit.kumar3@yes.bank.in,pankaj.yadav11@yes.bank.in,choudhury.jena@yes.bank.in,avdesh.mishra@yes.bank.in</t>
  </si>
  <si>
    <t>rishu.raghuvanshi@yes.bank.in</t>
  </si>
  <si>
    <t>jagmohan.singh3@yes.bank.in,jaspreetsingh.bhathal@yes.bank.in,sunil.kumar113@yes.bank.in</t>
  </si>
  <si>
    <t>ashutosh.gupta3@yes.bank.in,harmeet.singh5@yes.bank.in</t>
  </si>
  <si>
    <t>LavenderSingh.Negi@yes.bank.in,avdesh.mishra@yes.bank.in,vikas.saini2@yes.bank.in,jaspreetsingh.bhathal@yes.bank.in,jagmohan.singh3@yes.bank.in,Jauny.Singh@yes.bank.in,sunil.kumar113@yes.bank.in</t>
  </si>
  <si>
    <t>sunil.jangir@yes.bank.in,ashutosh.gupta3@yes.bank.in,pawan.rana@yes.bank.in</t>
  </si>
  <si>
    <t>kuldeep.rathore1@yes.bank.in,manish.shukla10@yes.bank.in</t>
  </si>
  <si>
    <t>yasin.mohammed1@yes.bank.in,pravesh.sharma1@yes.bank.in,kailash.devanda@yes.bank.in,akram.hussain@yes.bank.in</t>
  </si>
  <si>
    <t>manish.shukla10@yes.bank.in,ashutosh.gupta3@yes.bank.in</t>
  </si>
  <si>
    <t>devi.rathore@yes.bank.in,ram.choudhary@yes.bank.in</t>
  </si>
  <si>
    <t>saurabh.saroch@yes.bank.in,kalpesh.raval@yes.bank.in</t>
  </si>
  <si>
    <t>ram.shankar@yes.bank.in</t>
  </si>
  <si>
    <t>ram.shankar@yes.bank.in,mohit.rathore2@yes.bank.in</t>
  </si>
  <si>
    <t>mritunjay.munna@yes.bank.in,manibhushan.kumar@yes.bank.in</t>
  </si>
  <si>
    <t>ashutosh.gupta3@yes.bank.in,subhasis.banerjee@yes.bank.in</t>
  </si>
  <si>
    <t>vaibhav.mishra2@yes.bank.in,sachin.chauhan3@yes.bank.in,vivek.gupta13@yes.bank.in,devendra.asthana@yes.bank.in</t>
  </si>
  <si>
    <t>sukhwant.singh2@yes.bank.in,abhinav.lal2@yes.bank.in</t>
  </si>
  <si>
    <t>subhajit.bhowmik@yes.bank.in,sushant.parashar@yes.bank.in,sandeep.tyagi@yes.bank.in,sumit.kumar78@yes.bank.in,rahul.sharma57@yes.bank.in,rittin.arya@yes.bank.in</t>
  </si>
  <si>
    <t>mukesh.rawat2@yes.bank.in,avinash.kumar17@yes.bank.in,sumit.narang@yes.bank.in</t>
  </si>
  <si>
    <t>vaibhav.mishra2@yes.bank.in</t>
  </si>
  <si>
    <t>hayat.kathayat@yes.bank.in,devendra.asthana@yes.bank.in</t>
  </si>
  <si>
    <t>abhinav.lal2@yes.bank.in,sanjeev.kumar30@yes.bank.in,rohit.nijhawan@yes.bank.in,sameer.dhar@yes.bank.in</t>
  </si>
  <si>
    <t>krishnendu.sarder@yes.bank.in,sujoy.das@yes.bank.in</t>
  </si>
  <si>
    <t>sujoy.das@yes.bank.in</t>
  </si>
  <si>
    <t>saisab.mallick@yes.bank.in,imran.elahi@yes.bank.in</t>
  </si>
  <si>
    <t>bhavana.rajput@yes.bank.in,ritesh.chourasia@yes.bank.in,anuj.saxena4@yes.bank.in</t>
  </si>
  <si>
    <t>upanshu.bajaj@yes.bank.in,rohit.nijhawan@yes.bank.in</t>
  </si>
  <si>
    <t>jatin.saini@yes.bank.in,subhajit.bhowmik@yes.bank.in,shivakant.trivedi@yes.bank.in,sandeep.kumar95@yes.bank.in,priya.kumari8@yes.bank.in,pawan.kumar47@yes.bank.in,govind.kumar3@yes.bank.in,pooja.mehra1@yes.bank.in</t>
  </si>
  <si>
    <t>upanshu.bajaj@yes.bank.in,mukesh.rawat2@yes.bank.in,rohit.nijhawan@yes.bank.in</t>
  </si>
  <si>
    <t>choudhury.jena@yes.bank.in,suryakanta.jena1@yes.bank.in,kalpataru.baishakh@yes.bank.in,subhakanta.panda@yes.bank.in,kiran.mohapatra@yes.bank.in,avdesh.mishra@yes.bank.in</t>
  </si>
  <si>
    <t>ashutosh.gupta3@yes.bank.in,subhasis.banerjee@yes.bank.in,sekhar.mukharjee@yes.bank.in,manikandan.g4@yes.bank.in,saurabh.chaturvedi2@yes.bank.in</t>
  </si>
  <si>
    <t>kushpal.singh@yes.bank.in,sukhwinder.singh18@yes.bank.in,vikash.kumar40@yes.bank.in,anilkumar.nandal@yes.bank.in,pawan.kumar62@yes.bank.in,sidharth.rana@yes.bank.in,sukhwant.singh2@yes.bank.in,kapil.kumar24@yes.bank.in</t>
  </si>
  <si>
    <t>sukhwant.singh2@yes.bank.in,sameer.dhar@yes.bank.in,sanjeev.kumar30@yes.bank.in,pawan.rana@yes.bank.in,vineet.kumar12@yes.bank.in</t>
  </si>
  <si>
    <t>yasin.mohammed1@yes.bank.in,akram.hussain@yes.bank.in,pramod.sankhala@yes.bank.in,ranjan.solanki@yes.bank.in,sunil.choudhary2@yes.bank.in,manish.shukla10@yes.bank.in</t>
  </si>
  <si>
    <t>manish.shukla10@yes.bank.in,ashutosh.gupta3@yes.bank.in,kalpesh.raval@yes.bank.in,saurabh.saroch@yes.bank.in</t>
  </si>
  <si>
    <t>sunil.choudhary2@yes.bank.in,sandeep.kumar121@yes.bank.in,ranjan.solanki@yes.bank.in,pramod.sankhala@yes.bank.in,siddharth.maharishi@yes.bank.in,kailash.devanda@yes.bank.in,rajveer.singh5@yes.bank.in</t>
  </si>
  <si>
    <t>ashutosh.gupta3@yes.bank.in,avinash.kumar17@yes.bank.in,sanjeev.kumar30@yes.bank.in,krishan.saini@yes.bank.in,sameer.dhar@yes.bank.in,saurabh.saroch@yes.bank.in,pawan.rana@yes.bank.in</t>
  </si>
  <si>
    <t>pravesh.sharma1@yes.bank.in,akram.hussain@yes.bank.in,pramod.sankhala@yes.bank.in,siddharth.maharishi@yes.bank.in,yogesh.sharma5@yes.bank.in,yasin.mohammed1@yes.bank.in,deependra.rathore@yes.bank.in,himmat.mangawa@yes.bank.in,lalchand.chimpa@yes.bank.in,dinesh.kumar44@yes.bank.in,ram.singh6@yes.bank.in,kishore.singh2@yes.bank.in,ashish.tiwari10@yes.bank.in</t>
  </si>
  <si>
    <t>manish.shukla10@yes.bank.in,ashutosh.gupta3@yes.bank.in,sameer.dhar@yes.bank.in,sunil.jangir@yes.bank.in,vivek.joshi4@yes.bank.in,krishan.saini@yes.bank.in</t>
  </si>
  <si>
    <t>suman.das3@yes.bank.in,md.sarfarazuddin@yes.bank.in,azharuddin.md@yes.bank.in,sudip.manna@yes.bank.in,tarkeshwar.singh@yes.bank.in,deepak.singh39@yes.bank.in</t>
  </si>
  <si>
    <t>sekhar.mukharjee@yes.bank.in,ashutosh.gupta3@yes.bank.in,rathindra.das@yes.bank.in,biswarup.ghosh@yes.bank.in</t>
  </si>
  <si>
    <t>vishal.gupta15@yes.bank.in,Harish.Johar@yes.bank.in,manpreet.singh35@yes.bank.in</t>
  </si>
  <si>
    <t>mukesh.rawat2@yes.bank.in,vineet.kumar12@yes.bank.in</t>
  </si>
  <si>
    <t>vivek.shukla4@yes.bank.in</t>
  </si>
  <si>
    <t>abhinav.lal2@yes.bank.in,sameer.dhar@yes.bank.in,sanjeev.kumar30@yes.bank.in,dipak.dhandhukiya@yes.bank.in,sekhar.gundala1@yes.bank.in,SAGAR.CHOUDHARI@yes.bank.in</t>
  </si>
  <si>
    <t>suryanarayan.nayak@yes.bank.in</t>
  </si>
  <si>
    <t>biswarup.ghosh@yes.bank.in</t>
  </si>
  <si>
    <t>gur.singh@yes.bank.in</t>
  </si>
  <si>
    <t>sanjeev.kumar30@yes.bank.in</t>
  </si>
  <si>
    <t>kushpal.singh@yes.bank.in</t>
  </si>
  <si>
    <t>manpreet.singh29@yes.bank.in</t>
  </si>
  <si>
    <t>vivek.joshi4@yes.bank.in,praveen.kurra@yes.bank.in,sameer.dhar@yes.bank.in,sanjeev.kumar30@yes.bank.in</t>
  </si>
  <si>
    <t>sameer.dhar@yes.bank.in,sanjeev.kumar30@yes.bank.in,abhinav.lal2@yes.bank.in</t>
  </si>
  <si>
    <t>abhinav.lal2@yes.bank.in,subhasis.banerjee@yes.bank.in</t>
  </si>
  <si>
    <t>priyanka.mondal@yes.bank.in</t>
  </si>
  <si>
    <t>subhasis.banerjee@yes.bank.in,biswarup.ghosh@yes.bank.in</t>
  </si>
  <si>
    <t>biswarup.ghosh@yes.bank.in,SAGAR.CHOUDHARI@yes.bank.in,subhasis.banerjee@yes.bank.in</t>
  </si>
  <si>
    <t>abhinav.lal2@yes.bank.in,SAGAR.CHOUDHARI@yes.bank.in,sameer.dhar@yes.bank.in,biswarup.ghosh@yes.bank.in</t>
  </si>
  <si>
    <t>abhinav.lal2@yes.bank.in,ravi.parkash1@yes.bank.in,gopal.khatri@yes.bank.in</t>
  </si>
  <si>
    <t>abhinav.lal2@yes.bank.in,SAGAR.CHOUDHARI@yes.bank.in,sanjeev.kumar30@yes.bank.in</t>
  </si>
  <si>
    <t>santosh.thakur@yes.bank.in,amit.singh69@yes.bank.in,sachin.bharti@yes.bank.in,sankerbalaji.n@yes.bank.in,santosh.sharma9@yes.bank.in</t>
  </si>
  <si>
    <t>nishant.kumar16@yes.bank.in</t>
  </si>
  <si>
    <t>biswarup.ghosh@yes.bank.in,SAGAR.CHOUDHARI@yes.bank.in</t>
  </si>
  <si>
    <t>biswarup.ghosh@yes.bank.in,SAGAR.CHOUDHARI@yes.bank.in,subhasis.banerjee@yes.bank.in,rajnish.dwivedi@yes.bank.in</t>
  </si>
  <si>
    <t>abhinav.lal2@yes.bank.in,sanjeev.kumar30@yes.bank.in</t>
  </si>
  <si>
    <t>nishant.kumar16@yes.bank.in,abhishek.kumar84@yes.bank.in</t>
  </si>
  <si>
    <t>abhinav.lal2@yes.bank.in,rajnish.dwivedi@yes.bank.in</t>
  </si>
  <si>
    <t>sameer.dhar@yes.bank.in,abhinav.lal2@yes.bank.in,sanjeev.kumar30@yes.bank.in</t>
  </si>
  <si>
    <t>dipak.dhandhukiya@yes.bank.in,sanjeev.kumar30@yes.bank.in</t>
  </si>
  <si>
    <t>sameer.dhar@yes.bank.in,abhinav.lal2@yes.bank.in</t>
  </si>
  <si>
    <t>deepak.singh39@yes.bank.in,tarkeshwar.singh@yes.bank.in,priyanka.mondal@yes.bank.in,suryanarayan.nayak@yes.bank.in</t>
  </si>
  <si>
    <t>shyam.parkash@yes.bank.in,abhinav.lal2@yes.bank.in,punit.sharma1@yes.bank.in,navajakhan.p@yes.bank.in,vivek.shukla4@yes.bank.in,sourabh.parihar@yes.bank.in,amit.pandey12@yes.bank.in,kushpal.singh@yes.bank.in,rittin.arya@yes.bank.in</t>
  </si>
  <si>
    <t>sourabh.parihar@yes.bank.in,vivek.shukla4@yes.bank.in</t>
  </si>
  <si>
    <t>shyam.parkash@yes.bank.in</t>
  </si>
  <si>
    <t>shyam.parkash@yes.bank.in,kushpal.singh@yes.bank.in</t>
  </si>
  <si>
    <t>manpreet.singh29@yes.bank.in,shyam.parkash@yes.bank.in</t>
  </si>
  <si>
    <t>abhishek.kumar84@yes.bank.in,vivek.shukla4@yes.bank.in,shyam.parkash@yes.bank.in,rittin.arya@yes.bank.in</t>
  </si>
  <si>
    <t>vivek.shukla4@yes.bank.in,shyam.parkash@yes.bank.in,rittin.arya@yes.bank.in,sachin.chauhan3@yes.bank.in,prashant.singh7@yes.bank.in</t>
  </si>
  <si>
    <t>kushpal.singh@yes.bank.in,vivek.shukla4@yes.bank.in,manibhushan.kumar@yes.bank.in</t>
  </si>
  <si>
    <t>priyanka.mondal@yes.bank.in,sourabh.parihar@yes.bank.in</t>
  </si>
  <si>
    <t>nitesh.madhavi@yes.bank.in,sourabh.parihar@yes.bank.in,sudip.manna@yes.bank.in,kravi.kumar@yes.bank.in</t>
  </si>
  <si>
    <t>shyam.parkash@yes.bank.in,gaurav.mishra5@yes.bank.in,abhinav.lal2@yes.bank.in</t>
  </si>
  <si>
    <t>shyam.parkash@yes.bank.in,vivek.shukla4@yes.bank.in,sourabh.parihar@yes.bank.in,sushim.kumar@yes.bank.in</t>
  </si>
  <si>
    <t>manpreet.singh35@yes.bank.in,shyam.parkash@yes.bank.in,rittin.arya@yes.bank.in,manpreet.singh29@yes.bank.in</t>
  </si>
  <si>
    <t>suryanarayan.nayak@yes.bank.in,santosh.sharma9@yes.bank.in,nitesh.madhavi@yes.bank.in,arindam.sarkar2@yes.bank.in,suryakanta.jena1@yes.bank.in,manikandan.g4@yes.bank.in</t>
  </si>
  <si>
    <t>shyam.parkash@yes.bank.in,lokeshkumar.sharma@yes.bank.in</t>
  </si>
  <si>
    <t>kishore.singh2@yes.bank.in,ashish.tiwari10@yes.bank.in,shyam.parkash@yes.bank.in</t>
  </si>
  <si>
    <t>shyam.parkash@yes.bank.in,rittin.arya@yes.bank.in,vivek.shukla4@yes.bank.in</t>
  </si>
  <si>
    <t>manpreet.singh29@yes.bank.in,vivek.shukla4@yes.bank.in</t>
  </si>
  <si>
    <t>arindam.sarkar2@yes.bank.in,priyanka.mondal@yes.bank.in,deepak.singh39@yes.bank.in,imran.elahi@yes.bank.in,sachin.bharti@yes.bank.in,sudip.manna@yes.bank.in,amit.singh69@yes.bank.in,suryakanta.jena1@yes.bank.in</t>
  </si>
  <si>
    <t>joy.saha@yes.bank.in</t>
  </si>
  <si>
    <t>sudip.manna@yes.bank.in, abhishek.kumar84@yes.bank.in</t>
  </si>
  <si>
    <t>subhasis.banerjee@yes.bank.in, biswarup.ghosh@yes.bank.in</t>
  </si>
  <si>
    <t>manibhushan.kumar@yes.bank.in, nishant.kumar16@yes.bank.in, abhishek.kumar84@yes.bank.in</t>
  </si>
  <si>
    <t>vikram.singh26@yes.bank.in, narinder.singh3@yes.bank.in, sachin.chauhan3@yes.bank.in, parveen.kumar16@yes.bank.in, pravin.pawar2@yes.bank.in, sukhwinder.singh18@yes.bank.in, neeraj.kumar36@yes.bank.in</t>
  </si>
  <si>
    <t>sanjeev.kumar30@yes.bank.in, rajnish.dwivedi@yes.bank.in, chetram.chahal@yes.bank.in</t>
  </si>
  <si>
    <t>nitesh.madhavi@yes.bank.in, rizwan.quraishi@yes.bank.in, sourabh.parihar@yes.bank.in, kravi.kumar@yes.bank.in, sudip.manna@yes.bank.in, abhishek.kumar84@yes.bank.in</t>
  </si>
  <si>
    <t>biswarup.ghosh@yes.bank.in, SAGAR.CHOUDHARI@yes.bank.in, subhasis.banerjee@yes.bank.in</t>
  </si>
  <si>
    <t>abhinav.lal2@yes.bank.in, gopal.khatri@yes.bank.in</t>
  </si>
  <si>
    <t>sushim.kumar@yes.bank.in, narinder.singh3@yes.bank.in, rittin.arya@yes.bank.in, manpreet.singh35@yes.bank.in</t>
  </si>
  <si>
    <t>sanjeev.kumar30@yes.bank.in, sameer.dhar@yes.bank.in, subhasis.banerjee@yes.bank.in</t>
  </si>
  <si>
    <t>ravi.parkash1@yes.bank.in, shyam.parkash@yes.bank.in</t>
  </si>
  <si>
    <t>shyam.parkash@yes.bank.in, maninder.kumar@yes.bank.in</t>
  </si>
  <si>
    <t>abhinav.lal2@yes.bank.in, sanjeev.kumar30@yes.bank.in, sameer.dhar@yes.bank.in</t>
  </si>
  <si>
    <t>shyam.parkash@yes.bank.in, rittin.arya@yes.bank.in, narinder.singh3@yes.bank.in</t>
  </si>
  <si>
    <t>abhinav.lal2@yes.bank.in, sanjeev.kumar30@yes.bank.in</t>
  </si>
  <si>
    <t>nitesh.madhavi@yes.bank.in, kushpal.singh@yes.bank.in</t>
  </si>
  <si>
    <t>rajnish.dwivedi@yes.bank.in</t>
  </si>
  <si>
    <t>kushpal.singh@yes.bank.in, pawan.kumar47@yes.bank.in</t>
  </si>
  <si>
    <t>sameer.dhar@yes.bank.in, sanjeev.kumar30@yes.bank.in, abhinav.lal2@yes.bank.in</t>
  </si>
  <si>
    <t>santosh.thakur@yes.bank.in, nishant.kumar16@yes.bank.in, shyam.parkash@yes.bank.in</t>
  </si>
  <si>
    <t>sachin.bharti@yes.bank.in</t>
  </si>
  <si>
    <t>amit.singh69@yes.bank.in, sankerbalaji.n@yes.bank.in, shyam.parkash@yes.bank.in</t>
  </si>
  <si>
    <t>subhasis.banerjee@yes.bank.in, abhinav.lal2@yes.bank.in</t>
  </si>
  <si>
    <t>amit.singh69@yes.bank.in</t>
  </si>
  <si>
    <t>nitesh.madhavi@yes.bank.in, manikandan.g4@yes.bank.in</t>
  </si>
  <si>
    <t>SAGAR.CHOUDHARI@yes.bank.in</t>
  </si>
  <si>
    <t>abhishek.kumar84@yes.bank.in, nitesh.madhavi@yes.bank.in</t>
  </si>
  <si>
    <t>santosh.sharma9@yes.bank.in</t>
  </si>
  <si>
    <t>biswarup.ghosh@yes.bank.in, SAGAR.CHOUDHARI@yes.bank.in</t>
  </si>
  <si>
    <t>navajakhan.p@yes.bank.in, gur.singh@yes.bank.in</t>
  </si>
  <si>
    <t>sekhar.gundala1@yes.bank.in, sanjeev.kumar30@yes.bank.in, sameer.dhar@yes.bank.in</t>
  </si>
  <si>
    <t>shyam.parkash@yes.bank.in, kushpal.singh@yes.bank.in, sukhwinder.singh18@yes.bank.in, gagandeep.malhotra1@yes.bank.in</t>
  </si>
  <si>
    <t>maninder.kumar@yes.bank.in, parveen.kumar16@yes.bank.in</t>
  </si>
  <si>
    <t>sanjeev.kumar30@yes.bank.in, sameer.dhar@yes.bank.in</t>
  </si>
  <si>
    <t>kushpal.singh@yes.bank.in, maninder.kumar@yes.bank.in</t>
  </si>
  <si>
    <t>gopal.khatri@yes.bank.in, kushpal.singh@yes.bank.in</t>
  </si>
  <si>
    <t>kishore.singh2@yes.bank.in</t>
  </si>
  <si>
    <t>shyam.parkash@yes.bank.in, punit.sharma1@yes.bank.in, ashish.tiwari10@yes.bank.in</t>
  </si>
  <si>
    <t>abhinav.lal2@yes.bank.in, dipak.dhandhukiya@yes.bank.in, vivek.joshi4@yes.bank.in</t>
  </si>
  <si>
    <t>shyam.parkash@yes.bank.in, amit.pandey12@yes.bank.in, parveen.kumar16@yes.bank.in</t>
  </si>
  <si>
    <t>shyam.parkash@yes.bank.in, kuldeep.rathore1@yes.bank.in</t>
  </si>
  <si>
    <t>shyam.parkash@yes.bank.in, lokeshkumar.sharma@yes.bank.in</t>
  </si>
  <si>
    <t>shyam.parkash@yes.bank.in, kushpal.singh@yes.bank.in, lokeshkumar.sharma@yes.bank.in</t>
  </si>
  <si>
    <t>manpreet.singh29@yes.bank.in, rittin.arya@yes.bank.in, vivek.shukla4@yes.bank.in</t>
  </si>
  <si>
    <t>dinesh.kumar44@yes.bank.in</t>
  </si>
  <si>
    <t>kuldeep.rathore1@yes.bank.in, vivek.shukla4@yes.bank.in</t>
  </si>
  <si>
    <t>punit.sharma1@yes.bank.in, gopal.khatri@yes.bank.in</t>
  </si>
  <si>
    <t>dipak.dhandhukiya@yes.bank.in, abhinav.lal2@yes.bank.in</t>
  </si>
  <si>
    <t>nitesh.madhavi@yes.bank.in</t>
  </si>
  <si>
    <t>shyam.parkash@yes.bank.in, kishore.singh2@yes.bank.in</t>
  </si>
  <si>
    <t>vivek.shukla4@yes.bank.in, amit.pandey12@yes.bank.in, sushim.kumar@yes.bank.in, shyam.parkash@yes.bank.in</t>
  </si>
  <si>
    <t>sameer.dhar@yes.bank.in, abhinav.lal2@yes.bank.in, sanjeev.kumar30@yes.bank.in</t>
  </si>
  <si>
    <t>shyam.parkash@yes.bank.in, amit.pandey12@yes.bank.in, sourabh.parihar@yes.bank.in, vivek.shukla4@yes.bank.in</t>
  </si>
  <si>
    <t>sameer.dhar@yes.bank.in, sanjeev.kumar30@yes.bank.in, abhinav.lal2@yes.bank.in, SAGAR.CHOUDHARI@yes.bank.in</t>
  </si>
  <si>
    <t>abhinav.lal2@yes.bank.in, amit.pandey12@yes.bank.in, vivek.shukla4@yes.bank.in</t>
  </si>
  <si>
    <t>abhinav.lal2@yes.bank.in, sameer.dhar@yes.bank.in, sanjeev.kumar30@yes.bank.in</t>
  </si>
  <si>
    <t>prashant.singh7@yes.bank.in</t>
  </si>
  <si>
    <t>rittin.arya@yes.bank.in, shyam.parkash@yes.bank.in</t>
  </si>
  <si>
    <t>sanjeev.kumar30@yes.bank.in, abhinav.lal2@yes.bank.in</t>
  </si>
  <si>
    <t>kushpal.singh@yes.bank.in, sourabh.parihar@yes.bank.in, rittin.arya@yes.bank.in</t>
  </si>
  <si>
    <t>sameer.dhar@yes.bank.in, dipak.dhandhukiya@yes.bank.in</t>
  </si>
  <si>
    <t>sushim.kumar@yes.bank.in, rittin.arya@yes.bank.in, manpreet.singh35@yes.bank.in, manpreet.singh29@yes.bank.in</t>
  </si>
  <si>
    <t>manpreet.singh35@yes.bank.in, narinder.singh3@yes.bank.in, shyam.parkash@yes.bank.in, vivek.shukla4@yes.bank.in, manpreet.singh29@yes.bank.in, sushim.kumar@yes.bank.in</t>
  </si>
  <si>
    <t>manpreet.singh29@yes.bank.in, rittin.arya@yes.bank.in, narinder.singh3@yes.bank.in, shyam.parkash@yes.bank.in, vivek.shukla4@yes.bank.in, sushim.kumar@yes.bank.in</t>
  </si>
  <si>
    <t>sameer.dhar@yes.bank.in, sanjeev.kumar30@yes.bank.in</t>
  </si>
  <si>
    <t>sourabh.parihar@yes.bank.in</t>
  </si>
  <si>
    <t>shyam.parkash@yes.bank.in, vivek.shukla4@yes.bank.in</t>
  </si>
  <si>
    <t>vivek.shukla4@yes.bank.in, shyam.parkash@yes.bank.in, rittin.arya@yes.bank.in, prashant.singh7@yes.bank.in, sachin.chauhan3@yes.bank.in</t>
  </si>
  <si>
    <t>amit.pandey12@yes.bank.in</t>
  </si>
  <si>
    <t>vivek.shukla4@yes.bank.in, prashant.singh7@yes.bank.in</t>
  </si>
  <si>
    <t>rittin.arya@yes.bank.in, vivek.shukla4@yes.bank.in, punit.sharma1@yes.bank.in</t>
  </si>
  <si>
    <t>anilkumar.nandal@yes.bank.in, rittin.arya@yes.bank.in</t>
  </si>
  <si>
    <t>arindam.sarkar2@yes.bank.in, joy.saha@yes.bank.in, sachin.bharti@yes.bank.in</t>
  </si>
  <si>
    <t>joy.saha@yes.bank.in, imran.elahi@yes.bank.in, arindam.sarkar2@yes.bank.in, priyanka.mondal@yes.bank.in</t>
  </si>
  <si>
    <t>imran.elahi@yes.bank.in, sudip.manna@yes.bank.in, deepak.singh39@yes.bank.in</t>
  </si>
  <si>
    <t>imran.elahi@yes.bank.in</t>
  </si>
  <si>
    <t>joy.saha@yes.bank.in, tarkeshwar.singh@yes.bank.in</t>
  </si>
  <si>
    <t>priyanka.mondal@yes.bank.in, arindam.sarkar2@yes.bank.in, amit.singh69@yes.bank.in, suryakanta.jena1@yes.bank.in</t>
  </si>
  <si>
    <t>arindam.sarkar2@yes.bank.in, joy.saha@yes.bank.in</t>
  </si>
  <si>
    <t>Jana.Ujjal@mahindra.com</t>
  </si>
  <si>
    <t>saikia.manash@mahindra.com</t>
  </si>
  <si>
    <t>singh.kundan3@mahindra.com</t>
  </si>
  <si>
    <t>YADAV.SAHIL@mahindra.com</t>
  </si>
  <si>
    <t>kumar.navneet3@mahindra.com</t>
  </si>
  <si>
    <t>THAKUR.MAYANK@mahindra.com</t>
  </si>
  <si>
    <t>priyank.c@samil.in</t>
  </si>
  <si>
    <t>hightech_Parking@yahoo.com</t>
  </si>
  <si>
    <t>SINGH.MOHIT4@mahindra.com</t>
  </si>
  <si>
    <t>SHARMA.ANKUR4@mahindra.com</t>
  </si>
  <si>
    <t>DATTA.MAHIR@mahindra.com</t>
  </si>
  <si>
    <t>SUNNY@mahindra.com</t>
  </si>
  <si>
    <t>ajay.kumar@samil.in</t>
  </si>
  <si>
    <t>SINGH.DEVINDER@mahindra.com</t>
  </si>
  <si>
    <t>sinha.rishabh3@mahindra.com</t>
  </si>
  <si>
    <t>yadavrajkishore10@gmail.com</t>
  </si>
  <si>
    <t>DEEPAK.RP@SAMIL.IN</t>
  </si>
  <si>
    <t>MISHRA.NISHIKANTA@mahindra.com</t>
  </si>
  <si>
    <t>mishra.pankajkumar@mahindra.com</t>
  </si>
  <si>
    <t>dashmeshparkingyard01@gmail.com</t>
  </si>
  <si>
    <t>darshenterprises56@gmail.com</t>
  </si>
  <si>
    <t>JAIN.NIRMAL2@mahindra.com</t>
  </si>
  <si>
    <t>SINGH.LOKESH@mahindra.com</t>
  </si>
  <si>
    <t>SINGH.HIMMAT1@mahindra.com</t>
  </si>
  <si>
    <t>vishal.mathur@samil.in</t>
  </si>
  <si>
    <t>r.p.gurjar2012@gmail.com</t>
  </si>
  <si>
    <t>yard.India@gmail.com</t>
  </si>
  <si>
    <t>vishalparakh079@yahoo.com</t>
  </si>
  <si>
    <t>singh.himmat1@mahindra.com</t>
  </si>
  <si>
    <t>SINGH.RAKESH21@mahindra.com</t>
  </si>
  <si>
    <t>Tiwari.Ankit1@mahindra.com</t>
  </si>
  <si>
    <t>NIRMAL.AMAN@mahindra.com</t>
  </si>
  <si>
    <t>KUMAR.PRAMOD4@mahindra.com</t>
  </si>
  <si>
    <t>SHANKAR.RAVI7@mahindra.com</t>
  </si>
  <si>
    <t>bbfarm_gzb@yahoo.co.in</t>
  </si>
  <si>
    <t>jitu.madaan@gmail.com</t>
  </si>
  <si>
    <t>sett.suvrojit@mahindra.com</t>
  </si>
  <si>
    <t>majumder.biplab@mahindra.com</t>
  </si>
  <si>
    <t>dankuniautopark@gmail.com</t>
  </si>
  <si>
    <t>jkparking722@gmail.com</t>
  </si>
  <si>
    <t>Manoj.Gupta@shrishivassociates.com</t>
  </si>
  <si>
    <t>Yesbankagpo@Gmail.Com</t>
  </si>
  <si>
    <t>Kkassociate2002@Gmail.com</t>
  </si>
  <si>
    <t>Y.backend@krishnaaassociates.in</t>
  </si>
  <si>
    <t>msauto@mser.co.in, msautorecovery@mser.co.in, mscv@mser.co.in</t>
  </si>
  <si>
    <t>sigma.associate01@gmail.com</t>
  </si>
  <si>
    <t>VAISHNAVIREPOAGENCY@GMAIL.COM</t>
  </si>
  <si>
    <t>choudharyassociates73@gmail.com,choudharyassociates2021@gmail.com</t>
  </si>
  <si>
    <t>tomarautorecovery@gmail.com</t>
  </si>
  <si>
    <t xml:space="preserve">TO - </t>
  </si>
  <si>
    <t xml:space="preserve">CC - </t>
  </si>
  <si>
    <t>northeast@abaguwahati.co.in</t>
  </si>
  <si>
    <t>gurseerat.yesbank@gmail.com</t>
  </si>
  <si>
    <t>uttaran.ne0325@gmail.com</t>
  </si>
  <si>
    <t>collections5@aimcorporte.co</t>
  </si>
  <si>
    <t>aa.y@anuragagency.com</t>
  </si>
  <si>
    <t>infinityservicesrpr2021@infinityfirst.onmicrosoft.com</t>
  </si>
  <si>
    <t>ambitiousenterprises2@gmail.com</t>
  </si>
  <si>
    <t>anilsharma@delta-services.in</t>
  </si>
  <si>
    <t>collection.gdm@outlook.com</t>
  </si>
  <si>
    <t>Agency maintained from Allahabad Office</t>
  </si>
  <si>
    <t>Paradigm9inc@gamil.com</t>
  </si>
  <si>
    <t>collection3@reliconnect.co.in</t>
  </si>
  <si>
    <t>Rohanenterprises793@gmail.com</t>
  </si>
  <si>
    <t>Collections.sma@shreemahadevi.com</t>
  </si>
  <si>
    <t>Uia.info@uniqueindiassociates.com</t>
  </si>
  <si>
    <t>backsupport@wavesenterprises.in</t>
  </si>
  <si>
    <t>info@anshenterprise.co</t>
  </si>
  <si>
    <t>collection@fairadvisory.net.in</t>
  </si>
  <si>
    <t>Kalyaniassociates.jsr20@gmail.com</t>
  </si>
  <si>
    <t>Saienterprises@yb.saient.org</t>
  </si>
  <si>
    <t>dsy.rnc@gmail.com</t>
  </si>
  <si>
    <t>ysethi@aimsanjay .com</t>
  </si>
  <si>
    <t>marichinfinserv@gmail.com</t>
  </si>
  <si>
    <t>excel2019@excelagencies.com</t>
  </si>
  <si>
    <t>goodluck65d@gmail.com</t>
  </si>
  <si>
    <t>shriganeshenterprises.sam@gmail.com</t>
  </si>
  <si>
    <t>yenterprises347@gmail.com</t>
  </si>
  <si>
    <t>arassociate0786@gmail.com</t>
  </si>
  <si>
    <t>yb@resolutionachievers.com</t>
  </si>
  <si>
    <t>desk@saviiour.com</t>
  </si>
  <si>
    <t>Shivjotentp108@gmail.com</t>
  </si>
  <si>
    <t>official@mbaebikaner.co.in</t>
  </si>
  <si>
    <t>bankbridgesolution@gmail.com</t>
  </si>
  <si>
    <t>info.yb@nationalconsultants.co.in</t>
  </si>
  <si>
    <t>shrutidoru@rkconsultants.co.in</t>
  </si>
  <si>
    <t>rathoreassociates01@gmail.com</t>
  </si>
  <si>
    <t>raj.swastik75@Gmail.Com</t>
  </si>
  <si>
    <t>yashrajjodcollection@Gmail.Com</t>
  </si>
  <si>
    <t>yesbankagpo@gmail.com</t>
  </si>
  <si>
    <t xml:space="preserve"> baiswara@baiswaragroup.com</t>
  </si>
  <si>
    <t>mbsloffice@gmail.com ,Mbslcoll2@gmail.com</t>
  </si>
  <si>
    <t>evergreen.solution@rediffmail.com,anand.pandey@evergreensolution.org.in</t>
  </si>
  <si>
    <t>Collection.ybkol@easyway.in.net</t>
  </si>
  <si>
    <t>Kalyani.ybmore@gmail.com</t>
  </si>
  <si>
    <t>sunshine@sunshinecredit.co.in</t>
  </si>
  <si>
    <t>avijit.mallik@wayoutsolutions.in</t>
  </si>
  <si>
    <t>collection2@globalmanagement.ind.in</t>
  </si>
  <si>
    <t>raj@rajmanagement.net.in</t>
  </si>
  <si>
    <t>delhiby@thegurmanindustries.com</t>
  </si>
  <si>
    <t>kpcmservicesyes@gmail.com</t>
  </si>
  <si>
    <t>oxfordmanagement2011@oxford.co.in</t>
  </si>
  <si>
    <t>recon.accurateinvestigations.in</t>
  </si>
  <si>
    <t>amb846@jaiambeyassociates.com</t>
  </si>
  <si>
    <t>singhassetrecon2025@websar.com</t>
  </si>
  <si>
    <t>joginder.sfc@gmail.com</t>
  </si>
  <si>
    <t>kuberyb@kuberconsultants.com</t>
  </si>
  <si>
    <t>collectionservices@sanjeevmahajannassociates.com</t>
  </si>
  <si>
    <t>bestservices.ypl@regalsolutions.in</t>
  </si>
  <si>
    <t>suryavanshi.associates07@outlook.com</t>
  </si>
  <si>
    <t>swarnikaoffice1@gmail.com</t>
  </si>
  <si>
    <t>jsrconsultanty@gmail.com</t>
  </si>
  <si>
    <t>mcc.yes@rediffmail.com</t>
  </si>
  <si>
    <t>debtreco@crsolutions.co.in</t>
  </si>
  <si>
    <t>yespl@fusionfinancier.in</t>
  </si>
  <si>
    <t>sr@collectionkolkata@gmail.com</t>
  </si>
  <si>
    <t>sanjeev@sabherwal.com,ssab@sabherwal.com</t>
  </si>
  <si>
    <t>operation.yb.retail@esolvegroup.com</t>
  </si>
  <si>
    <t>collectionsyb@posmov.com</t>
  </si>
  <si>
    <t xml:space="preserve"> y.bank@goldenhawk.co.in</t>
  </si>
  <si>
    <t>bukhari@tigerbrothers.com</t>
  </si>
  <si>
    <t>aba.guwahati002@gmail.com, northeast@abaguwahati.Co.in,northeast@abaguwahati.co.in</t>
  </si>
  <si>
    <t>Gurseerat.yesbank@gmail.com,gurseerat.yesbank@gmail.com</t>
  </si>
  <si>
    <t>uttaran7@yahoo.in,uttaran.ne0325@gmail.com</t>
  </si>
  <si>
    <t>collections5@aimcorporate.co,collections5@aimcorporte.co</t>
  </si>
  <si>
    <t>ANURAGRATHI1010@GMAIL.COM ; aa.y@anuragagency.com,aa.y@anuragagency.com</t>
  </si>
  <si>
    <t>infinityservices@infiserve.com,infinityservicesrpr2021@infinityfirst.onmicrosoft.com</t>
  </si>
  <si>
    <t>ambitiousenterprises5@gmail.com,ambitiousenterprises2@gmail.com,ambitiousenterprises2@gmail.com</t>
  </si>
  <si>
    <t>himanshudeltaservices@gmail.com   ;   anilsharmaojas1@gmail.com,anilsharma@delta-services.in</t>
  </si>
  <si>
    <t>earth4@earthservices.in,earth4@earthservices.in</t>
  </si>
  <si>
    <t>goodwill_naresh@outlook.com ; gdmdebtmanagement@outlook.com,collection.gdm@outlook.com</t>
  </si>
  <si>
    <t>Manav@managementser.com; hr@mser.co.in,msauto@mser.co.in, msautorecovery@mser.co.in, mscv@mser.co.in</t>
  </si>
  <si>
    <t>PARADIGM9INC@GMAIL.COM; SHORI.S@GMAIL.COM; Paradigm.yesbank@gmail.com,Paradigm9inc@gamil.com</t>
  </si>
  <si>
    <t>manish@reliconnect.com;collection3@reliconnect.co.in,collection3@reliconnect.co.in</t>
  </si>
  <si>
    <t>rohanenterprises14@gmail.com; collection@rohanenterprises.co.in,Rohanenterprises793@gmail.com</t>
  </si>
  <si>
    <t>collections.sma@shreemahadevi.com,Collections.sma@shreemahadevi.com</t>
  </si>
  <si>
    <t>uniqueindia1994@gmail.com,Uia.info@uniqueindiassociates.com</t>
  </si>
  <si>
    <t>waves.enterprises0@gmail.com,backsupport@wavesenterprises.in</t>
  </si>
  <si>
    <t>contact@rkassociatesmbd.com,contact@rkassociatesmbd.com</t>
  </si>
  <si>
    <t>info@anshenterprise.co.in,info@anshenterprise.co</t>
  </si>
  <si>
    <t>trishaktiservices@gmail.com,trishaktiservices@gmail.com</t>
  </si>
  <si>
    <t>TOMARAUTORECOVERY@GMAIL.COM,tomarautorecovery@gmail.com</t>
  </si>
  <si>
    <t>fairadvisory.jsr@gmail.com;  collection@fairadvisory.net.in,collection@fairadvisory.net.in</t>
  </si>
  <si>
    <t>kalyaniassociates.jsr@gmail.com ; shubhankar.kalyaniassociates@gmail.com; kalyani.billing@gmail.com; kalyani.ybwoff@gmail.com; kalyaniassociates.jsr20@gmail.com; kalyani.ybmore@gmail.com; ,Kalyaniassociates.jsr20@gmail.com</t>
  </si>
  <si>
    <t>saienterprisesyb@saient.co.in ,Saienterprises@yb.saient.org</t>
  </si>
  <si>
    <t>definatesolutions.rnc@gmail.com ;  dsy.rnc@gmail.com,dsy.rnc@gmail.com</t>
  </si>
  <si>
    <t>ramawatassociates22@gmail.com,ramawatassociates22@gmail.com</t>
  </si>
  <si>
    <t>ysethi@aimsanjay.com,ysethi@aimsanjay .com</t>
  </si>
  <si>
    <t>info@sunassociates2121.com,info@sunassociates2121.com</t>
  </si>
  <si>
    <t>rinaranimohanty1@gmail.com,rinaranimohanty1@gmail.com</t>
  </si>
  <si>
    <t>marchin.mfspl@yahoo.com ; marichinfinserv@gmail.com,marichinfinserv@gmail.com</t>
  </si>
  <si>
    <t>GOODLUCK65D@GMAIL.COM,goodluck65d@gmail.com</t>
  </si>
  <si>
    <t>collection_76@sakshamenforce.com,collection_76@sakshamenforce.com</t>
  </si>
  <si>
    <t>shriganeshenterprises.sam@gmail.com; Sge@shriganeshenterprisesyes.ind.in,shriganeshenterprises.sam@gmail.com</t>
  </si>
  <si>
    <t>y.enterprises2009@gmail.com;yenterprises.yesbank@gmail.com,yenterprises347@gmail.com</t>
  </si>
  <si>
    <t>ARassociate0786@gmail.com,arassociate0786@gmail.com</t>
  </si>
  <si>
    <t>ib@resolutionachievers.com,yb@resolutionachievers.com</t>
  </si>
  <si>
    <t>Infoyes@sainiassociates.co.in,Infoyes@sainiassociates.co.in</t>
  </si>
  <si>
    <t>info@saviiour.com; desk@saviiour.com,desk@saviiour.com</t>
  </si>
  <si>
    <t>shivjotentp108@gmail.com,Shivjotentp108@gmail.com</t>
  </si>
  <si>
    <t>dsassociates2016@gmail.com,dsassociates2016@gmail.com</t>
  </si>
  <si>
    <t>maabhawaniautoenterprises@gmail.com,official@mbaebikaner.co.in</t>
  </si>
  <si>
    <t>Bankbridgesolution@gmail.com,bankbridgesolution@gmail.com</t>
  </si>
  <si>
    <t>national.ks@gmail.com ; info.yb@nationalconsultants.co.in ; Nationalconsultants749@gmail.com,info.yb@nationalconsultants.co.in</t>
  </si>
  <si>
    <t>anilsharma1450@gmail.com,shrutidoru@rkconsultants.co.in</t>
  </si>
  <si>
    <t>Sanvifinancial@gmail.com,Sanvifinancial@gmail.com</t>
  </si>
  <si>
    <t>ssahdfc74@gmail.com,ssahdfc74@gmail.com</t>
  </si>
  <si>
    <t>ramassociates79@gmail.com,ramassociates79@gmail.com</t>
  </si>
  <si>
    <t>rathoreassociates05@gmail.com;rathoreassociates01@gmail.com,rathoreassociates01@gmail.com</t>
  </si>
  <si>
    <t>Raj.Swastik75@Gmail.Com,raj.swastik75@Gmail.Com</t>
  </si>
  <si>
    <t>Yashrajjodcollection@Gmail.Com,yashrajjodcollection@Gmail.Com</t>
  </si>
  <si>
    <t>YESBANKAGPO@GMAIL.COM,yesbankagpo@gmail.com</t>
  </si>
  <si>
    <t>dubey_awadhesh@rediffmail.com,dubey_awadhesh@rediffmail.com</t>
  </si>
  <si>
    <t>baiswaraassociates_2009@rediffmail.com; baiswara@baiswaragroup.com, baiswara@baiswaragroup.com</t>
  </si>
  <si>
    <t>YESBANKAGPO@GMAIL.COM,Yesbankagpo@Gmail.Com</t>
  </si>
  <si>
    <t>KKVERMA2008@GMAIL.COM; kkassociate2002@gmail.com,Kkassociate2002@Gmail.com</t>
  </si>
  <si>
    <t>krishnaverma156@gmail.com  ; y.backend@krishnaaassociates.in,Y.backend@krishnaaassociates.in</t>
  </si>
  <si>
    <t>awadh.rishk@gmail.com,awadh.rishk@gmail.com</t>
  </si>
  <si>
    <t>backoffice@totalsolutionsmail.com; sbansal@totalsolutionsmail.com,backoffice@totalsolutionsmail.com; sbansal@totalsolutionsmail.com</t>
  </si>
  <si>
    <t>vhmanagementservices8913@gmail.com,vhmanagementservices8913@gmail.com</t>
  </si>
  <si>
    <t>rk.hdagra@gmail.com,rk.hdagra@gmail.com,rk.hdagra@gmail.com</t>
  </si>
  <si>
    <t>mbsloffice@gmail.com ; Mbslcoll2@gmail.com,mbsloffice@gmail.com ,Mbslcoll2@gmail.com</t>
  </si>
  <si>
    <t>evergreen.solution@rediffmail.com; anand.pandey@evergreensolution.org.in,evergreen.solution@rediffmail.com,anand.pandey@evergreensolution.org.in</t>
  </si>
  <si>
    <t>pashupatichicky76@gmail.com,pashupatichicky76@gmail.com</t>
  </si>
  <si>
    <t>GLS.YESBANK@GOLDLINE.NET.IN ; gls.help@goldline.net.in,GLS.OWNERS@GOLDLINE.NET.IN</t>
  </si>
  <si>
    <t>swadesh.dgp@gmail.com,zenith.ybc@gmail.com</t>
  </si>
  <si>
    <t>mcs@chandansaha.com,mcs@chandansaha.com</t>
  </si>
  <si>
    <t>easywayneworg@gmail.com; collection.ybkol@easyway.in.net,Collection.ybkol@easyway.in.net</t>
  </si>
  <si>
    <t>jk.associate2024@gmail.com,kol.collection@jkassociate.co.in</t>
  </si>
  <si>
    <t>kalyaniassociates.jsr@gmail.com ; shubhankar.kalyaniassociates@gmail.com; kalyani.billing@gmail.com; kalyani.ybwoff@gmail.com; kalyaniassociates.jsr20@gmail.com; kalyani.ybmore@gmail.com; ,Kalyani.ybmore@gmail.com</t>
  </si>
  <si>
    <t>sunshinecollxn@yahoo.co.in,sunshinecollxn@yahoo.co.in,sunshine@sunshinecredit.co.in</t>
  </si>
  <si>
    <t>Operations@swastikconsultancygroup.in,Operations@swastikconsultancygroup.in</t>
  </si>
  <si>
    <t>collection.ybkol@urenus.in,collection.ybkol@urenus.in</t>
  </si>
  <si>
    <t>info@wayoutsolutions.in; wayout.midnapore@gmail.com,avijit.mallik@wayoutsolutions.in</t>
  </si>
  <si>
    <t>prabhakar.globalmanagement@gmail.com; rishikesh.mishra@globalmanagement.in ; collection2@globalmanagement.ind.in,collection2@globalmanagement.ind.in</t>
  </si>
  <si>
    <t>prabhakar.rajmanagement@gmail.com; prabhakar.mishra0197@gmail.com; rajmanagement06@gmail.com ; raj@rajmanagement.net.in,raj@rajmanagement.net.in</t>
  </si>
  <si>
    <t>gurman.industry.srt@gmail.com ; sukhpreetsinghmalhotra@yahoo.com ; gurmanind@outlook.com,delhiby@thegurmanindustries.com</t>
  </si>
  <si>
    <t>Rahul.arora@kpcmservices.com; kpcmservicesyes@gmail.com,kpcmservicesyes@gmail.com</t>
  </si>
  <si>
    <t>sushant.sharma@oxfords.co.in,oxfordmanagement2011@oxford.co.in</t>
  </si>
  <si>
    <t>dayanand.kaushik1972@gmail.com  ; veenu.1976@gmail.com  ; recon@accurateinvestigations.in,recon.accurateinvestigations.in</t>
  </si>
  <si>
    <t>JAIAMBEASSOCIATE@GMAIL.COM,amb846@jaiambeyassociates.com</t>
  </si>
  <si>
    <t>operations@mfplindia.in,operations@mfplindia.in</t>
  </si>
  <si>
    <t>Singhassetrecon@gmail.com ; Yashpal.singh48910@gmail.com ; Divya.kumari192000@gmail.com; Adeeb.khan0991@gmail.com,singhassetrecon2025@websar.com</t>
  </si>
  <si>
    <t>sss.collection@ssssol.in,sss.collection@ssssol.in</t>
  </si>
  <si>
    <t>Joginder.Sfc@Gmail.Com,joginder.sfc@gmail.com</t>
  </si>
  <si>
    <t>ajaykgupta76@rediffmail.com;jkcs.krish@gmail.com,jkcs.krish@gmail.com</t>
  </si>
  <si>
    <t>udaybhatter@kuberconsultants.com;aman.nagpal@kuberconsultants.com,kuberyb@kuberconsultants.com</t>
  </si>
  <si>
    <t>sanji_31@hotmail.com,collectionservices@sanjeevmahajannassociates.com</t>
  </si>
  <si>
    <t>regal.solutions80@gmail.com; Bestservices.ypl@regalsolutions.co.in,bestservices.ypl@regalsolutions.in</t>
  </si>
  <si>
    <t>Info3@sparkdsmg.com,Info3@sparkdsmg.com</t>
  </si>
  <si>
    <t>SAREPO@REDIFFMAIL.COM,SAREPO@REDIFFMAIL.COM</t>
  </si>
  <si>
    <t>Suryavanshiassociates777@gmail.com ; suryavanshi.associates07@outlook.com,suryavanshi.associates07@outlook.com</t>
  </si>
  <si>
    <t>ishaanassociates2@gmail.com,ishaanassociates2@gmail.com</t>
  </si>
  <si>
    <t>GLOBALAGRA@GMAIL.COM,GLOBALAGRA@GMAIL.COM</t>
  </si>
  <si>
    <t>arun.gupta22041983@gmail.com,arun.gupta22041983@gmail.com</t>
  </si>
  <si>
    <t>swarnikaassociates@gmail.com, swarnikaoffice1@gmai.com,swarnikaoffice1@gmail.com</t>
  </si>
  <si>
    <t>sbssgkp2017@gmail.com,sbssgkp2017@gmail.com</t>
  </si>
  <si>
    <t>Sohanlal@jsrconsultant.com; jsrconsultanty@gmail.com,jsrconsultanty@gmail.com</t>
  </si>
  <si>
    <t>swapnil.companyy@gmail.com,swapnil.companyy@gmail.com</t>
  </si>
  <si>
    <t>Chetan.gupta@shrishivassociates.com ; Manoj.Gupta@shrishivassociates.com,Manoj.Gupta@shrishivassociates.com</t>
  </si>
  <si>
    <t>MCC.YES@REDIFFMAIL.COM;meerutcollectioncenter@rediffmail.com,mcc.yes@rediffmail.com</t>
  </si>
  <si>
    <t>CREDITSOLUTIONKOLKATA@GMAIL.COM ;  debtreco@cesolution.co.in,debtreco@crsolutions.co.in</t>
  </si>
  <si>
    <t>fusion_financier@yahoo.com,yespl@fusionfinancier.in</t>
  </si>
  <si>
    <t>sr@collectionkolkata.in,sr@collectionkolkata@gmail.com</t>
  </si>
  <si>
    <t>sanjeevsabherwal@hotmail.com; sanjeev@sabherwal.com ; ssab@sabherwal.com,sanjeev@sabherwal.com,ssab@sabherwal.com</t>
  </si>
  <si>
    <t>pentagonhouse@gmail.com,pentagonhouse@gmail.com</t>
  </si>
  <si>
    <t>pnservices2@pnservices2.co.in,pnservices2@pnservices2.co.in</t>
  </si>
  <si>
    <t>icare@icsk.co.in,icare@icsk.co.in</t>
  </si>
  <si>
    <t>fkassociate@yahoo.co.in; farid.khan.vendor@yesbank.in,fkassociate788@gmail.com</t>
  </si>
  <si>
    <t>cbgroupjaipur01@gmail.com,cbgroupjaipur01@gmail.com</t>
  </si>
  <si>
    <t>rawla.associates@gmail.com,rawla.associates02@gmail.com</t>
  </si>
  <si>
    <t>collections.yesbank@e-solvesolutions.com,operation.yb.retail@esolvegroup.com</t>
  </si>
  <si>
    <t>posmovyb@gmail.com ; for operational work;mal.sudhir@gmail.com ; for billing; payout;escalations;etc,collectionsyb@posmov.com,collectionsyb@posmov.com</t>
  </si>
  <si>
    <t>rsrepossessionagency88@gmail.com,rsrepossessionagency88@gmail.com</t>
  </si>
  <si>
    <t>ajay.singh@goldenhawk.co.in, y.bank@goldenhawk.co.in</t>
  </si>
  <si>
    <t>NA,bukhari@tigerbrothers.com</t>
  </si>
  <si>
    <t>aarya.repo2014@gmail.com,aarya.repo2014@gmail.com</t>
  </si>
  <si>
    <t>singh_repo44@rediffmail.com,singh_repo44@rediffmail.com</t>
  </si>
  <si>
    <t>kumar.navneet3@mahindra.com,yenterprises347@gmail.com</t>
  </si>
  <si>
    <t>SINGH.LOKESH@mahindra.com,desk@saviiour.com</t>
  </si>
  <si>
    <t>Audited Email</t>
  </si>
  <si>
    <t>excelbat@yahoo.co.in; excelyes9@gmail.com;exceljal.yesbank@gmail.com;excel.yesbankchd@gmail.com ; excel.yesbank56@gmail.com; excel2019@excelagencies.com,excel2019@excelagencies.com</t>
  </si>
  <si>
    <t>rittin.arya@yes.bank.in,sumit.narang@yes.bank.in</t>
  </si>
  <si>
    <t>arindam.sarkar2@yes.bank.in</t>
  </si>
  <si>
    <t>lokesh.kumar8@yes.bank.in</t>
  </si>
  <si>
    <t>sandeep.tyagi@yes.bank.in</t>
  </si>
  <si>
    <t>aman.kesharwani@yes.bank.in, prashant.singh7@yes.bank.in</t>
  </si>
  <si>
    <t>Audited for Collection Only, all activity of repossession are followed from Agra,Lucknow</t>
  </si>
  <si>
    <t>Audited for Collection Only, as no activity of repossession are done for the audit quarter</t>
  </si>
  <si>
    <t>Audited for Collection Only, as no activity of repossession are done from Kanpur branch</t>
  </si>
  <si>
    <t>Audited for Collection Only, as no activity of repossession are done from Kolkata branch</t>
  </si>
  <si>
    <t>Audited for Collection Only, as no activity of repossession are done from Lucknow branch</t>
  </si>
  <si>
    <t>Audited for collection and Repossessoin, as agency have repo of assest in the audit quarter</t>
  </si>
  <si>
    <t>bajiyaparkingyard@gmail.com</t>
  </si>
  <si>
    <t>Subject</t>
  </si>
  <si>
    <t>Draft audit report of Ganapati Parking Yard_Stockyard_Goalpara_April '26_ (Audit Period Jan'26 to Mar'26)</t>
  </si>
  <si>
    <t>Mail Body</t>
  </si>
  <si>
    <t>FPR</t>
  </si>
  <si>
    <t>Akash Sharma</t>
  </si>
  <si>
    <t>Please find the attached Draft audit report of Ganapati Parking Yard_Stockyard_Goalpara_April '26_ (Audit Period Jan'26 to Mar'26)</t>
  </si>
  <si>
    <t>Draft audit report of Rudrasagar Parking Yard_Stockyard_Guwahati_April '26_ (Audit Period Jan'26 to Mar'26)</t>
  </si>
  <si>
    <t>Please find the attached Draft audit report of Rudrasagar Parking Yard_Stockyard_Guwahati_April '26_ (Audit Period Jan'26 to Mar'26)</t>
  </si>
  <si>
    <t>Draft audit report of S S Parking Yard - Guwahati_Stockyard_Guwahati_April '26_ (Audit Period Jan'26 to Mar'26)</t>
  </si>
  <si>
    <t>Please find the attached Draft audit report of S S Parking Yard - Guwahati_Stockyard_Guwahati_April '26_ (Audit Period Jan'26 to Mar'26)</t>
  </si>
  <si>
    <t>Draft audit report of Luit Associates_Stockyard_Nagaon_April '26_ (Audit Period Jan'26 to Mar'26)</t>
  </si>
  <si>
    <t>Please find the attached Draft audit report of Luit Associates_Stockyard_Nagaon_April '26_ (Audit Period Jan'26 to Mar'26)</t>
  </si>
  <si>
    <t>Draft audit report of Raju Kumar-Janki Ventures Stock Yard_Stockyard_Bihta_April '26_ (Audit Period Jan'26 to Mar'26)</t>
  </si>
  <si>
    <t>Please find the attached Draft audit report of Raju Kumar-Janki Ventures Stock Yard_Stockyard_Bihta_April '26_ (Audit Period Jan'26 to Mar'26)</t>
  </si>
  <si>
    <t>Draft audit report of Dashmesh Pitta Parking Yard_Stockyard_Chandigarh_April '26_ (Audit Period Jan'26 to Mar'26)</t>
  </si>
  <si>
    <t>Please find the attached Draft audit report of Dashmesh Pitta Parking Yard_Stockyard_Chandigarh_April '26_ (Audit Period Jan'26 to Mar'26)</t>
  </si>
  <si>
    <t>Draft audit report of Radha Rani Parking Yard_Stockyard_Chandigarh_April '26_ (Audit Period Jan'26 to Mar'26)</t>
  </si>
  <si>
    <t>Please find the attached Draft audit report of Radha Rani Parking Yard_Stockyard_Chandigarh_April '26_ (Audit Period Jan'26 to Mar'26)</t>
  </si>
  <si>
    <t>Draft audit report of Sukhpinder Singh_Stockyard_Chandigarh_April '26_ (Audit Period Jan'26 to Mar'26)</t>
  </si>
  <si>
    <t>Please find the attached Draft audit report of Sukhpinder Singh_Stockyard_Chandigarh_April '26_ (Audit Period Jan'26 to Mar'26)</t>
  </si>
  <si>
    <t>Draft audit report of Jain Campus_Stockyard_Bilaspur_April '26_ (Audit Period Jan'26 to Mar'26)</t>
  </si>
  <si>
    <t>Please find the attached Draft audit report of Jain Campus_Stockyard_Bilaspur_April '26_ (Audit Period Jan'26 to Mar'26)</t>
  </si>
  <si>
    <t>Draft audit report of Lanjewar Brother Yard_Stockyard_Bilaspur_April '26_ (Audit Period Jan'26 to Mar'26)</t>
  </si>
  <si>
    <t>Please find the attached Draft audit report of Lanjewar Brother Yard_Stockyard_Bilaspur_April '26_ (Audit Period Jan'26 to Mar'26)</t>
  </si>
  <si>
    <t>Draft audit report of Shriram Automall Raipur_Stockyard_Durg_April '26_ (Audit Period Jan'26 to Mar'26)</t>
  </si>
  <si>
    <t>Please find the attached Draft audit report of Shriram Automall Raipur_Stockyard_Durg_April '26_ (Audit Period Jan'26 to Mar'26)</t>
  </si>
  <si>
    <t>Draft audit report of High Tech Parking_Stockyard_Raipur_April '26_ (Audit Period Jan'26 to Mar'26)</t>
  </si>
  <si>
    <t>Please find the attached Draft audit report of High Tech Parking_Stockyard_Raipur_April '26_ (Audit Period Jan'26 to Mar'26)</t>
  </si>
  <si>
    <t>Draft audit report of Komal Chhatri_Stockyard_Raipur_April '26_ (Audit Period Jan'26 to Mar'26)</t>
  </si>
  <si>
    <t>Please find the attached Draft audit report of Komal Chhatri_Stockyard_Raipur_April '26_ (Audit Period Jan'26 to Mar'26)</t>
  </si>
  <si>
    <t>Draft audit report of Prithvi Parking Yard_Stockyard_Delhi_April '26_ (Audit Period Jan'26 to Mar'26)</t>
  </si>
  <si>
    <t>Please find the attached Draft audit report of Prithvi Parking Yard_Stockyard_Delhi_April '26_ (Audit Period Jan'26 to Mar'26)</t>
  </si>
  <si>
    <t>Draft audit report of Sharma Farm_Stockyard_Delhi_April '26_ (Audit Period Jan'26 to Mar'26)</t>
  </si>
  <si>
    <t>Please find the attached Draft audit report of Sharma Farm_Stockyard_Delhi_April '26_ (Audit Period Jan'26 to Mar'26)</t>
  </si>
  <si>
    <t>Draft audit report of Shree Mahalaxmi Enterprises_Stockyard_Delhi_April '26_ (Audit Period Jan'26 to Mar'26)</t>
  </si>
  <si>
    <t>Please find the attached Draft audit report of Shree Mahalaxmi Enterprises_Stockyard_Delhi_April '26_ (Audit Period Jan'26 to Mar'26)</t>
  </si>
  <si>
    <t>Draft audit report of Sharma Farm-Najafgarh_Stockyard_Delhi_April '26_ (Audit Period Jan'26 to Mar'26)</t>
  </si>
  <si>
    <t>Please find the attached Draft audit report of Sharma Farm-Najafgarh_Stockyard_Delhi_April '26_ (Audit Period Jan'26 to Mar'26)</t>
  </si>
  <si>
    <t>Draft audit report of Gurmukh Dass And Sons Yard_Stockyard_Delhi_April '26_ (Audit Period Jan'26 to Mar'26)</t>
  </si>
  <si>
    <t>Please find the attached Draft audit report of Gurmukh Dass And Sons Yard_Stockyard_Delhi_April '26_ (Audit Period Jan'26 to Mar'26)</t>
  </si>
  <si>
    <t>Draft audit report of S R Yard-Delhi_Stockyard_Delhi_April '26_ (Audit Period Jan'26 to Mar'26)</t>
  </si>
  <si>
    <t>Please find the attached Draft audit report of S R Yard-Delhi_Stockyard_Delhi_April '26_ (Audit Period Jan'26 to Mar'26)</t>
  </si>
  <si>
    <t>Draft audit report of Maharishi Markanda Bank Parking Yard_Stockyard_Ambala_April '26_ (Audit Period Jan'26 to Mar'26)</t>
  </si>
  <si>
    <t>Please find the attached Draft audit report of Maharishi Markanda Bank Parking Yard_Stockyard_Ambala_April '26_ (Audit Period Jan'26 to Mar'26)</t>
  </si>
  <si>
    <t>Draft audit report of S R Yard_Stockyard_Faridabad_April '26_ (Audit Period Jan'26 to Mar'26)</t>
  </si>
  <si>
    <t>Please find the attached Draft audit report of S R Yard_Stockyard_Faridabad_April '26_ (Audit Period Jan'26 to Mar'26)</t>
  </si>
  <si>
    <t>Draft audit report of Baba Group Associate_Stockyard_Jhajjar_April '26_ (Audit Period Jan'26 to Mar'26)</t>
  </si>
  <si>
    <t>Please find the attached Draft audit report of Baba Group Associate_Stockyard_Jhajjar_April '26_ (Audit Period Jan'26 to Mar'26)</t>
  </si>
  <si>
    <t>Draft audit report of Aditya Automobiles Yard_Stockyard_Jind_April '26_ (Audit Period Jan'26 to Mar'26)</t>
  </si>
  <si>
    <t>Please find the attached Draft audit report of Aditya Automobiles Yard_Stockyard_Jind_April '26_ (Audit Period Jan'26 to Mar'26)</t>
  </si>
  <si>
    <t>Draft audit report of Yash Enterprises_Stockyard_Jind_April '26_ (Audit Period Jan'26 to Mar'26)</t>
  </si>
  <si>
    <t>Please find the attached Draft audit report of Yash Enterprises_Stockyard_Jind_April '26_ (Audit Period Jan'26 to Mar'26)</t>
  </si>
  <si>
    <t>Draft audit report of Heyansh Farm House Parking Yard_Stockyard_Karnal_April '26_ (Audit Period Jan'26 to Mar'26)</t>
  </si>
  <si>
    <t>Please find the attached Draft audit report of Heyansh Farm House Parking Yard_Stockyard_Karnal_April '26_ (Audit Period Jan'26 to Mar'26)</t>
  </si>
  <si>
    <t>Draft audit report of Ravinder Lather Parking Yard_Stockyard_Karnal_April '26_ (Audit Period Jan'26 to Mar'26)</t>
  </si>
  <si>
    <t>Please find the attached Draft audit report of Ravinder Lather Parking Yard_Stockyard_Karnal_April '26_ (Audit Period Jan'26 to Mar'26)</t>
  </si>
  <si>
    <t>Draft audit report of Gourav Parking Yard_Stockyard_Sonipat_April '26_ (Audit Period Jan'26 to Mar'26)</t>
  </si>
  <si>
    <t>Please find the attached Draft audit report of Gourav Parking Yard_Stockyard_Sonipat_April '26_ (Audit Period Jan'26 to Mar'26)</t>
  </si>
  <si>
    <t>Draft audit report of Ganesh Sharma_Stockyard_Jammu_April '26_ (Audit Period Jan'26 to Mar'26)</t>
  </si>
  <si>
    <t>Please find the attached Draft audit report of Ganesh Sharma_Stockyard_Jammu_April '26_ (Audit Period Jan'26 to Mar'26)</t>
  </si>
  <si>
    <t>Draft audit report of Rahul Khajuria -Udhampur_Stockyard_Udhampur_April '26_ (Audit Period Jan'26 to Mar'26)</t>
  </si>
  <si>
    <t>Please find the attached Draft audit report of Rahul Khajuria -Udhampur_Stockyard_Udhampur_April '26_ (Audit Period Jan'26 to Mar'26)</t>
  </si>
  <si>
    <t>Draft audit report of Buddha Parking Yard_Stockyard_Dhanbad_April '26_ (Audit Period Jan'26 to Mar'26)</t>
  </si>
  <si>
    <t>Please find the attached Draft audit report of Buddha Parking Yard_Stockyard_Dhanbad_April '26_ (Audit Period Jan'26 to Mar'26)</t>
  </si>
  <si>
    <t>Draft audit report of Janta Garage_Stockyard_Hazaribag_April '26_ (Audit Period Jan'26 to Mar'26)</t>
  </si>
  <si>
    <t>Please find the attached Draft audit report of Janta Garage_Stockyard_Hazaribag_April '26_ (Audit Period Jan'26 to Mar'26)</t>
  </si>
  <si>
    <t>Draft audit report of Ganpati Stock Yard -Jamshedpur_Stockyard_Jamshedpur_April '26_ (Audit Period Jan'26 to Mar'26)</t>
  </si>
  <si>
    <t>Please find the attached Draft audit report of Ganpati Stock Yard -Jamshedpur_Stockyard_Jamshedpur_April '26_ (Audit Period Jan'26 to Mar'26)</t>
  </si>
  <si>
    <t>Draft audit report of Raj Kishore Yadav_Stockyard_Jamshedpur_April '26_ (Audit Period Jan'26 to Mar'26)</t>
  </si>
  <si>
    <t>Please find the attached Draft audit report of Raj Kishore Yadav_Stockyard_Jamshedpur_April '26_ (Audit Period Jan'26 to Mar'26)</t>
  </si>
  <si>
    <t>Draft audit report of Shriram Yard Jamshedpur_Stockyard_Jamshedpur_April '26_ (Audit Period Jan'26 to Mar'26)</t>
  </si>
  <si>
    <t>Please find the attached Draft audit report of Shriram Yard Jamshedpur_Stockyard_Jamshedpur_April '26_ (Audit Period Jan'26 to Mar'26)</t>
  </si>
  <si>
    <t>Draft audit report of Khushi Parking Yard_Stockyard_Latehar_April '26_ (Audit Period Jan'26 to Mar'26)</t>
  </si>
  <si>
    <t>Please find the attached Draft audit report of Khushi Parking Yard_Stockyard_Latehar_April '26_ (Audit Period Jan'26 to Mar'26)</t>
  </si>
  <si>
    <t>Draft audit report of Bharat Garage_Stockyard_Ranchi_April '26_ (Audit Period Jan'26 to Mar'26)</t>
  </si>
  <si>
    <t>Please find the attached Draft audit report of Bharat Garage_Stockyard_Ranchi_April '26_ (Audit Period Jan'26 to Mar'26)</t>
  </si>
  <si>
    <t>Draft audit report of Uttam Motor Agency_Stockyard_Imphal_April '26_ (Audit Period Jan'26 to Mar'26)</t>
  </si>
  <si>
    <t>Please find the attached Draft audit report of Uttam Motor Agency_Stockyard_Imphal_April '26_ (Audit Period Jan'26 to Mar'26)</t>
  </si>
  <si>
    <t>Draft audit report of S.K. Transport_Stockyard_Angul_April '26_ (Audit Period Jan'26 to Mar'26)</t>
  </si>
  <si>
    <t>Please find the attached Draft audit report of S.K. Transport_Stockyard_Angul_April '26_ (Audit Period Jan'26 to Mar'26)</t>
  </si>
  <si>
    <t>Draft audit report of Devraj Stockyard_Stockyard_Balangir_April '26_ (Audit Period Jan'26 to Mar'26)</t>
  </si>
  <si>
    <t>Please find the attached Draft audit report of Devraj Stockyard_Stockyard_Balangir_April '26_ (Audit Period Jan'26 to Mar'26)</t>
  </si>
  <si>
    <t>Draft audit report of Sai Parking - Bhubaneswar_Stockyard_Bhubaneswar_April '26_ (Audit Period Jan'26 to Mar'26)</t>
  </si>
  <si>
    <t>Please find the attached Draft audit report of Sai Parking - Bhubaneswar_Stockyard_Bhubaneswar_April '26_ (Audit Period Jan'26 to Mar'26)</t>
  </si>
  <si>
    <t>Draft audit report of Sai Parking - Cuttack_Stockyard_Cuttack_April '26_ (Audit Period Jan'26 to Mar'26)</t>
  </si>
  <si>
    <t>Please find the attached Draft audit report of Sai Parking - Cuttack_Stockyard_Cuttack_April '26_ (Audit Period Jan'26 to Mar'26)</t>
  </si>
  <si>
    <t>Draft audit report of Sk Stockyard-Cuttack_Stockyard_Cuttack_April '26_ (Audit Period Jan'26 to Mar'26)</t>
  </si>
  <si>
    <t>Please find the attached Draft audit report of Sk Stockyard-Cuttack_Stockyard_Cuttack_April '26_ (Audit Period Jan'26 to Mar'26)</t>
  </si>
  <si>
    <t>Draft audit report of Shree Gajanan Stockyard - Panikoili_Stockyard_Jajpur_April '26_ (Audit Period Jan'26 to Mar'26)</t>
  </si>
  <si>
    <t>Please find the attached Draft audit report of Shree Gajanan Stockyard - Panikoili_Stockyard_Jajpur_April '26_ (Audit Period Jan'26 to Mar'26)</t>
  </si>
  <si>
    <t>Draft audit report of Bhavya Parking Service - Nayagarh_Stockyard_Nayagarh_April '26_ (Audit Period Jan'26 to Mar'26)</t>
  </si>
  <si>
    <t>Please find the attached Draft audit report of Bhavya Parking Service - Nayagarh_Stockyard_Nayagarh_April '26_ (Audit Period Jan'26 to Mar'26)</t>
  </si>
  <si>
    <t>Draft audit report of Bhagawati Agency Stockyard_Stockyard_Rourkela_April '26_ (Audit Period Jan'26 to Mar'26)</t>
  </si>
  <si>
    <t>Please find the attached Draft audit report of Bhagawati Agency Stockyard_Stockyard_Rourkela_April '26_ (Audit Period Jan'26 to Mar'26)</t>
  </si>
  <si>
    <t>Draft audit report of Puspa Nath Stock Yard - Sambalpur_Stockyard_Sambalpur_April '26_ (Audit Period Jan'26 to Mar'26)</t>
  </si>
  <si>
    <t>Please find the attached Draft audit report of Puspa Nath Stock Yard - Sambalpur_Stockyard_Sambalpur_April '26_ (Audit Period Jan'26 to Mar'26)</t>
  </si>
  <si>
    <t>Draft audit report of Darsh Enterprises-Amritsar_Stockyard_Amritsar_April '26_ (Audit Period Jan'26 to Mar'26)</t>
  </si>
  <si>
    <t>Please find the attached Draft audit report of Darsh Enterprises-Amritsar_Stockyard_Amritsar_April '26_ (Audit Period Jan'26 to Mar'26)</t>
  </si>
  <si>
    <t>Draft audit report of Dilbagh Singh_Stockyard_Jalandhar_April '26_ (Audit Period Jan'26 to Mar'26)</t>
  </si>
  <si>
    <t>Please find the attached Draft audit report of Dilbagh Singh_Stockyard_Jalandhar_April '26_ (Audit Period Jan'26 to Mar'26)</t>
  </si>
  <si>
    <t>Draft audit report of Dashmesh Associates Parking Yard_Stockyard_Ludhiana_April '26_ (Audit Period Jan'26 to Mar'26)</t>
  </si>
  <si>
    <t>Please find the attached Draft audit report of Dashmesh Associates Parking Yard_Stockyard_Ludhiana_April '26_ (Audit Period Jan'26 to Mar'26)</t>
  </si>
  <si>
    <t>Draft audit report of Waraich Parking Yard - Ludhiana_Stockyard_Ludhiana_April '26_ (Audit Period Jan'26 to Mar'26)</t>
  </si>
  <si>
    <t>Please find the attached Draft audit report of Waraich Parking Yard - Ludhiana_Stockyard_Ludhiana_April '26_ (Audit Period Jan'26 to Mar'26)</t>
  </si>
  <si>
    <t>Draft audit report of Darsh Enterprises_Stockyard_Mohali_April '26_ (Audit Period Jan'26 to Mar'26)</t>
  </si>
  <si>
    <t>Please find the attached Draft audit report of Darsh Enterprises_Stockyard_Mohali_April '26_ (Audit Period Jan'26 to Mar'26)</t>
  </si>
  <si>
    <t>Draft audit report of Zorawar Singh_Stockyard_Mohali_April '26_ (Audit Period Jan'26 to Mar'26)</t>
  </si>
  <si>
    <t>Please find the attached Draft audit report of Zorawar Singh_Stockyard_Mohali_April '26_ (Audit Period Jan'26 to Mar'26)</t>
  </si>
  <si>
    <t>Draft audit report of Ashu Parking Yard - Patiala_Stockyard_Patiala_April '26_ (Audit Period Jan'26 to Mar'26)</t>
  </si>
  <si>
    <t>Please find the attached Draft audit report of Ashu Parking Yard - Patiala_Stockyard_Patiala_April '26_ (Audit Period Jan'26 to Mar'26)</t>
  </si>
  <si>
    <t>Draft audit report of Krishan Singh And Sons_Stockyard_Patiala_April '26_ (Audit Period Jan'26 to Mar'26)</t>
  </si>
  <si>
    <t>Please find the attached Draft audit report of Krishan Singh And Sons_Stockyard_Patiala_April '26_ (Audit Period Jan'26 to Mar'26)</t>
  </si>
  <si>
    <t>Draft audit report of Chauhan Parking Yard_Stockyard_Ajmer_April '26_ (Audit Period Jan'26 to Mar'26)</t>
  </si>
  <si>
    <t>Please find the attached Draft audit report of Chauhan Parking Yard_Stockyard_Ajmer_April '26_ (Audit Period Jan'26 to Mar'26)</t>
  </si>
  <si>
    <t>Draft audit report of Mittal Parking Yard - Ajmer_Stockyard_Ajmer_April '26_ (Audit Period Jan'26 to Mar'26)</t>
  </si>
  <si>
    <t>Please find the attached Draft audit report of Mittal Parking Yard - Ajmer_Stockyard_Ajmer_April '26_ (Audit Period Jan'26 to Mar'26)</t>
  </si>
  <si>
    <t>Draft audit report of Shree Karni Motors-Bijainagar  Ajmer_Stockyard_Ajmer_April '26_ (Audit Period Jan'26 to Mar'26)</t>
  </si>
  <si>
    <t>Please find the attached Draft audit report of Shree Karni Motors-Bijainagar  Ajmer_Stockyard_Ajmer_April '26_ (Audit Period Jan'26 to Mar'26)</t>
  </si>
  <si>
    <t>Draft audit report of Ambey Parking Yard_Stockyard_Alwar_April '26_ (Audit Period Jan'26 to Mar'26)</t>
  </si>
  <si>
    <t>Please find the attached Draft audit report of Ambey Parking Yard_Stockyard_Alwar_April '26_ (Audit Period Jan'26 to Mar'26)</t>
  </si>
  <si>
    <t>Draft audit report of Jarshed Parking Yard_Stockyard_Alwar_April '26_ (Audit Period Jan'26 to Mar'26)</t>
  </si>
  <si>
    <t>Please find the attached Draft audit report of Jarshed Parking Yard_Stockyard_Alwar_April '26_ (Audit Period Jan'26 to Mar'26)</t>
  </si>
  <si>
    <t>Draft audit report of Luhaniwal Industries_Stockyard_Anoopgarh_April '26_ (Audit Period Jan'26 to Mar'26)</t>
  </si>
  <si>
    <t>Please find the attached Draft audit report of Luhaniwal Industries_Stockyard_Anoopgarh_April '26_ (Audit Period Jan'26 to Mar'26)</t>
  </si>
  <si>
    <t>Draft audit report of Gaurdeum Securities_Stockyard_Banswara_April '26_ (Audit Period Jan'26 to Mar'26)</t>
  </si>
  <si>
    <t>Please find the attached Draft audit report of Gaurdeum Securities_Stockyard_Banswara_April '26_ (Audit Period Jan'26 to Mar'26)</t>
  </si>
  <si>
    <t>Draft audit report of Shailendra Sanghvi_Stockyard_Banswara_April '26_ (Audit Period Jan'26 to Mar'26)</t>
  </si>
  <si>
    <t>Please find the attached Draft audit report of Shailendra Sanghvi_Stockyard_Banswara_April '26_ (Audit Period Jan'26 to Mar'26)</t>
  </si>
  <si>
    <t>Draft audit report of Rishabh Traders Parking Yard_Stockyard_Baran_April '26_ (Audit Period Jan'26 to Mar'26)</t>
  </si>
  <si>
    <t>Please find the attached Draft audit report of Rishabh Traders Parking Yard_Stockyard_Baran_April '26_ (Audit Period Jan'26 to Mar'26)</t>
  </si>
  <si>
    <t>Draft audit report of Singh Yards_Stockyard_Bharatpur_April '26_ (Audit Period Jan'26 to Mar'26)</t>
  </si>
  <si>
    <t>Please find the attached Draft audit report of Singh Yards_Stockyard_Bharatpur_April '26_ (Audit Period Jan'26 to Mar'26)</t>
  </si>
  <si>
    <t>Draft audit report of Kanishk Parking Yard_Stockyard_Bhilwara_April '26_ (Audit Period Jan'26 to Mar'26)</t>
  </si>
  <si>
    <t>Please find the attached Draft audit report of Kanishk Parking Yard_Stockyard_Bhilwara_April '26_ (Audit Period Jan'26 to Mar'26)</t>
  </si>
  <si>
    <t>Draft audit report of Shriram Automall Bikaner_Stockyard_Bikaner_April '26_ (Audit Period Jan'26 to Mar'26)</t>
  </si>
  <si>
    <t>Please find the attached Draft audit report of Shriram Automall Bikaner_Stockyard_Bikaner_April '26_ (Audit Period Jan'26 to Mar'26)</t>
  </si>
  <si>
    <t>Draft audit report of Mewad Auto Wheels_Stockyard_Chittorgarh_April '26_ (Audit Period Jan'26 to Mar'26)</t>
  </si>
  <si>
    <t>Please find the attached Draft audit report of Mewad Auto Wheels_Stockyard_Chittorgarh_April '26_ (Audit Period Jan'26 to Mar'26)</t>
  </si>
  <si>
    <t>Draft audit report of Saini Parking Yard-Dausa_Stockyard_Dausa_April '26_ (Audit Period Jan'26 to Mar'26)</t>
  </si>
  <si>
    <t>Please find the attached Draft audit report of Saini Parking Yard-Dausa_Stockyard_Dausa_April '26_ (Audit Period Jan'26 to Mar'26)</t>
  </si>
  <si>
    <t>Draft audit report of Shri Balaji Parking Yard_Stockyard_Dausa_April '26_ (Audit Period Jan'26 to Mar'26)</t>
  </si>
  <si>
    <t>Please find the attached Draft audit report of Shri Balaji Parking Yard_Stockyard_Dausa_April '26_ (Audit Period Jan'26 to Mar'26)</t>
  </si>
  <si>
    <t>Draft audit report of Balaji Yard Center_Stockyard_Hanumangarh_April '26_ (Audit Period Jan'26 to Mar'26)</t>
  </si>
  <si>
    <t>Please find the attached Draft audit report of Balaji Yard Center_Stockyard_Hanumangarh_April '26_ (Audit Period Jan'26 to Mar'26)</t>
  </si>
  <si>
    <t>Draft audit report of Gaadi 18 Services Pvt Ltd_Stockyard_Jaipur_April '26_ (Audit Period Jan'26 to Mar'26)</t>
  </si>
  <si>
    <t>Please find the attached Draft audit report of Gaadi 18 Services Pvt Ltd_Stockyard_Jaipur_April '26_ (Audit Period Jan'26 to Mar'26)</t>
  </si>
  <si>
    <t>Draft audit report of M/S. Yogendra Pareek &amp; Co._Stockyard_Jaipur_April '26_ (Audit Period Jan'26 to Mar'26)</t>
  </si>
  <si>
    <t>Please find the attached Draft audit report of M/S. Yogendra Pareek &amp; Co._Stockyard_Jaipur_April '26_ (Audit Period Jan'26 to Mar'26)</t>
  </si>
  <si>
    <t>Draft audit report of Ramesh Chandra Ghiya_Stockyard_Jaipur_April '26_ (Audit Period Jan'26 to Mar'26)</t>
  </si>
  <si>
    <t>Please find the attached Draft audit report of Ramesh Chandra Ghiya_Stockyard_Jaipur_April '26_ (Audit Period Jan'26 to Mar'26)</t>
  </si>
  <si>
    <t>Draft audit report of Maruti Stock Yard_Stockyard_Jajpur_April '26_ (Audit Period Jan'26 to Mar'26)</t>
  </si>
  <si>
    <t>Please find the attached Draft audit report of Maruti Stock Yard_Stockyard_Jajpur_April '26_ (Audit Period Jan'26 to Mar'26)</t>
  </si>
  <si>
    <t>Draft audit report of Vashnavi Parking Yard_Stockyard_Jhalawar_April '26_ (Audit Period Jan'26 to Mar'26)</t>
  </si>
  <si>
    <t>Please find the attached Draft audit report of Vashnavi Parking Yard_Stockyard_Jhalawar_April '26_ (Audit Period Jan'26 to Mar'26)</t>
  </si>
  <si>
    <t>Draft audit report of Bhati Stock Yard-Jodhpur_Stockyard_Jodhpur_April '26_ (Audit Period Jan'26 to Mar'26)</t>
  </si>
  <si>
    <t>Please find the attached Draft audit report of Bhati Stock Yard-Jodhpur_Stockyard_Jodhpur_April '26_ (Audit Period Jan'26 to Mar'26)</t>
  </si>
  <si>
    <t>Draft audit report of Vishal Parakh Parking Yard_Stockyard_Jodhpur_April '26_ (Audit Period Jan'26 to Mar'26)</t>
  </si>
  <si>
    <t>Please find the attached Draft audit report of Vishal Parakh Parking Yard_Stockyard_Jodhpur_April '26_ (Audit Period Jan'26 to Mar'26)</t>
  </si>
  <si>
    <t>Draft audit report of Jai Goril Baba Parking Yard Karuli_Stockyard_Karauli_April '26_ (Audit Period Jan'26 to Mar'26)</t>
  </si>
  <si>
    <t>Please find the attached Draft audit report of Jai Goril Baba Parking Yard Karuli_Stockyard_Karauli_April '26_ (Audit Period Jan'26 to Mar'26)</t>
  </si>
  <si>
    <t>Draft audit report of Jai Mata Di Associates Yard_Stockyard_Kota_April '26_ (Audit Period Jan'26 to Mar'26)</t>
  </si>
  <si>
    <t>Please find the attached Draft audit report of Jai Mata Di Associates Yard_Stockyard_Kota_April '26_ (Audit Period Jan'26 to Mar'26)</t>
  </si>
  <si>
    <t>Draft audit report of Plasto Profile Yard - Kota_Stockyard_Kota_April '26_ (Audit Period Jan'26 to Mar'26)</t>
  </si>
  <si>
    <t>Please find the attached Draft audit report of Plasto Profile Yard - Kota_Stockyard_Kota_April '26_ (Audit Period Jan'26 to Mar'26)</t>
  </si>
  <si>
    <t>Draft audit report of Bajiya Parking Yard_Stockyard_Nagaur_April '26_ (Audit Period Jan'26 to Mar'26)</t>
  </si>
  <si>
    <t>Please find the attached Draft audit report of Bajiya Parking Yard_Stockyard_Nagaur_April '26_ (Audit Period Jan'26 to Mar'26)</t>
  </si>
  <si>
    <t>Draft audit report of Shri Balaji Parking Yard-Neem Ka Thana_Stockyard_Neem Ka Thana_April '26_ (Audit Period Jan'26 to Mar'26)</t>
  </si>
  <si>
    <t>Please find the attached Draft audit report of Shri Balaji Parking Yard-Neem Ka Thana_Stockyard_Neem Ka Thana_April '26_ (Audit Period Jan'26 to Mar'26)</t>
  </si>
  <si>
    <t>Draft audit report of Karel Parking Yard_Stockyard_Shahpura_April '26_ (Audit Period Jan'26 to Mar'26)</t>
  </si>
  <si>
    <t>Please find the attached Draft audit report of Karel Parking Yard_Stockyard_Shahpura_April '26_ (Audit Period Jan'26 to Mar'26)</t>
  </si>
  <si>
    <t>Draft audit report of Santra Devi Gora_Stockyard_Sikar_April '26_ (Audit Period Jan'26 to Mar'26)</t>
  </si>
  <si>
    <t>Please find the attached Draft audit report of Santra Devi Gora_Stockyard_Sikar_April '26_ (Audit Period Jan'26 to Mar'26)</t>
  </si>
  <si>
    <t>Draft audit report of Santra Devi Gora Parking Yard_Stockyard_Sikar_April '26_ (Audit Period Jan'26 to Mar'26)</t>
  </si>
  <si>
    <t>Please find the attached Draft audit report of Santra Devi Gora Parking Yard_Stockyard_Sikar_April '26_ (Audit Period Jan'26 to Mar'26)</t>
  </si>
  <si>
    <t>Draft audit report of Pratiksha Parking Yard_Stockyard_Sirohi_April '26_ (Audit Period Jan'26 to Mar'26)</t>
  </si>
  <si>
    <t>Please find the attached Draft audit report of Pratiksha Parking Yard_Stockyard_Sirohi_April '26_ (Audit Period Jan'26 to Mar'26)</t>
  </si>
  <si>
    <t>Draft audit report of Karni Kripa Parking Yard_Stockyard_Udaipur_April '26_ (Audit Period Jan'26 to Mar'26)</t>
  </si>
  <si>
    <t>Please find the attached Draft audit report of Karni Kripa Parking Yard_Stockyard_Udaipur_April '26_ (Audit Period Jan'26 to Mar'26)</t>
  </si>
  <si>
    <t>Draft audit report of Thakur Parking Yard_Stockyard_Agra_April '26_ (Audit Period Jan'26 to Mar'26)</t>
  </si>
  <si>
    <t>Please find the attached Draft audit report of Thakur Parking Yard_Stockyard_Agra_April '26_ (Audit Period Jan'26 to Mar'26)</t>
  </si>
  <si>
    <t>Draft audit report of Tilak Motors_Stockyard_Agra_April '26_ (Audit Period Jan'26 to Mar'26)</t>
  </si>
  <si>
    <t>Please find the attached Draft audit report of Tilak Motors_Stockyard_Agra_April '26_ (Audit Period Jan'26 to Mar'26)</t>
  </si>
  <si>
    <t>Draft audit report of Pushpa Devi Stock Yard_Stockyard_Aligarh_April '26_ (Audit Period Jan'26 to Mar'26)</t>
  </si>
  <si>
    <t>Please find the attached Draft audit report of Pushpa Devi Stock Yard_Stockyard_Aligarh_April '26_ (Audit Period Jan'26 to Mar'26)</t>
  </si>
  <si>
    <t>Draft audit report of Star Garage_Stockyard_Allahabad_April '26_ (Audit Period Jan'26 to Mar'26)</t>
  </si>
  <si>
    <t>Please find the attached Draft audit report of Star Garage_Stockyard_Allahabad_April '26_ (Audit Period Jan'26 to Mar'26)</t>
  </si>
  <si>
    <t>Draft audit report of Dhama Parking  Yard_Stockyard_Baghpat_April '26_ (Audit Period Jan'26 to Mar'26)</t>
  </si>
  <si>
    <t>Please find the attached Draft audit report of Dhama Parking  Yard_Stockyard_Baghpat_April '26_ (Audit Period Jan'26 to Mar'26)</t>
  </si>
  <si>
    <t>Draft audit report of Om Motors - Haidergarh_Stockyard_Barabanki_April '26_ (Audit Period Jan'26 to Mar'26)</t>
  </si>
  <si>
    <t>Please find the attached Draft audit report of Om Motors - Haidergarh_Stockyard_Barabanki_April '26_ (Audit Period Jan'26 to Mar'26)</t>
  </si>
  <si>
    <t>Draft audit report of Badaun Parking Yard_Stockyard_Budaun_April '26_ (Audit Period Jan'26 to Mar'26)</t>
  </si>
  <si>
    <t>Please find the attached Draft audit report of Badaun Parking Yard_Stockyard_Budaun_April '26_ (Audit Period Jan'26 to Mar'26)</t>
  </si>
  <si>
    <t>Draft audit report of Shiv Shakti Parking Yard_Stockyard_Bulandshar_April '26_ (Audit Period Jan'26 to Mar'26)</t>
  </si>
  <si>
    <t>Please find the attached Draft audit report of Shiv Shakti Parking Yard_Stockyard_Bulandshar_April '26_ (Audit Period Jan'26 to Mar'26)</t>
  </si>
  <si>
    <t>Draft audit report of Shri Ji Parking Yard-Bulandshahar_Stockyard_Bulandshar_April '26_ (Audit Period Jan'26 to Mar'26)</t>
  </si>
  <si>
    <t>Please find the attached Draft audit report of Shri Ji Parking Yard-Bulandshahar_Stockyard_Bulandshar_April '26_ (Audit Period Jan'26 to Mar'26)</t>
  </si>
  <si>
    <t>Draft audit report of Ms. Kridha Parking Yard_Stockyard_Etawah_April '26_ (Audit Period Jan'26 to Mar'26)</t>
  </si>
  <si>
    <t>Please find the attached Draft audit report of Ms. Kridha Parking Yard_Stockyard_Etawah_April '26_ (Audit Period Jan'26 to Mar'26)</t>
  </si>
  <si>
    <t>Draft audit report of Pc Parking-Faizabad_Stockyard_Faizabad_April '26_ (Audit Period Jan'26 to Mar'26)</t>
  </si>
  <si>
    <t>Please find the attached Draft audit report of Pc Parking-Faizabad_Stockyard_Faizabad_April '26_ (Audit Period Jan'26 to Mar'26)</t>
  </si>
  <si>
    <t>Draft audit report of Expert Service Parking Yard_Stockyard_Firozabad_April '26_ (Audit Period Jan'26 to Mar'26)</t>
  </si>
  <si>
    <t>Please find the attached Draft audit report of Expert Service Parking Yard_Stockyard_Firozabad_April '26_ (Audit Period Jan'26 to Mar'26)</t>
  </si>
  <si>
    <t>Draft audit report of Bb Farms_Stockyard_Ghaziabad_April '26_ (Audit Period Jan'26 to Mar'26)</t>
  </si>
  <si>
    <t>Please find the attached Draft audit report of Bb Farms_Stockyard_Ghaziabad_April '26_ (Audit Period Jan'26 to Mar'26)</t>
  </si>
  <si>
    <t>Draft audit report of Pragati Logistics Pvt Ltd_Stockyard_Ghaziabad_April '26_ (Audit Period Jan'26 to Mar'26)</t>
  </si>
  <si>
    <t>Please find the attached Draft audit report of Pragati Logistics Pvt Ltd_Stockyard_Ghaziabad_April '26_ (Audit Period Jan'26 to Mar'26)</t>
  </si>
  <si>
    <t>Draft audit report of Shri Shiv Shakti Parking Yard_Stockyard_Ghaziabad_April '26_ (Audit Period Jan'26 to Mar'26)</t>
  </si>
  <si>
    <t>Please find the attached Draft audit report of Shri Shiv Shakti Parking Yard_Stockyard_Ghaziabad_April '26_ (Audit Period Jan'26 to Mar'26)</t>
  </si>
  <si>
    <t>Draft audit report of Tirupati Associates_Stockyard_Ghaziabad_April '26_ (Audit Period Jan'26 to Mar'26)</t>
  </si>
  <si>
    <t>Please find the attached Draft audit report of Tirupati Associates_Stockyard_Ghaziabad_April '26_ (Audit Period Jan'26 to Mar'26)</t>
  </si>
  <si>
    <t>Draft audit report of Gorakhnath Parking Yard_Stockyard_Gorakhpur_April '26_ (Audit Period Jan'26 to Mar'26)</t>
  </si>
  <si>
    <t>Please find the attached Draft audit report of Gorakhnath Parking Yard_Stockyard_Gorakhpur_April '26_ (Audit Period Jan'26 to Mar'26)</t>
  </si>
  <si>
    <t>Draft audit report of Shri Ganpati Auto Mall_Stockyard_Hapur_April '26_ (Audit Period Jan'26 to Mar'26)</t>
  </si>
  <si>
    <t>Please find the attached Draft audit report of Shri Ganpati Auto Mall_Stockyard_Hapur_April '26_ (Audit Period Jan'26 to Mar'26)</t>
  </si>
  <si>
    <t>Draft audit report of Chauhan Security Services_Stockyard_Kanpur_April '26_ (Audit Period Jan'26 to Mar'26)</t>
  </si>
  <si>
    <t>Please find the attached Draft audit report of Chauhan Security Services_Stockyard_Kanpur_April '26_ (Audit Period Jan'26 to Mar'26)</t>
  </si>
  <si>
    <t>Draft audit report of Devika Security Services_Stockyard_Kanpur_April '26_ (Audit Period Jan'26 to Mar'26)</t>
  </si>
  <si>
    <t>Please find the attached Draft audit report of Devika Security Services_Stockyard_Kanpur_April '26_ (Audit Period Jan'26 to Mar'26)</t>
  </si>
  <si>
    <t>Draft audit report of Kanpur Security And Services_Stockyard_Kanpur_April '26_ (Audit Period Jan'26 to Mar'26)</t>
  </si>
  <si>
    <t>Please find the attached Draft audit report of Kanpur Security And Services_Stockyard_Kanpur_April '26_ (Audit Period Jan'26 to Mar'26)</t>
  </si>
  <si>
    <t>Draft audit report of Balaji Associatess_Stockyard_Lucknow_April '26_ (Audit Period Jan'26 to Mar'26)</t>
  </si>
  <si>
    <t>Please find the attached Draft audit report of Balaji Associatess_Stockyard_Lucknow_April '26_ (Audit Period Jan'26 to Mar'26)</t>
  </si>
  <si>
    <t>Draft audit report of Lucky Yard_Stockyard_Lucknow_April '26_ (Audit Period Jan'26 to Mar'26)</t>
  </si>
  <si>
    <t>Please find the attached Draft audit report of Lucky Yard_Stockyard_Lucknow_April '26_ (Audit Period Jan'26 to Mar'26)</t>
  </si>
  <si>
    <t>Draft audit report of V K Motors - Chinhut_Stockyard_Lucknow_April '26_ (Audit Period Jan'26 to Mar'26)</t>
  </si>
  <si>
    <t>Please find the attached Draft audit report of V K Motors - Chinhut_Stockyard_Lucknow_April '26_ (Audit Period Jan'26 to Mar'26)</t>
  </si>
  <si>
    <t>Draft audit report of Dharmesh Motors Yard_Stockyard_Mathura_April '26_ (Audit Period Jan'26 to Mar'26)</t>
  </si>
  <si>
    <t>Please find the attached Draft audit report of Dharmesh Motors Yard_Stockyard_Mathura_April '26_ (Audit Period Jan'26 to Mar'26)</t>
  </si>
  <si>
    <t>Draft audit report of Rajput Trading Company_Stockyard_Mau_April '26_ (Audit Period Jan'26 to Mar'26)</t>
  </si>
  <si>
    <t>Please find the attached Draft audit report of Rajput Trading Company_Stockyard_Mau_April '26_ (Audit Period Jan'26 to Mar'26)</t>
  </si>
  <si>
    <t>Draft audit report of Shri Balaji Parking Yard-Noida_Stockyard_Noida_April '26_ (Audit Period Jan'26 to Mar'26)</t>
  </si>
  <si>
    <t>Please find the attached Draft audit report of Shri Balaji Parking Yard-Noida_Stockyard_Noida_April '26_ (Audit Period Jan'26 to Mar'26)</t>
  </si>
  <si>
    <t>Draft audit report of Balaji Associatess - Raebareli_Stockyard_Raebareli_April '26_ (Audit Period Jan'26 to Mar'26)</t>
  </si>
  <si>
    <t>Please find the attached Draft audit report of Balaji Associatess - Raebareli_Stockyard_Raebareli_April '26_ (Audit Period Jan'26 to Mar'26)</t>
  </si>
  <si>
    <t>Draft audit report of Paras Stockyard_Stockyard_Saharanpur_April '26_ (Audit Period Jan'26 to Mar'26)</t>
  </si>
  <si>
    <t>Please find the attached Draft audit report of Paras Stockyard_Stockyard_Saharanpur_April '26_ (Audit Period Jan'26 to Mar'26)</t>
  </si>
  <si>
    <t>Draft audit report of Balasar Security Service - Kanpur_Stockyard_Unnao_April '26_ (Audit Period Jan'26 to Mar'26)</t>
  </si>
  <si>
    <t>Please find the attached Draft audit report of Balasar Security Service - Kanpur_Stockyard_Unnao_April '26_ (Audit Period Jan'26 to Mar'26)</t>
  </si>
  <si>
    <t>Draft audit report of Pc Parking Yard 2_Stockyard_Varanasi_April '26_ (Audit Period Jan'26 to Mar'26)</t>
  </si>
  <si>
    <t>Please find the attached Draft audit report of Pc Parking Yard 2_Stockyard_Varanasi_April '26_ (Audit Period Jan'26 to Mar'26)</t>
  </si>
  <si>
    <t>Draft audit report of Shri Baba Kal Bhairav Enterprises_Stockyard_Varanasi_April '26_ (Audit Period Jan'26 to Mar'26)</t>
  </si>
  <si>
    <t>Please find the attached Draft audit report of Shri Baba Kal Bhairav Enterprises_Stockyard_Varanasi_April '26_ (Audit Period Jan'26 to Mar'26)</t>
  </si>
  <si>
    <t>Draft audit report of Gangotri Automobile_Stockyard_Haridwar_April '26_ (Audit Period Jan'26 to Mar'26)</t>
  </si>
  <si>
    <t>Please find the attached Draft audit report of Gangotri Automobile_Stockyard_Haridwar_April '26_ (Audit Period Jan'26 to Mar'26)</t>
  </si>
  <si>
    <t>Draft audit report of M K Motors Parking Yard_Stockyard_Kashipur_April '26_ (Audit Period Jan'26 to Mar'26)</t>
  </si>
  <si>
    <t>Please find the attached Draft audit report of M K Motors Parking Yard_Stockyard_Kashipur_April '26_ (Audit Period Jan'26 to Mar'26)</t>
  </si>
  <si>
    <t>Draft audit report of Hm Parking_Stockyard_Bankura_April '26_ (Audit Period Jan'26 to Mar'26)</t>
  </si>
  <si>
    <t>Please find the attached Draft audit report of Hm Parking_Stockyard_Bankura_April '26_ (Audit Period Jan'26 to Mar'26)</t>
  </si>
  <si>
    <t>Draft audit report of A B Parking Centre_Stockyard_Barasat_April '26_ (Audit Period Jan'26 to Mar'26)</t>
  </si>
  <si>
    <t>Please find the attached Draft audit report of A B Parking Centre_Stockyard_Barasat_April '26_ (Audit Period Jan'26 to Mar'26)</t>
  </si>
  <si>
    <t>Draft audit report of Maa Parking -Baruipur_Stockyard_Baruipur_April '26_ (Audit Period Jan'26 to Mar'26)</t>
  </si>
  <si>
    <t>Please find the attached Draft audit report of Maa Parking -Baruipur_Stockyard_Baruipur_April '26_ (Audit Period Jan'26 to Mar'26)</t>
  </si>
  <si>
    <t>Draft audit report of Baba Biswakarma Parking Yard_Stockyard_Contai_April '26_ (Audit Period Jan'26 to Mar'26)</t>
  </si>
  <si>
    <t>Please find the attached Draft audit report of Baba Biswakarma Parking Yard_Stockyard_Contai_April '26_ (Audit Period Jan'26 to Mar'26)</t>
  </si>
  <si>
    <t>Draft audit report of Shree Ganesh_Stockyard_Cooch Behar_April '26_ (Audit Period Jan'26 to Mar'26)</t>
  </si>
  <si>
    <t>Please find the attached Draft audit report of Shree Ganesh_Stockyard_Cooch Behar_April '26_ (Audit Period Jan'26 to Mar'26)</t>
  </si>
  <si>
    <t>Draft audit report of Maa Parking_Stockyard_Dhamua_April '26_ (Audit Period Jan'26 to Mar'26)</t>
  </si>
  <si>
    <t>Please find the attached Draft audit report of Maa Parking_Stockyard_Dhamua_April '26_ (Audit Period Jan'26 to Mar'26)</t>
  </si>
  <si>
    <t>Draft audit report of Dankuni Autopark Zone Pvt Ltd_Stockyard_Hooghly_April '26_ (Audit Period Jan'26 to Mar'26)</t>
  </si>
  <si>
    <t>Please find the attached Draft audit report of Dankuni Autopark Zone Pvt Ltd_Stockyard_Hooghly_April '26_ (Audit Period Jan'26 to Mar'26)</t>
  </si>
  <si>
    <t>Draft audit report of Rm Tanvi Parking_Stockyard_Hooghly_April '26_ (Audit Period Jan'26 to Mar'26)</t>
  </si>
  <si>
    <t>Please find the attached Draft audit report of Rm Tanvi Parking_Stockyard_Hooghly_April '26_ (Audit Period Jan'26 to Mar'26)</t>
  </si>
  <si>
    <t>Draft audit report of Jay Bharat Corporation_Stockyard_Kharagpur_April '26_ (Audit Period Jan'26 to Mar'26)</t>
  </si>
  <si>
    <t>Please find the attached Draft audit report of Jay Bharat Corporation_Stockyard_Kharagpur_April '26_ (Audit Period Jan'26 to Mar'26)</t>
  </si>
  <si>
    <t>Draft audit report of Burimaa Parking Agency_Stockyard_Krishnanagar_April '26_ (Audit Period Jan'26 to Mar'26)</t>
  </si>
  <si>
    <t>Please find the attached Draft audit report of Burimaa Parking Agency_Stockyard_Krishnanagar_April '26_ (Audit Period Jan'26 to Mar'26)</t>
  </si>
  <si>
    <t>Draft audit report of Amit Dhanotia_Stockyard_Siliguri_April '26_ (Audit Period Jan'26 to Mar'26)</t>
  </si>
  <si>
    <t>Please find the attached Draft audit report of Amit Dhanotia_Stockyard_Siliguri_April '26_ (Audit Period Jan'26 to Mar'26)</t>
  </si>
  <si>
    <t>Draft audit report of National Parking_Stockyard_South 24 Pgs_April '26_ (Audit Period Jan'26 to Mar'26)</t>
  </si>
  <si>
    <t>Please find the attached Draft audit report of National Parking_Stockyard_South 24 Pgs_April '26_ (Audit Period Jan'26 to Mar'26)</t>
  </si>
  <si>
    <t>Draft audit report of Jk Parking_Stockyard_Usti_April '26_ (Audit Period Jan'26 to Mar'26)</t>
  </si>
  <si>
    <t>Please find the attached Draft audit report of Jk Parking_Stockyard_Usti_April '26_ (Audit Period Jan'26 to Mar'26)</t>
  </si>
  <si>
    <t>Done</t>
  </si>
  <si>
    <t>Report Count</t>
  </si>
  <si>
    <t>Collection &amp; Repossession</t>
  </si>
  <si>
    <t>File Name</t>
  </si>
  <si>
    <t>102 Ramkrishna Raod,Ashrampara, Pin-734001,Word No-14, Siliguri,West Bengal</t>
  </si>
  <si>
    <t>Khurda</t>
  </si>
  <si>
    <t>Flat No.210,Skyline-3 Sushant Golf City Ansal Api Lucknow Uttar Pradesh-226030</t>
  </si>
  <si>
    <t>A-10 Near Mahavidya Devi Temple, Phase - 2 Mahavidya Colony , Mathura UP 281003</t>
  </si>
  <si>
    <t>Help</t>
  </si>
  <si>
    <t>Aba - Guwahati - Assam</t>
  </si>
  <si>
    <t>Gurseerat Legal Management Service - Guwahati - Assam</t>
  </si>
  <si>
    <t>Namanshee Associates - Guwahati - Assam</t>
  </si>
  <si>
    <t>Uttaran - Guwahati - Assam</t>
  </si>
  <si>
    <t>Aim Corporate - Patna - Bihar</t>
  </si>
  <si>
    <t>Anurag Agency - Raipur - Chhattisgarh</t>
  </si>
  <si>
    <t>Infinity Services - Raipur - Chhattisgarh</t>
  </si>
  <si>
    <t>Ambitious Enterprises - Delhi</t>
  </si>
  <si>
    <t>Delta Services - Delhi</t>
  </si>
  <si>
    <t>Earth Services - Delhi</t>
  </si>
  <si>
    <t>G.D.M. Management Services Pvt Ltd - Delhi - Delhi</t>
  </si>
  <si>
    <t>Global Services - Delhi - Delhi</t>
  </si>
  <si>
    <t>Management Services - Delhi</t>
  </si>
  <si>
    <t>Paradigm Nine Inc - Delhi</t>
  </si>
  <si>
    <t>Rel Connect Llp - Delhi</t>
  </si>
  <si>
    <t>Rohan Enterprises - Delhi</t>
  </si>
  <si>
    <t>Shree Mahadevi Associates - Delhi</t>
  </si>
  <si>
    <t>Unique India Associates - Delhi</t>
  </si>
  <si>
    <t>Waves Enterprises - Delhi</t>
  </si>
  <si>
    <t>Rk Associates - Moradabad - Uttar Pradesh</t>
  </si>
  <si>
    <t>Ansh Enterprises - Agra - Uttar Pradesh</t>
  </si>
  <si>
    <t>Trishakti Services - Delhi</t>
  </si>
  <si>
    <t>Poonia Associates - Hisar - Haryana</t>
  </si>
  <si>
    <t>Tomar Auto Recovery - Pipli - Haryana</t>
  </si>
  <si>
    <t>Fairadvisory Legalservices - Jamshedpur - Jharkhand</t>
  </si>
  <si>
    <t>Kalyani Associate - Jamshedpur - Jharkhand</t>
  </si>
  <si>
    <t>Sai Enterprises - Jamshedpur - Jharkhand</t>
  </si>
  <si>
    <t>Definate Solutions - Ranchi - Jharkhand</t>
  </si>
  <si>
    <t>Ramawat Associates - Jodhpur - Rajasthan</t>
  </si>
  <si>
    <t>Chaudhary Associates - Delhi</t>
  </si>
  <si>
    <t>Aim Associates - Delhi</t>
  </si>
  <si>
    <t>Sun Associates - Delhi</t>
  </si>
  <si>
    <t>B K Associates - Cuttack - Odisha</t>
  </si>
  <si>
    <t>M C Associate - Cuttack - Odisha</t>
  </si>
  <si>
    <t>Marichin Fin Services Pvt Ltd - Bhubaneshwar - Odisha</t>
  </si>
  <si>
    <t>Kalyani Associate - Bhubaneshwar - Odisha</t>
  </si>
  <si>
    <t>Excel Agencies - Amritsar - Punjab</t>
  </si>
  <si>
    <t>Ra Collection Agency - Amritsar - Punjab</t>
  </si>
  <si>
    <t>Citi Enterprises - Chandigarh - Punjab</t>
  </si>
  <si>
    <t>Goodluck Associate - Chandigarh - Punjab</t>
  </si>
  <si>
    <t>Saksham Enterprises - Chandigarh - Punjab</t>
  </si>
  <si>
    <t>Shri Ganesh Enterprises - Chandigarh - Punjab</t>
  </si>
  <si>
    <t>Yash Enterprises - Chandigarh - Punjab</t>
  </si>
  <si>
    <t>Ar Associates - Patiala - Punjab</t>
  </si>
  <si>
    <t>Resolution Achievers - Jalandhar - Punjab</t>
  </si>
  <si>
    <t>Excel Agencies - Ludhiana - Punjab</t>
  </si>
  <si>
    <t>Saini Associates - Ludhiana - Punjab</t>
  </si>
  <si>
    <t>Savviour Agency - Ludhiana - Punjab</t>
  </si>
  <si>
    <t>Shivjot Enterprises - Ludhiana - Punjab</t>
  </si>
  <si>
    <t>Excel Agencies - Mohali - Punjab</t>
  </si>
  <si>
    <t>Harshita Associates - Ajmer - Rajasthan</t>
  </si>
  <si>
    <t>D S Associates - Bikaner - Rajasthan</t>
  </si>
  <si>
    <t>Maa Bhawani Auto Enterprises - Bikaner - Rajasthan</t>
  </si>
  <si>
    <t>Bank Bridge Solution - Jaipur - Rajasthan</t>
  </si>
  <si>
    <t>Mahalaxmi Repo Agencies - Jaipur - Rajasthan</t>
  </si>
  <si>
    <t>Ms Ridhi Sidhi Associates - Jaipur - Rajasthan</t>
  </si>
  <si>
    <t>National Consultants - Jaipur - Rajasthan</t>
  </si>
  <si>
    <t>Rakesh Kumar Sharma &amp; Consultants Pvt Ltd - Jaipur - Rajasthan</t>
  </si>
  <si>
    <t>Sanvi Financial Services - Jaipur - Rajasthan</t>
  </si>
  <si>
    <t>Shri Sai Associates - Jaipur - Rajasthan</t>
  </si>
  <si>
    <t>Ram Associates - Jodhpur - Rajasthan</t>
  </si>
  <si>
    <t>Rathore Associate - Jodhpur - Rajasthan</t>
  </si>
  <si>
    <t>Swastik Associates - Jodhpur - Rajasthan</t>
  </si>
  <si>
    <t>Yashraj Associates - Jodhpur - Rajasthan</t>
  </si>
  <si>
    <t>Govind Singh Gora - Sikar - Rajasthan</t>
  </si>
  <si>
    <t>Shree Krishna Associates - Udaipur - Rajasthan</t>
  </si>
  <si>
    <t>Agpo Management Services Pvt Ltd - Agra - Uttar Pradesh</t>
  </si>
  <si>
    <t>Global Services - Allahabad - Uttar Pradesh</t>
  </si>
  <si>
    <t>Awadhesh Kumar Dubey - Ayodhya - Uttar Pradesh</t>
  </si>
  <si>
    <t>Laado Associates - Gurgoan - Haryana</t>
  </si>
  <si>
    <t>Agpo Management Services Pvt Ltd - Kanpur - Uttar Pradesh</t>
  </si>
  <si>
    <t>Baiswara Associates - Kanpur - Uttar Pradesh</t>
  </si>
  <si>
    <t>Agpo Management Services Pvt Ltd - Lucknow - Uttar Pradesh</t>
  </si>
  <si>
    <t>Kk Associates - Lucknow - Uttar Pradesh</t>
  </si>
  <si>
    <t>Krishna Associates - Lucknow - Uttar Pradesh</t>
  </si>
  <si>
    <t>M/S Awadh Risk Management Services Pvt Ltd - Lucknow - Uttar Pradesh</t>
  </si>
  <si>
    <t>Total Solutions - Lucknow - Uttar Pradesh</t>
  </si>
  <si>
    <t>Vh Management Services - Lucknow - Uttar Pradesh</t>
  </si>
  <si>
    <t>Rakesh Kumar Sharma &amp; Consultants Pvt Ltd - Mathura - Uttar Pradesh</t>
  </si>
  <si>
    <t>Radha Krishn Associates - Agra - Uttar Pradesh</t>
  </si>
  <si>
    <t>Microbe Banking Solution Limited Mbsl - Patna - Bihar</t>
  </si>
  <si>
    <t>Dhiraj Singh Agency - Varanasi - Uttar Pradesh</t>
  </si>
  <si>
    <t>Elite Debt Associates - Dehradun - Uttarakhand</t>
  </si>
  <si>
    <t>Evergreen Solution - Dehradun - Uttarakhand</t>
  </si>
  <si>
    <t>Pashupati Associates - Dehradun - Uttarakhand</t>
  </si>
  <si>
    <t>Goldline Solutions Pvt Ltd - Saharanpur - Uttar Pradesh</t>
  </si>
  <si>
    <t>Zenith Management Associates - Durgapur - West Bengal</t>
  </si>
  <si>
    <t>Aim Corporate - Kolkata - West Bengal</t>
  </si>
  <si>
    <t>Chandan Saha - Kolkata - West Bengal</t>
  </si>
  <si>
    <t>Easyway Advisory - Kolkata - West Bengal</t>
  </si>
  <si>
    <t>J K Associate - Kolkata - West Bengal</t>
  </si>
  <si>
    <t>Kalyani Associate - Kolkata - West Bengal</t>
  </si>
  <si>
    <t>Sunshine Credit Services - Kolkata - West Bengal</t>
  </si>
  <si>
    <t>Swastik Consultancy - Kolkata - West Bengal</t>
  </si>
  <si>
    <t>Urenus - Kolkata - West Bengal</t>
  </si>
  <si>
    <t>Wayout Solutions - Midnapore - West Bengal</t>
  </si>
  <si>
    <t>Boundless Grow Up Private Limited - Nadia - West Bengal</t>
  </si>
  <si>
    <t>Global Management - Patna - Bihar</t>
  </si>
  <si>
    <t>Raj Management - Patna - Bihar</t>
  </si>
  <si>
    <t>Gurman Industries - Nirman Vihar - Delhi</t>
  </si>
  <si>
    <t>Gurman Industries - Shubhash Nagar - Delhi</t>
  </si>
  <si>
    <t>Krishnapriya Credit Management Services (P) Ltd - Delhi</t>
  </si>
  <si>
    <t>Oxford Management Services - Delhi</t>
  </si>
  <si>
    <t>Accurate Investigations - Delhi</t>
  </si>
  <si>
    <t>Jai Ambey Associates - Delhi</t>
  </si>
  <si>
    <t>Mf Services Private Limited - Delhi</t>
  </si>
  <si>
    <t>Singh Asset Recon Services Pvt Ltd - Delhi</t>
  </si>
  <si>
    <t>Sss Solution - Delhi</t>
  </si>
  <si>
    <t>Shri Ram Fin Corp - Rohtak  - Haryana</t>
  </si>
  <si>
    <t>Jk Corporate Pvt Ltd - Jammu</t>
  </si>
  <si>
    <t>Kuber Consultants - Ranchi - Jharkhand</t>
  </si>
  <si>
    <t>Sanjeev Mahajan And Associates - Amritsar - Punjab</t>
  </si>
  <si>
    <t>Regal Solutions - Chandigarh - Punjab</t>
  </si>
  <si>
    <t>Spark Enterprises - Chandigarh - Punjab</t>
  </si>
  <si>
    <t>Star Associates - Jaipur - Rajasthan</t>
  </si>
  <si>
    <t>Suryavanshi Associates - Jaipur - Rajasthan</t>
  </si>
  <si>
    <t>Ishaan Associates - Udaipur - Rajasthan</t>
  </si>
  <si>
    <t>Global Financial Consultant - Agra - Uttar Pradesh</t>
  </si>
  <si>
    <t>Jmd Associates - Agra - Uttar Pradesh</t>
  </si>
  <si>
    <t>Swarnika Associates - Patna - Bihar</t>
  </si>
  <si>
    <t>Smart Business Support Services - Gorakhpur - Uttar Pradesh</t>
  </si>
  <si>
    <t>Jsr Consultant - Delhi</t>
  </si>
  <si>
    <t>Swapnil And Company - Kanpur - Uttar Pradesh</t>
  </si>
  <si>
    <t>Shri Shiv Associates - Lucknow - Uttar Pradesh</t>
  </si>
  <si>
    <t>Meerut Collection Centre - Meerut - Uttar Pradesh</t>
  </si>
  <si>
    <t>Credit Solution - Kolkata - West Bengal</t>
  </si>
  <si>
    <t>Fusion Financier - Kolkata - West Bengal</t>
  </si>
  <si>
    <t>Sr Collection - Kolkata - West Bengal</t>
  </si>
  <si>
    <t>S. Sabherwal &amp; Co. - Delhi</t>
  </si>
  <si>
    <t>The Pentagon House - Delhi - Delhi</t>
  </si>
  <si>
    <t>P N Services - Bhubaneshwar - Odisha</t>
  </si>
  <si>
    <t>I Care Securities - Karnal - Haryana</t>
  </si>
  <si>
    <t>F K Associates - Ajmer - Rajasthan</t>
  </si>
  <si>
    <t>Choudhary Brothers Group - Jaipur - Rajasthan</t>
  </si>
  <si>
    <t>Rawla Associates - Jaipur - Rajasthan</t>
  </si>
  <si>
    <t>The Pentagon House - Lucknow - Uttar Pradesh</t>
  </si>
  <si>
    <t>Esolve Solutions Pvt Ltd - Kolkata - West Bengal</t>
  </si>
  <si>
    <t>Positive Move - Delhi</t>
  </si>
  <si>
    <t>Vaishnavi Repo Agency - Patna - Bihar</t>
  </si>
  <si>
    <t>R S Repossession Agency  - Raipur - Chhattisgarh</t>
  </si>
  <si>
    <t>Jbms Associates - Delhi</t>
  </si>
  <si>
    <t>Rama Associates - Delhi</t>
  </si>
  <si>
    <t>Gattu Brothers - Mainpuri - Uttar Pradesh</t>
  </si>
  <si>
    <t>Golden Hawk Debt Management And Legal Services Pvt. Ltd - Gurgoan - Haryana</t>
  </si>
  <si>
    <t>Mukeem Khan Repo Agency - Hodal - Haryana</t>
  </si>
  <si>
    <t>G S Services - Ranchi - Jharkhand</t>
  </si>
  <si>
    <t>Sigma Associate - Ranchi - Jharkhand</t>
  </si>
  <si>
    <t>Jyotirmay Sasmal - Khurda - Odisha</t>
  </si>
  <si>
    <t>Mandha Associates - Jaipur - Rajasthan</t>
  </si>
  <si>
    <t>Yadu Associates - Jaipur - Rajasthan</t>
  </si>
  <si>
    <t>Meena Associate - Udaipur - Rajasthan</t>
  </si>
  <si>
    <t>Tiger Brothers Services Pvt Ltd - Agra - UTTAR PRADESH</t>
  </si>
  <si>
    <t>Vishnu Repossession Agency - Patna - Bihar</t>
  </si>
  <si>
    <t>Mm Associates - Kanpur - Uttar Pradesh</t>
  </si>
  <si>
    <t>Aarya Associates - Lucknow - Uttar Pradesh</t>
  </si>
  <si>
    <t>Singh Repossession Agency - Lucknow - Uttar Pradesh</t>
  </si>
  <si>
    <t>Akhand Motors - Varanasi - Uttar Pradesh</t>
  </si>
  <si>
    <t>Sai Associates - Haridwar - Uttarakhand</t>
  </si>
  <si>
    <t>Bharat Repossession Unit - Kolkata - West Bengal</t>
  </si>
  <si>
    <t>Relief - Kolkata - West Bengal</t>
  </si>
  <si>
    <t>Ganapati Parking Yard - Goalpara - Assam</t>
  </si>
  <si>
    <t>Rudrasagar Parking Yard - Guwahati - Assam</t>
  </si>
  <si>
    <t>S S Parking Yard - Guwahati - Assam</t>
  </si>
  <si>
    <t>Luit Associates - Nagaon - Assam</t>
  </si>
  <si>
    <t>Raju Kumar-Janki Ventures Stock Yard - Bihta - Bihar</t>
  </si>
  <si>
    <t>Dashmesh Pitta Parking Yard - Chandigarh - Chandigarh</t>
  </si>
  <si>
    <t>Radha Rani Parking Yard - Chandigarh - Chandigarh</t>
  </si>
  <si>
    <t>Sukhpinder Singh - Chandigarh - Chandigarh</t>
  </si>
  <si>
    <t>Jain Campus - Bilaspur - Chhattisgarh</t>
  </si>
  <si>
    <t>Lanjewar Brother Yard - Bilaspur - Chhattisgarh</t>
  </si>
  <si>
    <t>Shriram Automall Raipur - Durg - Chhattisgarh</t>
  </si>
  <si>
    <t>High Tech Parking - Raipur - Chhattisgarh</t>
  </si>
  <si>
    <t>Komal Chhatri - Raipur - Chhattisgarh</t>
  </si>
  <si>
    <t>Prithvi Parking Yard - Delhi</t>
  </si>
  <si>
    <t>Sharma Farm - Delhi</t>
  </si>
  <si>
    <t>Shree Mahalaxmi Enterprises - Delhi</t>
  </si>
  <si>
    <t>Sharma Farm-Najafgarh - Delhi</t>
  </si>
  <si>
    <t>Gurmukh Dass And Sons Yard - Delhi</t>
  </si>
  <si>
    <t>S R Yard-Delhi - Delhi</t>
  </si>
  <si>
    <t>Maharishi Markanda Bank Parking Yard - Ambala - Haryana</t>
  </si>
  <si>
    <t>S R Yard - Faridabad - Haryana</t>
  </si>
  <si>
    <t>Baba Group Associate - Jhajjar - Haryana</t>
  </si>
  <si>
    <t>Aditya Automobiles Yard - Jind - Haryana</t>
  </si>
  <si>
    <t>Yash Enterprises - Jind - Haryana</t>
  </si>
  <si>
    <t>Heyansh Farm House Parking Yard - Karnal - Haryana</t>
  </si>
  <si>
    <t>Ravinder Lather Parking Yard - Karnal - Haryana</t>
  </si>
  <si>
    <t>Gourav Parking Yard - Sonipat - Haryana</t>
  </si>
  <si>
    <t>Ganesh Sharma - Jammu</t>
  </si>
  <si>
    <t>Rahul Khajuria -Udhampur - Jammu</t>
  </si>
  <si>
    <t>Buddha Parking Yard - Dhanbad - Jharkhand</t>
  </si>
  <si>
    <t>Janta Garage - Hazaribag - Jharkhand</t>
  </si>
  <si>
    <t>Ganpati Stock Yard -Jamshedpur - Jharkhand</t>
  </si>
  <si>
    <t>Raj Kishore Yadav - Jamshedpur - Jharkhand</t>
  </si>
  <si>
    <t>Shriram Yard Jamshedpur - Jharkhand</t>
  </si>
  <si>
    <t>Khushi Parking Yard - Latehar - Jharkhand</t>
  </si>
  <si>
    <t>Bharat Garage - Ranchi - Jharkhand</t>
  </si>
  <si>
    <t>Uttam Motor Agency - Imphal - Manipur</t>
  </si>
  <si>
    <t>S.K. Transport - Angul - Odisha</t>
  </si>
  <si>
    <t>Devraj Stockyard - Balangir - Odisha</t>
  </si>
  <si>
    <t>Sai Parking - Bhubaneswar - Bhubaneshwar - Odisha</t>
  </si>
  <si>
    <t>Sai Parking - Cuttack - Odisha</t>
  </si>
  <si>
    <t>Sk Stockyard-Cuttack - Odisha</t>
  </si>
  <si>
    <t>Shree Gajanan Stockyard - Panikoili - Jajpur - Odisha</t>
  </si>
  <si>
    <t>Bhavya Parking Service - Nayagarh - Odisha</t>
  </si>
  <si>
    <t>Bhagawati Agency Stockyard - Rourkela - Odisha</t>
  </si>
  <si>
    <t>Puspa Nath Stock Yard - Sambalpur - Odisha</t>
  </si>
  <si>
    <t>Darsh Enterprises-Amritsar - Punjab</t>
  </si>
  <si>
    <t>Dilbagh Singh - Jalandhar - Punjab</t>
  </si>
  <si>
    <t>Dashmesh Associates Parking Yard - Ludhiana - Punjab</t>
  </si>
  <si>
    <t>Waraich Parking Yard - Ludhiana - Punjab</t>
  </si>
  <si>
    <t>Darsh Enterprises - Mohali - Punjab</t>
  </si>
  <si>
    <t>Zorawar Singh - Mohali - Punjab</t>
  </si>
  <si>
    <t>Ashu Parking Yard - Patiala - Punjab</t>
  </si>
  <si>
    <t>Krishan Singh And Sons - Patiala - Punjab</t>
  </si>
  <si>
    <t>Chauhan Parking Yard - Ajmer - Rajasthan</t>
  </si>
  <si>
    <t>Mittal Parking Yard - Ajmer - Rajasthan</t>
  </si>
  <si>
    <t>Shree Karni Motors-Bijainagar  Ajmer - Rajasthan</t>
  </si>
  <si>
    <t>Ambey Parking Yard - Alwar - Rajasthan</t>
  </si>
  <si>
    <t>Jarshed Parking Yard - Alwar - Rajasthan</t>
  </si>
  <si>
    <t>Luhaniwal Industries - Anoopgarh - Rajasthan</t>
  </si>
  <si>
    <t>Gaurdeum Securities - Banswara - Rajasthan</t>
  </si>
  <si>
    <t>Shailendra Sanghvi - Banswara - Rajasthan</t>
  </si>
  <si>
    <t>Rishabh Traders Parking Yard - Baran - Rajasthan</t>
  </si>
  <si>
    <t>Singh Yards - Bharatpur - Rajasthan</t>
  </si>
  <si>
    <t>Kanishk Parking Yard - Bhilwara - Rajasthan</t>
  </si>
  <si>
    <t>Shriram Automall Bikaner - Rajasthan</t>
  </si>
  <si>
    <t>Mewad Auto Wheels - Chittorgarh - Rajasthan</t>
  </si>
  <si>
    <t>Saini Parking Yard-Dausa - Rajasthan</t>
  </si>
  <si>
    <t>Shri Balaji Parking Yard - Dausa - Rajasthan</t>
  </si>
  <si>
    <t>Balaji Yard Center - Hanumangarh - Rajasthan</t>
  </si>
  <si>
    <t>Gaadi 18 Services Pvt Ltd - Jaipur - Rajasthan</t>
  </si>
  <si>
    <t>M/S. Yogendra Pareek &amp; Co. - Jaipur - Rajasthan</t>
  </si>
  <si>
    <t>Ramesh Chandra Ghiya - Jaipur - Rajasthan</t>
  </si>
  <si>
    <t>Maruti Stock Yard - Jajpur - Odisha</t>
  </si>
  <si>
    <t>Vashnavi Parking Yard - Jhalawar - Rajasthan</t>
  </si>
  <si>
    <t>Bhati Stock Yard-Jodhpur - Rajasthan</t>
  </si>
  <si>
    <t>Vishal Parakh Parking Yard - Jodhpur - Rajasthan</t>
  </si>
  <si>
    <t>Jai Goril Baba Parking Yard Karuli - Karauli - Rajasthan</t>
  </si>
  <si>
    <t>Jai Mata Di Associates Yard - Kota - Rajasthan</t>
  </si>
  <si>
    <t>Plasto Profile Yard - Kota - Rajasthan</t>
  </si>
  <si>
    <t>Bajiya Parking Yard - Nagaur - Rajasthan</t>
  </si>
  <si>
    <t>Shri Balaji Parking Yard-Neem Ka Thana - Rajasthan</t>
  </si>
  <si>
    <t>Karel Parking Yard - Shahpura - Rajasthan</t>
  </si>
  <si>
    <t>Santra Devi Gora - Sikar - Rajasthan</t>
  </si>
  <si>
    <t>Santra Devi Gora Parking Yard - Sikar - Rajasthan</t>
  </si>
  <si>
    <t>Pratiksha Parking Yard - Sirohi - Rajasthan</t>
  </si>
  <si>
    <t>Karni Kripa Parking Yard - Udaipur - Rajasthan</t>
  </si>
  <si>
    <t>Thakur Parking Yard - Agra - Uttar Pradesh</t>
  </si>
  <si>
    <t>Tilak Motors - Agra - Uttar Pradesh</t>
  </si>
  <si>
    <t>Pushpa Devi Stock Yard - Aligarh - Uttar Pradesh</t>
  </si>
  <si>
    <t>Star Garage - Allahabad - Uttar Pradesh</t>
  </si>
  <si>
    <t>Dhama Parking  Yard - Baghpat - Uttar Pradesh</t>
  </si>
  <si>
    <t>Om Motors - Haidergarh - Barabanki - Uttar Pradesh</t>
  </si>
  <si>
    <t>Badaun Parking Yard - Budaun - Uttar Pradesh</t>
  </si>
  <si>
    <t>Shiv Shakti Parking Yard - Bulandshar - Uttar Pradesh</t>
  </si>
  <si>
    <t>Shri Ji Parking Yard-Bulandshahar - Bulandshar - Uttar Pradesh</t>
  </si>
  <si>
    <t>Ms. Kridha Parking Yard - Etawah - Uttar Pradesh</t>
  </si>
  <si>
    <t>Pc Parking-Faizabad - Uttar Pradesh</t>
  </si>
  <si>
    <t>Expert Service Parking Yard - Firozabad - Uttar Pradesh</t>
  </si>
  <si>
    <t>Bb Farms - Ghaziabad - Uttar Pradesh</t>
  </si>
  <si>
    <t>Pragati Logistics Pvt Ltd - Ghaziabad - Uttar Pradesh</t>
  </si>
  <si>
    <t>Shri Shiv Shakti Parking Yard - Ghaziabad - Uttar Pradesh</t>
  </si>
  <si>
    <t>Tirupati Associates - Ghaziabad - Uttar Pradesh</t>
  </si>
  <si>
    <t>Gorakhnath Parking Yard - Gorakhpur - Uttar Pradesh</t>
  </si>
  <si>
    <t>Shri Ganpati Auto Mall - Hapur - Uttar Pradesh</t>
  </si>
  <si>
    <t>Chauhan Security Services - Kanpur - Uttar Pradesh</t>
  </si>
  <si>
    <t>Devika Security Services - Kanpur - Uttar Pradesh</t>
  </si>
  <si>
    <t>Kanpur Security And Services - Kanpur - Uttar Pradesh</t>
  </si>
  <si>
    <t>Balaji Associatess - Lucknow - Uttar Pradesh</t>
  </si>
  <si>
    <t>Lucky Yard - Lucknow - Uttar Pradesh</t>
  </si>
  <si>
    <t>V K Motors - Chinhut - Lucknow - Uttar Pradesh</t>
  </si>
  <si>
    <t>Dharmesh Motors Yard - Mathura - Uttar Pradesh</t>
  </si>
  <si>
    <t>Rajput Trading Company - Mau - Uttar Pradesh</t>
  </si>
  <si>
    <t>Shri Balaji Parking Yard-Noida - Uttar Pradesh</t>
  </si>
  <si>
    <t>Balaji Associatess - Raebareli - Uttar Pradesh</t>
  </si>
  <si>
    <t>Paras Stockyard - Saharanpur - Uttar Pradesh</t>
  </si>
  <si>
    <t>Balasar Security Service - Kanpur - Unnao - Uttar Pradesh</t>
  </si>
  <si>
    <t>Pc Parking Yard 2 - Varanasi - Uttar Pradesh</t>
  </si>
  <si>
    <t>Shri Baba Kal Bhairav Enterprises - Varanasi - Uttar Pradesh</t>
  </si>
  <si>
    <t>Gangotri Automobile - Haridwar - Uttarakhand</t>
  </si>
  <si>
    <t>M K Motors Parking Yard - Kashipur - Uttarakhand</t>
  </si>
  <si>
    <t>Hm Parking - Bankura - West Bengal</t>
  </si>
  <si>
    <t>A B Parking Centre - Barasat - West Bengal</t>
  </si>
  <si>
    <t>Maa Parking -Baruipur - West Bengal</t>
  </si>
  <si>
    <t>Baba Biswakarma Parking Yard - Contai - West Bengal</t>
  </si>
  <si>
    <t>Shree Ganesh - Cooch Behar - West Bengal</t>
  </si>
  <si>
    <t>Maa Parking - Dhamua - West Bengal</t>
  </si>
  <si>
    <t>Dankuni Autopark Zone Pvt Ltd - Hooghly - West Bengal</t>
  </si>
  <si>
    <t>Rm Tanvi Parking - Hooghly - West Bengal</t>
  </si>
  <si>
    <t>Jay Bharat Corporation - Kharagpur - West Bengal</t>
  </si>
  <si>
    <t>Burimaa Parking Agency - Krishnanagar - West Bengal</t>
  </si>
  <si>
    <t>Amit Dhanotia - Siliguri - West Bengal</t>
  </si>
  <si>
    <t>National Parking - South 24 Pgs - West Bengal</t>
  </si>
  <si>
    <t>Jk Parking - Usti - West Bengal</t>
  </si>
  <si>
    <t>Collection Agency</t>
  </si>
  <si>
    <t>Repo Agency</t>
  </si>
  <si>
    <t>Aba_Collection Agency_Guwahati_Assam</t>
  </si>
  <si>
    <t>Accurate Investigations_Collection Agency_Delhi</t>
  </si>
  <si>
    <t>Agpo Management Services Pvt Ltd - Agra_Collection Agency_Uttar Pradesh</t>
  </si>
  <si>
    <t>Agpo Management Services Pvt Ltd - Agra_Repo Agency_Uttar Pradesh</t>
  </si>
  <si>
    <t>Agpo Management Services Pvt Ltd - Kanpur_Collection Agency_Uttar Pradesh</t>
  </si>
  <si>
    <t>Agpo Management Services Pvt Ltd - Lucknow_Collection Agency_Uttar Pradesh</t>
  </si>
  <si>
    <t>Aim Associates_Collection Agency_Delhi</t>
  </si>
  <si>
    <t>Aim Corporate - Kolkata_Collection Agency_West Bengal</t>
  </si>
  <si>
    <t>Aim Corporate - Kolkata_Repo Agency_West Bengal</t>
  </si>
  <si>
    <t>Aim Corporate - Patna_Collection Agency_Bihar</t>
  </si>
  <si>
    <t>Ambitious Enterprises_Collection Agency_Delhi</t>
  </si>
  <si>
    <t>Ansh Enterprises_Collection Agency_Agra_Uttar Pradesh</t>
  </si>
  <si>
    <t>Ansh Enterprises_Repo Agency_Agra_Uttar Pradesh</t>
  </si>
  <si>
    <t>Anurag Agency_Collection Agency_Raipur_Chhattisgarh</t>
  </si>
  <si>
    <t>Ar Associates_Collection Agency_Patiala_Punjab</t>
  </si>
  <si>
    <t>Baiswara Associates_Collection Agency_Kanpur_Uttar Pradesh</t>
  </si>
  <si>
    <t>Bank Bridge Solution_Collection Agency_Jaipur_Rajasthan</t>
  </si>
  <si>
    <t>Chandan Saha_Collection Agency_Kolkata_West Bengal</t>
  </si>
  <si>
    <t>Chandan Saha_Repo Agency_Kolkata_West Bengal</t>
  </si>
  <si>
    <t>Choudhary Brothers Group - Jaipur_Collection Agency_Rajasthan</t>
  </si>
  <si>
    <t>Citi Enterprises_Collection Agency_Chandigarh_Punjab</t>
  </si>
  <si>
    <t>Credit Solution_Collection Agency_Kolkata_West Bengal</t>
  </si>
  <si>
    <t>D S Associates_Collection Agency_Bikaner_Rajasthan</t>
  </si>
  <si>
    <t>Definate Solutions_Collection Agency_Ranchi_Jharkhand</t>
  </si>
  <si>
    <t>Delta Services_Collection Agency_Delhi</t>
  </si>
  <si>
    <t>Delta Services_Repo Agency_Delhi</t>
  </si>
  <si>
    <t>Earth Services_Collection Agency_Delhi</t>
  </si>
  <si>
    <t>Poonia Associates_Collection Agency_Hisar_Haryana</t>
  </si>
  <si>
    <t>Poonia Associates_Repo Agency_Hisar_Haryana</t>
  </si>
  <si>
    <t>Easyway Advisory_Collection Agency_Kolkata_West Bengal</t>
  </si>
  <si>
    <t>Easyway Advisory_Repo Agency_Kolkata_West Bengal</t>
  </si>
  <si>
    <t>Esolve Solutions Pvt Ltd_Collection Agency_Kolkata_West Bengal</t>
  </si>
  <si>
    <t>Evergreen Solution_Collection Agency_Dehradun_Uttarakhand</t>
  </si>
  <si>
    <t>Excel Agencies - Amritsar_Collection Agency_Punjab</t>
  </si>
  <si>
    <t>Sai Enterprises_Collection Agency_Jamshedpur_Jharkhand</t>
  </si>
  <si>
    <t>Excel Agencies - Ludhiana_Collection Agency_Punjab</t>
  </si>
  <si>
    <t>Excel Agencies - Mohali_Collection Agency_Punjab</t>
  </si>
  <si>
    <t>Chaudhary Associates_Collection Agency_Delhi</t>
  </si>
  <si>
    <t>Chaudhary Associates_Repo Agency_Delhi</t>
  </si>
  <si>
    <t>F K Associates_Collection Agency_Ajmer_Rajasthan</t>
  </si>
  <si>
    <t>Fairadvisory Legalservices_Collection Agency_Jamshedpur_Jharkhand</t>
  </si>
  <si>
    <t>Fairadvisory Legalservices_Repo Agency_Jamshedpur_Jharkhand</t>
  </si>
  <si>
    <t>B K Associates_Collection Agency_Cuttack_Odisha</t>
  </si>
  <si>
    <t>B K Associates_Repo Agency_Cuttack_Odisha</t>
  </si>
  <si>
    <t>Fusion Financier_Collection Agency_Kolkata_West Bengal</t>
  </si>
  <si>
    <t>G.D.M. Management Services Pvt Ltd - Delhi_Collection Agency_Delhi</t>
  </si>
  <si>
    <t>G.D.M. Management Services Pvt Ltd - Delhi_Repo Agency_Delhi</t>
  </si>
  <si>
    <t>Global Financial Consultant_Collection Agency_Agra_Uttar Pradesh</t>
  </si>
  <si>
    <t>Global Management - Patna_Collection Agency_Bihar</t>
  </si>
  <si>
    <t>Ra Collection Agency_Collection Agency_Amritsar_Punjab</t>
  </si>
  <si>
    <t>Ra Collection Agency_Repo Agency_Amritsar_Punjab</t>
  </si>
  <si>
    <t>Global Services - Allahabad_Collection Agency_Uttar Pradesh</t>
  </si>
  <si>
    <t>Global Services - Delhi_Collection Agency_Delhi</t>
  </si>
  <si>
    <t>Golden Hawk Debt Management And Legal Services Pvt. Ltd_Collection Agency_Gurgoan_Haryana</t>
  </si>
  <si>
    <t>Goldline Solutions Pvt Ltd_Collection Agency_Saharanpur_Uttar Pradesh</t>
  </si>
  <si>
    <t>Goodluck Associate_Collection Agency_Chandigarh_Punjab</t>
  </si>
  <si>
    <t>Goodluck Associate_Repo Agency_Chandigarh_Punjab</t>
  </si>
  <si>
    <t>Gurman Industries - Nirman Vihar_Collection Agency_Delhi</t>
  </si>
  <si>
    <t>Gurman Industries - Shubhash Nagar_Collection Agency_Delhi</t>
  </si>
  <si>
    <t>Resolution Achievers_Collection Agency_Jalandhar_Punjab</t>
  </si>
  <si>
    <t>Gurseerat Legal Management Service_Collection Agency_Guwahati_Assam</t>
  </si>
  <si>
    <t>Harshita Associates_Collection Agency_Ajmer_Rajasthan</t>
  </si>
  <si>
    <t>Harshita Associates_Repo Agency_Ajmer_Rajasthan</t>
  </si>
  <si>
    <t>I Care Securities_Collection Agency_Karnal_Haryana</t>
  </si>
  <si>
    <t>I Care Securities_Repo Agency_Karnal_Haryana</t>
  </si>
  <si>
    <t>Infinity Services_Collection Agency_Raipur_Chhattisgarh</t>
  </si>
  <si>
    <t>Infinity Services_Repo Agency_Raipur_Chhattisgarh</t>
  </si>
  <si>
    <t>Ishaan Associates_Collection Agency_Udaipur_Rajasthan</t>
  </si>
  <si>
    <t>J K Associate_Collection Agency_Kolkata_West Bengal</t>
  </si>
  <si>
    <t>J K Associate_Repo Agency_Kolkata_West Bengal</t>
  </si>
  <si>
    <t>Jai Ambey Associates_Collection Agency_Delhi</t>
  </si>
  <si>
    <t>Jk Corporate Pvt Ltd_Collection Agency_Jammu</t>
  </si>
  <si>
    <t>Jk Corporate Pvt Ltd_Repo Agency_Jammu</t>
  </si>
  <si>
    <t>Jmd Associates_Collection Agency_Agra_Uttar Pradesh</t>
  </si>
  <si>
    <t>Mahalaxmi Repo Agencies_Collection Agency_Jaipur_Rajasthan</t>
  </si>
  <si>
    <t>Mahalaxmi Repo Agencies_Repo Agency_Jaipur_Rajasthan</t>
  </si>
  <si>
    <t>Ms Ridhi Sidhi Associates_Collection Agency_Jaipur_Rajasthan</t>
  </si>
  <si>
    <t>Ms Ridhi Sidhi Associates_Repo Agency_Jaipur_Rajasthan</t>
  </si>
  <si>
    <t>Jsr Consultant_Collection Agency_Delhi</t>
  </si>
  <si>
    <t>Kalyani Associate - Bhubaneshwar_Collection Agency_Odisha</t>
  </si>
  <si>
    <t>Kalyani Associate - Bhubaneshwar_Repo Agency_Odisha</t>
  </si>
  <si>
    <t>Kalyani Associate - Jamshedpur_Collection Agency_Jharkhand</t>
  </si>
  <si>
    <t>Kalyani Associate - Jamshedpur_Repo Agency_Jharkhand</t>
  </si>
  <si>
    <t>Kalyani Associate - Kolkata_Collection Agency_West Bengal</t>
  </si>
  <si>
    <t>Kk Associates_Collection Agency_Lucknow_Uttar Pradesh</t>
  </si>
  <si>
    <t>Krishna Associates_Collection Agency_Lucknow_Uttar Pradesh</t>
  </si>
  <si>
    <t>Krishna Associates_Repo Agency_Lucknow_Uttar Pradesh</t>
  </si>
  <si>
    <t>Krishnapriya Credit Management Services (P) Ltd_Collection Agency_Delhi</t>
  </si>
  <si>
    <t>Kuber Consultants_Collection Agency_Ranchi_Jharkhand</t>
  </si>
  <si>
    <t>Govind Singh Gora_Collection Agency_Sikar_Rajasthan</t>
  </si>
  <si>
    <t>Govind Singh Gora_Repo Agency_Sikar_Rajasthan</t>
  </si>
  <si>
    <t>M C Associate_Collection Agency_Cuttack_Odisha</t>
  </si>
  <si>
    <t>Maa Bhawani Auto Enterprises_Collection Agency_Bikaner_Rajasthan</t>
  </si>
  <si>
    <t>Management Services_Collection Agency_Delhi</t>
  </si>
  <si>
    <t>Awadhesh Kumar Dubey_Collection Agency_Ayodhya_Uttar Pradesh</t>
  </si>
  <si>
    <t>Awadhesh Kumar Dubey_Repo Agency_Ayodhya_Uttar Pradesh</t>
  </si>
  <si>
    <t>Laado Associates_Collection Agency_Gurgoan_Haryana</t>
  </si>
  <si>
    <t>Laado Associates_Repo Agency_Gurgoan_Haryana</t>
  </si>
  <si>
    <t>Marichin Fin Services Pvt Ltd_Collection Agency_Bhubaneshwar_Odisha</t>
  </si>
  <si>
    <t>Marichin Fin Services Pvt Ltd_Repo Agency_Bhubaneshwar_Odisha</t>
  </si>
  <si>
    <t>Meerut Collection Centre_Collection Agency_Meerut_Uttar Pradesh</t>
  </si>
  <si>
    <t>Mf Services Private Limited_Collection Agency_Delhi</t>
  </si>
  <si>
    <t>Microbe Banking Solution Limited Mbsl_Collection Agency_Patna_Bihar</t>
  </si>
  <si>
    <t>Namanshee Associates_Collection Agency_Guwahati_Assam</t>
  </si>
  <si>
    <t>National Consultants_Collection Agency_Jaipur_Rajasthan</t>
  </si>
  <si>
    <t>Oxford Management Services_Collection Agency_Delhi</t>
  </si>
  <si>
    <t>P N Services_Collection Agency_Bhubaneshwar_Odisha</t>
  </si>
  <si>
    <t>Paradigm Nine Inc_Collection Agency_Delhi</t>
  </si>
  <si>
    <t>Paradigm Nine Inc_Repo Agency_Delhi</t>
  </si>
  <si>
    <t>Pashupati Associates_Collection Agency_Dehradun_Uttarakhand</t>
  </si>
  <si>
    <t>Dhiraj Singh Agency_Collection Agency_Varanasi_Uttar Pradesh</t>
  </si>
  <si>
    <t>Dhiraj Singh Agency_Repo Agency_Varanasi_Uttar Pradesh</t>
  </si>
  <si>
    <t>Elite Debt Associates_Collection Agency_Dehradun_Uttarakhand</t>
  </si>
  <si>
    <t>Elite Debt Associates_Repo Agency_Dehradun_Uttarakhand</t>
  </si>
  <si>
    <t>Positive Move_Collection Agency_Delhi</t>
  </si>
  <si>
    <t>Radha Krishn Associates_Collection Agency_Agra_Uttar Pradesh</t>
  </si>
  <si>
    <t>Radha Krishn Associates_Repo Agency_Agra_Uttar Pradesh</t>
  </si>
  <si>
    <t>Raj Management_Collection Agency_Patna_Bihar</t>
  </si>
  <si>
    <t>Rakesh Kumar Sharma &amp; Consultants Pvt Ltd - Jaipur_Collection Agency_Rajasthan</t>
  </si>
  <si>
    <t>Rakesh Kumar Sharma &amp; Consultants Pvt Ltd - Mathura_Collection Agency_Uttar Pradesh</t>
  </si>
  <si>
    <t>Ram Associates_Collection Agency_Jodhpur_Rajasthan</t>
  </si>
  <si>
    <t>Ramawat Associates_Collection Agency_Jodhpur_Rajasthan</t>
  </si>
  <si>
    <t>Rathore Associate_Collection Agency_Jodhpur_Rajasthan</t>
  </si>
  <si>
    <t>Rawla Associates_Collection Agency_Jaipur_Rajasthan</t>
  </si>
  <si>
    <t>Rawla Associates_Repo Agency_Jaipur_Rajasthan</t>
  </si>
  <si>
    <t>Regal Solutions_Collection Agency_Chandigarh_Punjab</t>
  </si>
  <si>
    <t>Rel Connect Llp_Collection Agency_Delhi</t>
  </si>
  <si>
    <t>Rk Associates_Collection Agency_Moradabad_Uttar Pradesh</t>
  </si>
  <si>
    <t>Boundless Grow Up Private Limited_Collection Agency_Nadia_West Bengal</t>
  </si>
  <si>
    <t>Boundless Grow Up Private Limited_Repo Agency_Nadia_West Bengal</t>
  </si>
  <si>
    <t>Rohan Enterprises_Collection Agency_Delhi</t>
  </si>
  <si>
    <t>Rohan Enterprises_Repo Agency_Delhi</t>
  </si>
  <si>
    <t>S. Sabherwal &amp; Co._Collection Agency_Delhi</t>
  </si>
  <si>
    <t>Saini Associates_Collection Agency_Ludhiana_Punjab</t>
  </si>
  <si>
    <t>Saksham Enterprises_Collection Agency_Chandigarh_Punjab</t>
  </si>
  <si>
    <t>Saksham Enterprises_Repo Agency_Chandigarh_Punjab</t>
  </si>
  <si>
    <t>Sanjeev Mahajan And Associates_Collection Agency_Amritsar_Punjab</t>
  </si>
  <si>
    <t>Sanvi Financial Services_Collection Agency_Jaipur_Rajasthan</t>
  </si>
  <si>
    <t>Savviour Agency_Collection Agency_Ludhiana_Punjab</t>
  </si>
  <si>
    <t>Savviour Agency_Repo Agency_Ludhiana_Punjab</t>
  </si>
  <si>
    <t>Shivjot Enterprises_Collection Agency_Ludhiana_Punjab</t>
  </si>
  <si>
    <t>Shree Krishna Associates_Collection Agency_Udaipur_Rajasthan</t>
  </si>
  <si>
    <t>Shree Mahadevi Associates_Collection Agency_Delhi</t>
  </si>
  <si>
    <t>Shree Mahadevi Associates_Repo Agency_Delhi</t>
  </si>
  <si>
    <t>Shri Ganesh Enterprises_Collection Agency_Chandigarh_Punjab</t>
  </si>
  <si>
    <t>Shri Ganesh Enterprises_Repo Agency_Chandigarh_Punjab</t>
  </si>
  <si>
    <t>Shri Ram Fin Corp_Collection Agency_Rohtak _Haryana</t>
  </si>
  <si>
    <t>Shri Sai Associates_Collection Agency_Jaipur_Rajasthan</t>
  </si>
  <si>
    <t>Shri Shiv Associates_Collection Agency_Lucknow_Uttar Pradesh</t>
  </si>
  <si>
    <t>Singh Asset Recon Services Pvt Ltd_Collection Agency_Delhi</t>
  </si>
  <si>
    <t>Smart Business Support Services_Collection Agency_Gorakhpur_Uttar Pradesh</t>
  </si>
  <si>
    <t>Spark Enterprises_Collection Agency_Chandigarh_Punjab</t>
  </si>
  <si>
    <t>Sr Collection_Collection Agency_Kolkata_West Bengal</t>
  </si>
  <si>
    <t>Sss Solution_Collection Agency_Delhi</t>
  </si>
  <si>
    <t>Star Associates_Collection Agency_Jaipur_Rajasthan</t>
  </si>
  <si>
    <t>Sun Associates_Collection Agency_Delhi</t>
  </si>
  <si>
    <t>Sun Associates_Repo Agency_Delhi</t>
  </si>
  <si>
    <t>Sunshine Credit Services_Collection Agency_Kolkata_West Bengal</t>
  </si>
  <si>
    <t>Sunshine Credit Services_Repo Agency_Kolkata_West Bengal</t>
  </si>
  <si>
    <t>Suryavanshi Associates_Collection Agency_Jaipur_Rajasthan</t>
  </si>
  <si>
    <t>Swapnil And Company_Collection Agency_Kanpur_Uttar Pradesh</t>
  </si>
  <si>
    <t>Swarnika Associates_Collection Agency_Patna_Bihar</t>
  </si>
  <si>
    <t>Swastik Associates_Collection Agency_Jodhpur_Rajasthan</t>
  </si>
  <si>
    <t>Swastik Consultancy_Collection Agency_Kolkata_West Bengal</t>
  </si>
  <si>
    <t>The Pentagon House - Delhi_Collection Agency_Delhi</t>
  </si>
  <si>
    <t>The Pentagon House - Lucknow_Collection Agency_Uttar Pradesh</t>
  </si>
  <si>
    <t>Tomar Auto Recovery_Collection Agency_Pipli_Haryana</t>
  </si>
  <si>
    <t>Total Solutions_Collection Agency_Lucknow_Uttar Pradesh</t>
  </si>
  <si>
    <t>Trishakti Services_Collection Agency_Delhi</t>
  </si>
  <si>
    <t>Unique India Associates_Collection Agency_Delhi</t>
  </si>
  <si>
    <t>Urenus_Collection Agency_Kolkata_West Bengal</t>
  </si>
  <si>
    <t>Uttaran_Collection Agency_Guwahati_Assam</t>
  </si>
  <si>
    <t>Uttaran_Repo Agency_Guwahati_Assam</t>
  </si>
  <si>
    <t>Vh Management Services_Collection Agency_Lucknow_Uttar Pradesh</t>
  </si>
  <si>
    <t>Waves Enterprises_Collection Agency_Delhi</t>
  </si>
  <si>
    <t>Wayout Solutions_Collection Agency_Midnapore_West Bengal</t>
  </si>
  <si>
    <t>Yash Enterprises_Collection Agency_Chandigarh_Punjab</t>
  </si>
  <si>
    <t>Yash Enterprises_Repo Agency_Chandigarh_Punjab</t>
  </si>
  <si>
    <t>Yashraj Associates_Collection Agency_Jodhpur_Rajasthan</t>
  </si>
  <si>
    <t>Vaishnavi Repo Agency_Collection Agency_Patna_Bihar</t>
  </si>
  <si>
    <t>Vaishnavi Repo Agency_Repo Agency_Patna_Bihar</t>
  </si>
  <si>
    <t>R S Repossession Agency _Collection Agency_Raipur_Chhattisgarh</t>
  </si>
  <si>
    <t>R S Repossession Agency _Repo Agency_Raipur_Chhattisgarh</t>
  </si>
  <si>
    <t>Jbms Associates_Collection Agency_Delhi</t>
  </si>
  <si>
    <t>Jbms Associates_Repo Agency_Delhi</t>
  </si>
  <si>
    <t>Rama Associates_Collection Agency_Delhi</t>
  </si>
  <si>
    <t>Rama Associates_Repo Agency_Delhi</t>
  </si>
  <si>
    <t>Gattu Brothers_Collection Agency_Mainpuri_Uttar Pradesh</t>
  </si>
  <si>
    <t>Gattu Brothers_Repo Agency_Mainpuri_Uttar Pradesh</t>
  </si>
  <si>
    <t>Zenith Management Associates_Collection Agency_Durgapur_West Bengal</t>
  </si>
  <si>
    <t>Mukeem Khan Repo Agency_Collection Agency_Hodal_Haryana</t>
  </si>
  <si>
    <t>Mukeem Khan Repo Agency_Repo Agency_Hodal_Haryana</t>
  </si>
  <si>
    <t>G S Services_Collection Agency_Ranchi_Jharkhand</t>
  </si>
  <si>
    <t>G S Services_Repo Agency_Ranchi_Jharkhand</t>
  </si>
  <si>
    <t>Sigma Associate_Collection Agency_Ranchi_Jharkhand</t>
  </si>
  <si>
    <t>Sigma Associate_Repo Agency_Ranchi_Jharkhand</t>
  </si>
  <si>
    <t>Jyotirmay Sasmal_Collection Agency_Khurda_Odisha</t>
  </si>
  <si>
    <t>Jyotirmay Sasmal_Repo Agency_Khurda_Odisha</t>
  </si>
  <si>
    <t>Mandha Associates_Collection Agency_Jaipur_Rajasthan</t>
  </si>
  <si>
    <t>Mandha Associates_Repo Agency_Jaipur_Rajasthan</t>
  </si>
  <si>
    <t>Yadu Associates_Collection Agency_Jaipur_Rajasthan</t>
  </si>
  <si>
    <t>Yadu Associates_Repo Agency_Jaipur_Rajasthan</t>
  </si>
  <si>
    <t>Meena Associate_Collection Agency_Udaipur_Rajasthan</t>
  </si>
  <si>
    <t>Meena Associate_Repo Agency_Udaipur_Rajasthan</t>
  </si>
  <si>
    <t>Tiger Brothers Services Pvt Ltd_Collection Agency_Agra_UTTAR PRADESH</t>
  </si>
  <si>
    <t>Tiger Brothers Services Pvt Ltd_Repo Agency_Agra_UTTAR PRADESH</t>
  </si>
  <si>
    <t>Vishnu Repossession Agency_Collection Agency_Patna_Bihar</t>
  </si>
  <si>
    <t>Vishnu Repossession Agency_Repo Agency_Patna_Bihar</t>
  </si>
  <si>
    <t>Mm Associates_Collection Agency_Kanpur_Uttar Pradesh</t>
  </si>
  <si>
    <t>Mm Associates_Repo Agency_Kanpur_Uttar Pradesh</t>
  </si>
  <si>
    <t>Aarya Associates_Collection Agency_Lucknow_Uttar Pradesh</t>
  </si>
  <si>
    <t>Aarya Associates_Repo Agency_Lucknow_Uttar Pradesh</t>
  </si>
  <si>
    <t>Singh Repossession Agency_Collection Agency_Lucknow_Uttar Pradesh</t>
  </si>
  <si>
    <t>Singh Repossession Agency_Repo Agency_Lucknow_Uttar Pradesh</t>
  </si>
  <si>
    <t>Akhand Motors_Collection Agency_Varanasi_Uttar Pradesh</t>
  </si>
  <si>
    <t>Akhand Motors_Repo Agency_Varanasi_Uttar Pradesh</t>
  </si>
  <si>
    <t>Sai Associates_Collection Agency_Haridwar_Uttarakhand</t>
  </si>
  <si>
    <t>Sai Associates_Repo Agency_Haridwar_Uttarakhand</t>
  </si>
  <si>
    <t>Bharat Repossession Unit_Collection Agency_Kolkata_West Bengal</t>
  </si>
  <si>
    <t>Bharat Repossession Unit_Repo Agency_Kolkata_West Bengal</t>
  </si>
  <si>
    <t>Relief_Collection Agency_Kolkata_West Bengal</t>
  </si>
  <si>
    <t>Relief_Repo Agency_Kolkata_West Bengal</t>
  </si>
  <si>
    <t>Anurag Agency_Repo Agency_Raipur_Chhattisgarh</t>
  </si>
  <si>
    <t>Baiswara Associates_Repo Agency_Kanpur_Uttar Pradesh</t>
  </si>
  <si>
    <t>Microbe Banking Solution Limited Mbsl_Repo Agency_Patna_Bihar</t>
  </si>
  <si>
    <t>Ram Associates_Repo Agency_Jodhpur_Rajasthan</t>
  </si>
  <si>
    <t>Rk Associates_Repo Agency_Moradabad_Uttar Pradesh</t>
  </si>
  <si>
    <t>MS Awadh Risk Management Services Pvt Ltd_Repo Agency_Lucknow_Uttar Pradesh</t>
  </si>
  <si>
    <t>MS Awadh Risk Management Services Pvt Ltd_Collection Agency_Lucknow_Uttar Pradesh</t>
  </si>
  <si>
    <t>A B Parking Centre_Stockyard_Barasat_West Bengal</t>
  </si>
  <si>
    <t>Aditya Automobiles Yard_Stockyard_Jind_Haryana</t>
  </si>
  <si>
    <t>Ambey Parking Yard_Stockyard_Alwar_Rajasthan</t>
  </si>
  <si>
    <t>Amit Dhanotia_Stockyard_Siliguri_West Bengal</t>
  </si>
  <si>
    <t>Ashu Parking Yard - Patiala_Stockyard_Punjab</t>
  </si>
  <si>
    <t>Baba Biswakarma Parking Yard_Stockyard_Contai_West Bengal</t>
  </si>
  <si>
    <t>Baba Group Associate_Stockyard_Jhajjar_Haryana</t>
  </si>
  <si>
    <t>Badaun Parking Yard_Stockyard_Budaun_Uttar Pradesh</t>
  </si>
  <si>
    <t>Bajiya Parking Yard_Stockyard_Nagaur_Rajasthan</t>
  </si>
  <si>
    <t>Balaji Associatess - Raebareli_Stockyard_Uttar Pradesh</t>
  </si>
  <si>
    <t>Balaji Associatess_Stockyard_Lucknow_Uttar Pradesh</t>
  </si>
  <si>
    <t>Balaji Yard Center_Stockyard_Hanumangarh_Rajasthan</t>
  </si>
  <si>
    <t>Balasar Security Service - Kanpur_Stockyard_Unnao_Uttar Pradesh</t>
  </si>
  <si>
    <t>Bb Farms_Stockyard_Ghaziabad_Uttar Pradesh</t>
  </si>
  <si>
    <t>Bhagawati Agency Stockyard_Stockyard_Rourkela_Odisha</t>
  </si>
  <si>
    <t>Bharat Garage_Stockyard_Ranchi_Jharkhand</t>
  </si>
  <si>
    <t>Bhati Stock Yard-Jodhpur_Stockyard_Rajasthan</t>
  </si>
  <si>
    <t>Bhavya Parking Service - Nayagarh_Stockyard_Odisha</t>
  </si>
  <si>
    <t>Buddha Parking Yard_Stockyard_Dhanbad_Jharkhand</t>
  </si>
  <si>
    <t>Burimaa Parking Agency_Stockyard_Krishnanagar_West Bengal</t>
  </si>
  <si>
    <t>Chauhan Parking Yard_Stockyard_Ajmer_Rajasthan</t>
  </si>
  <si>
    <t>Chauhan Security Services_Stockyard_Kanpur_Uttar Pradesh</t>
  </si>
  <si>
    <t>Dankuni Autopark Zone Pvt Ltd_Stockyard_Hooghly_West Bengal</t>
  </si>
  <si>
    <t>Darsh Enterprises_Stockyard_Mohali_Punjab</t>
  </si>
  <si>
    <t>Darsh Enterprises-Amritsar_Stockyard_Punjab</t>
  </si>
  <si>
    <t>Dashmesh Associates Parking Yard_Stockyard_Ludhiana_Punjab</t>
  </si>
  <si>
    <t>Dashmesh Pitta Parking Yard_Stockyard_Chandigarh</t>
  </si>
  <si>
    <t>Devika Security Services_Stockyard_Kanpur_Uttar Pradesh</t>
  </si>
  <si>
    <t>Devraj Stockyard_Stockyard_Balangir_Odisha</t>
  </si>
  <si>
    <t>Dhama Parking  Yard_Stockyard_Baghpat_Uttar Pradesh</t>
  </si>
  <si>
    <t>Dharmesh Motors Yard_Stockyard_Mathura_Uttar Pradesh</t>
  </si>
  <si>
    <t>Dilbagh Singh_Stockyard_Jalandhar_Punjab</t>
  </si>
  <si>
    <t>Expert Service Parking Yard_Stockyard_Firozabad_Uttar Pradesh</t>
  </si>
  <si>
    <t>Gaadi 18 Services Pvt Ltd_Stockyard_Jaipur_Rajasthan</t>
  </si>
  <si>
    <t>Ganapati Parking Yard_Stockyard_Goalpara_Assam</t>
  </si>
  <si>
    <t>Ganesh Sharma_Stockyard_Jammu</t>
  </si>
  <si>
    <t>Gangotri Automobile_Stockyard_Haridwar_Uttarakhand</t>
  </si>
  <si>
    <t>Ganpati Stock Yard -Jamshedpur_Stockyard_Jharkhand</t>
  </si>
  <si>
    <t>Gaurdeum Securities_Stockyard_Banswara_Rajasthan</t>
  </si>
  <si>
    <t>Gorakhnath Parking Yard_Stockyard_Gorakhpur_Uttar Pradesh</t>
  </si>
  <si>
    <t>Gourav Parking Yard_Stockyard_Sonipat_Haryana</t>
  </si>
  <si>
    <t>Gurmukh Dass And Sons Yard_Stockyard_Delhi</t>
  </si>
  <si>
    <t>Heyansh Farm House Parking Yard_Stockyard_Karnal_Haryana</t>
  </si>
  <si>
    <t>High Tech Parking_Stockyard_Raipur_Chhattisgarh</t>
  </si>
  <si>
    <t>Hm Parking_Stockyard_Bankura_West Bengal</t>
  </si>
  <si>
    <t>Jai Goril Baba Parking Yard Karuli_Stockyard_Karauli_Rajasthan</t>
  </si>
  <si>
    <t>Jai Mata Di Associates Yard_Stockyard_Kota_Rajasthan</t>
  </si>
  <si>
    <t>Jain Campus_Stockyard_Bilaspur_Chhattisgarh</t>
  </si>
  <si>
    <t>Janta Garage_Stockyard_Hazaribag_Jharkhand</t>
  </si>
  <si>
    <t>Jarshed Parking Yard_Stockyard_Alwar_Rajasthan</t>
  </si>
  <si>
    <t>Jay Bharat Corporation_Stockyard_Kharagpur_West Bengal</t>
  </si>
  <si>
    <t>Jk Parking_Stockyard_Usti_West Bengal</t>
  </si>
  <si>
    <t>Kanishk Parking Yard_Stockyard_Bhilwara_Rajasthan</t>
  </si>
  <si>
    <t>Kanpur Security And Services_Stockyard_Kanpur_Uttar Pradesh</t>
  </si>
  <si>
    <t>Karel Parking Yard_Stockyard_Shahpura_Rajasthan</t>
  </si>
  <si>
    <t>Karni Kripa Parking Yard_Stockyard_Udaipur_Rajasthan</t>
  </si>
  <si>
    <t>Khushi Parking Yard_Stockyard_Latehar_Jharkhand</t>
  </si>
  <si>
    <t>Komal Chhatri_Stockyard_Raipur_Chhattisgarh</t>
  </si>
  <si>
    <t>Krishan Singh And Sons_Stockyard_Patiala_Punjab</t>
  </si>
  <si>
    <t>Lanjewar Brother Yard_Stockyard_Bilaspur_Chhattisgarh</t>
  </si>
  <si>
    <t>Lucky Yard_Stockyard_Lucknow_Uttar Pradesh</t>
  </si>
  <si>
    <t>Luhaniwal Industries_Stockyard_Anoopgarh_Rajasthan</t>
  </si>
  <si>
    <t>Luit Associates_Stockyard_Nagaon_Assam</t>
  </si>
  <si>
    <t>M K Motors Parking Yard_Stockyard_Kashipur_Uttarakhand</t>
  </si>
  <si>
    <t>Maa Parking -Baruipur_Stockyard_West Bengal</t>
  </si>
  <si>
    <t>Maa Parking_Stockyard_Dhamua_West Bengal</t>
  </si>
  <si>
    <t>Maharishi Markanda Bank Parking Yard_Stockyard_Ambala_Haryana</t>
  </si>
  <si>
    <t>Maruti Stock Yard_Stockyard_Jajpur_Odisha</t>
  </si>
  <si>
    <t>Mewad Auto Wheels_Stockyard_Chittorgarh_Rajasthan</t>
  </si>
  <si>
    <t>Mittal Parking Yard - Ajmer_Stockyard_Rajasthan</t>
  </si>
  <si>
    <t>Ms. Kridha Parking Yard_Stockyard_Etawah_Uttar Pradesh</t>
  </si>
  <si>
    <t>National Parking_Stockyard_South 24 Pgs_West Bengal</t>
  </si>
  <si>
    <t>Om Motors - Haidergarh_Stockyard_Barabanki_Uttar Pradesh</t>
  </si>
  <si>
    <t>Paras Stockyard_Stockyard_Saharanpur_Uttar Pradesh</t>
  </si>
  <si>
    <t>Pc Parking Yard 2_Stockyard_Varanasi_Uttar Pradesh</t>
  </si>
  <si>
    <t>Pc Parking-Faizabad_Stockyard_Uttar Pradesh</t>
  </si>
  <si>
    <t>Plasto Profile Yard - Kota_Stockyard_Rajasthan</t>
  </si>
  <si>
    <t>Pragati Logistics Pvt Ltd_Stockyard_Ghaziabad_Uttar Pradesh</t>
  </si>
  <si>
    <t>Pratiksha Parking Yard_Stockyard_Sirohi_Rajasthan</t>
  </si>
  <si>
    <t>Prithvi Parking Yard_Stockyard_Delhi</t>
  </si>
  <si>
    <t>Pushpa Devi Stock Yard_Stockyard_Aligarh_Uttar Pradesh</t>
  </si>
  <si>
    <t>Puspa Nath Stock Yard - Sambalpur_Stockyard_Odisha</t>
  </si>
  <si>
    <t>Radha Rani Parking Yard_Stockyard_Chandigarh</t>
  </si>
  <si>
    <t>Rahul Khajuria -Udhampur_Stockyard_Jammu</t>
  </si>
  <si>
    <t>Raj Kishore Yadav_Stockyard_Jamshedpur_Jharkhand</t>
  </si>
  <si>
    <t>Rajput Trading Company_Stockyard_Mau_Uttar Pradesh</t>
  </si>
  <si>
    <t>Raju Kumar-Janki Ventures Stock Yard_Stockyard_Bihta_Bihar</t>
  </si>
  <si>
    <t>Ramesh Chandra Ghiya_Stockyard_Jaipur_Rajasthan</t>
  </si>
  <si>
    <t>Ravinder Lather Parking Yard_Stockyard_Karnal_Haryana</t>
  </si>
  <si>
    <t>Rishabh Traders Parking Yard_Stockyard_Baran_Rajasthan</t>
  </si>
  <si>
    <t>Rm Tanvi Parking_Stockyard_Hooghly_West Bengal</t>
  </si>
  <si>
    <t>Rudrasagar Parking Yard_Stockyard_Guwahati_Assam</t>
  </si>
  <si>
    <t>S R Yard_Stockyard_Faridabad_Haryana</t>
  </si>
  <si>
    <t>S R Yard-Delhi_Stockyard_Delhi</t>
  </si>
  <si>
    <t>S S Parking Yard - Guwahati_Stockyard_Assam</t>
  </si>
  <si>
    <t>S.K. Transport_Stockyard_Angul_Odisha</t>
  </si>
  <si>
    <t>Sai Parking - Bhubaneswar_Stockyard_Bhubaneshwar_Odisha</t>
  </si>
  <si>
    <t>Sai Parking - Cuttack_Stockyard_Odisha</t>
  </si>
  <si>
    <t>Saini Parking Yard-Dausa_Stockyard_Rajasthan</t>
  </si>
  <si>
    <t>Santra Devi Gora Parking Yard_Stockyard_Sikar_Rajasthan</t>
  </si>
  <si>
    <t>Santra Devi Gora_Stockyard_Sikar_Rajasthan</t>
  </si>
  <si>
    <t>Shailendra Sanghvi_Stockyard_Banswara_Rajasthan</t>
  </si>
  <si>
    <t>Sharma Farm_Stockyard_Delhi</t>
  </si>
  <si>
    <t>Sharma Farm-Najafgarh_Stockyard_Delhi</t>
  </si>
  <si>
    <t>Shiv Shakti Parking Yard_Stockyard_Bulandshar_Uttar Pradesh</t>
  </si>
  <si>
    <t>Shree Gajanan Stockyard - Panikoili_Stockyard_Jajpur_Odisha</t>
  </si>
  <si>
    <t>Shree Ganesh_Stockyard_Cooch Behar_West Bengal</t>
  </si>
  <si>
    <t>Shree Karni Motors-Bijainagar  Ajmer_Stockyard_Rajasthan</t>
  </si>
  <si>
    <t>Shree Mahalaxmi Enterprises_Stockyard_Delhi</t>
  </si>
  <si>
    <t>Shri Baba Kal Bhairav Enterprises_Stockyard_Varanasi_Uttar Pradesh</t>
  </si>
  <si>
    <t>Shri Balaji Parking Yard_Stockyard_Dausa_Rajasthan</t>
  </si>
  <si>
    <t>Shri Balaji Parking Yard-Neem Ka Thana_Stockyard_Rajasthan</t>
  </si>
  <si>
    <t>Shri Balaji Parking Yard-Noida_Stockyard_Uttar Pradesh</t>
  </si>
  <si>
    <t>Shri Ganpati Auto Mall_Stockyard_Hapur_Uttar Pradesh</t>
  </si>
  <si>
    <t>Shri Ji Parking Yard-Bulandshahar_Stockyard_Bulandshar_Uttar Pradesh</t>
  </si>
  <si>
    <t>Shri Shiv Shakti Parking Yard_Stockyard_Ghaziabad_Uttar Pradesh</t>
  </si>
  <si>
    <t>Shriram Automall Bikaner_Stockyard_Rajasthan</t>
  </si>
  <si>
    <t>Shriram Automall Raipur_Stockyard_Durg_Chhattisgarh</t>
  </si>
  <si>
    <t>Shriram Yard Jamshedpur_Stockyard_Jharkhand</t>
  </si>
  <si>
    <t>Singh Yards_Stockyard_Bharatpur_Rajasthan</t>
  </si>
  <si>
    <t>Sk Stockyard-Cuttack_Stockyard_Odisha</t>
  </si>
  <si>
    <t>Star Garage_Stockyard_Allahabad_Uttar Pradesh</t>
  </si>
  <si>
    <t>Sukhpinder Singh_Stockyard_Chandigarh</t>
  </si>
  <si>
    <t>Thakur Parking Yard_Stockyard_Agra_Uttar Pradesh</t>
  </si>
  <si>
    <t>Tilak Motors_Stockyard_Agra_Uttar Pradesh</t>
  </si>
  <si>
    <t>Tirupati Associates_Stockyard_Ghaziabad_Uttar Pradesh</t>
  </si>
  <si>
    <t>Uttam Motor Agency_Stockyard_Imphal_Manipur</t>
  </si>
  <si>
    <t>V K Motors - Chinhut_Stockyard_Lucknow_Uttar Pradesh</t>
  </si>
  <si>
    <t>Vashnavi Parking Yard_Stockyard_Jhalawar_Rajasthan</t>
  </si>
  <si>
    <t>Vishal Parakh Parking Yard_Stockyard_Jodhpur_Rajasthan</t>
  </si>
  <si>
    <t>Waraich Parking Yard - Ludhiana_Stockyard_Punjab</t>
  </si>
  <si>
    <t>Yash Enterprises_Stockyard_Jind_Haryana</t>
  </si>
  <si>
    <t>Zorawar Singh_Stockyard_Mohali_Punjab</t>
  </si>
  <si>
    <t>MS. Yogendra Pareek &amp; Co._Stockyard_Jaipur_Rajasthan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</si>
</sst>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409]dd\-mmm\-yy;@"/>
    <numFmt numFmtId="166" formatCode="[$-409]d\-mmm\-yy;@"/>
  </numFmts>
  <fonts count="16" x14ac:knownFonts="1">
    <font>
      <sz val="11"/>
      <color theme="1"/>
      <name val="Calibri"/>
      <family val="2"/>
      <scheme val="minor"/>
    </font>
    <font>
      <sz val="11"/>
      <color theme="1"/>
      <name val="Calibri"/>
      <family val="2"/>
      <scheme val="minor"/>
    </font>
    <font>
      <b/>
      <sz val="10"/>
      <color theme="0"/>
      <name val="Book Antiqua"/>
      <family val="1"/>
    </font>
    <font>
      <b/>
      <sz val="10"/>
      <color theme="1"/>
      <name val="Book Antiqua"/>
      <family val="1"/>
    </font>
    <font>
      <sz val="10"/>
      <color theme="1"/>
      <name val="Book Antiqua"/>
      <family val="1"/>
    </font>
    <font>
      <u/>
      <sz val="11"/>
      <color theme="10"/>
      <name val="Calibri"/>
      <family val="2"/>
      <scheme val="minor"/>
    </font>
    <font>
      <sz val="10"/>
      <name val="Book Antiqua"/>
      <family val="1"/>
    </font>
    <font>
      <u/>
      <sz val="10"/>
      <name val="Book Antiqua"/>
      <family val="1"/>
    </font>
    <font>
      <b/>
      <sz val="9"/>
      <color indexed="81"/>
      <name val="Tahoma"/>
      <family val="2"/>
    </font>
    <font>
      <sz val="9"/>
      <color indexed="81"/>
      <name val="Tahoma"/>
      <family val="2"/>
    </font>
    <font>
      <sz val="10"/>
      <name val="Arial"/>
      <family val="2"/>
    </font>
    <font>
      <u/>
      <sz val="10"/>
      <color theme="10"/>
      <name val="Book Antiqua"/>
      <family val="1"/>
    </font>
    <font>
      <sz val="9"/>
      <name val="Book Antiqua"/>
      <family val="1"/>
    </font>
    <font>
      <sz val="9"/>
      <color theme="1"/>
      <name val="Book Antiqua"/>
      <family val="1"/>
    </font>
    <font>
      <sz val="9"/>
      <color theme="1"/>
      <name val="Calibri"/>
      <family val="2"/>
      <scheme val="minor"/>
    </font>
    <font>
      <sz val="11"/>
      <color theme="1"/>
      <name val="Book Antiqua"/>
      <family val="1"/>
    </font>
  </fonts>
  <fills count="7">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164" fontId="1" fillId="0" borderId="0" applyFont="0" applyFill="0" applyBorder="0" applyAlignment="0" applyProtection="0"/>
    <xf numFmtId="0" fontId="5" fillId="0" borderId="0" applyNumberFormat="0" applyFill="0" applyBorder="0" applyAlignment="0" applyProtection="0"/>
    <xf numFmtId="0" fontId="10" fillId="0" borderId="0"/>
  </cellStyleXfs>
  <cellXfs count="102">
    <xf numFmtId="0" fontId="0" fillId="0" borderId="0" xfId="0"/>
    <xf numFmtId="0" fontId="6" fillId="0" borderId="1" xfId="0" applyFont="1" applyBorder="1" applyAlignment="1">
      <alignment horizontal="left" vertical="center"/>
    </xf>
    <xf numFmtId="1" fontId="6" fillId="0" borderId="1" xfId="0" applyNumberFormat="1" applyFont="1" applyBorder="1" applyAlignment="1">
      <alignment horizontal="left" vertical="center"/>
    </xf>
    <xf numFmtId="165" fontId="6" fillId="0" borderId="1" xfId="0" applyNumberFormat="1" applyFont="1" applyBorder="1" applyAlignment="1">
      <alignment horizontal="left" vertical="center"/>
    </xf>
    <xf numFmtId="0" fontId="4" fillId="0" borderId="1" xfId="0" applyFont="1" applyBorder="1" applyAlignment="1">
      <alignment horizontal="left"/>
    </xf>
    <xf numFmtId="165" fontId="7" fillId="0" borderId="1" xfId="2" applyNumberFormat="1" applyFont="1" applyBorder="1" applyAlignment="1" applyProtection="1">
      <alignment horizontal="left" vertical="center"/>
    </xf>
    <xf numFmtId="166" fontId="6" fillId="0" borderId="1" xfId="0" applyNumberFormat="1" applyFont="1" applyBorder="1" applyAlignment="1">
      <alignment horizontal="left" vertical="center"/>
    </xf>
    <xf numFmtId="0" fontId="4" fillId="6" borderId="1" xfId="0" applyFont="1" applyFill="1" applyBorder="1" applyAlignment="1">
      <alignment horizontal="left" vertical="top"/>
    </xf>
    <xf numFmtId="165" fontId="6" fillId="0" borderId="1" xfId="0" applyNumberFormat="1" applyFont="1" applyBorder="1" applyAlignment="1">
      <alignment horizontal="left" vertical="center" wrapText="1"/>
    </xf>
    <xf numFmtId="0" fontId="0" fillId="0" borderId="0" xfId="0" applyAlignment="1"/>
    <xf numFmtId="0" fontId="14" fillId="0" borderId="0" xfId="0" applyFont="1"/>
    <xf numFmtId="165" fontId="12" fillId="0" borderId="1" xfId="0" applyNumberFormat="1" applyFont="1" applyBorder="1" applyAlignment="1">
      <alignment horizontal="left" vertical="center"/>
    </xf>
    <xf numFmtId="1" fontId="12" fillId="0" borderId="1" xfId="0" applyNumberFormat="1" applyFont="1" applyBorder="1" applyAlignment="1">
      <alignment horizontal="left" vertical="center"/>
    </xf>
    <xf numFmtId="165" fontId="12" fillId="5" borderId="1" xfId="2" applyNumberFormat="1" applyFont="1" applyFill="1" applyBorder="1" applyAlignment="1" applyProtection="1">
      <alignment horizontal="left" vertical="center"/>
    </xf>
    <xf numFmtId="0" fontId="14" fillId="0" borderId="0" xfId="0" applyFont="1" applyAlignment="1">
      <alignment wrapText="1"/>
    </xf>
    <xf numFmtId="0" fontId="12" fillId="0" borderId="1" xfId="0" applyFont="1" applyBorder="1" applyAlignment="1">
      <alignment horizontal="left" vertical="center"/>
    </xf>
    <xf numFmtId="0" fontId="3" fillId="3" borderId="2" xfId="0" applyFont="1" applyFill="1" applyBorder="1" applyAlignment="1">
      <alignment horizontal="left" vertical="top"/>
    </xf>
    <xf numFmtId="0" fontId="2" fillId="2" borderId="2" xfId="0" applyFont="1" applyFill="1" applyBorder="1" applyAlignment="1">
      <alignment horizontal="left" vertical="top"/>
    </xf>
    <xf numFmtId="164" fontId="2" fillId="2" borderId="2" xfId="1" applyFont="1" applyFill="1" applyBorder="1" applyAlignment="1">
      <alignment horizontal="left" vertical="top"/>
    </xf>
    <xf numFmtId="0" fontId="13" fillId="0" borderId="1" xfId="0" applyFont="1" applyBorder="1" applyAlignment="1">
      <alignment horizontal="left"/>
    </xf>
    <xf numFmtId="15" fontId="13" fillId="0" borderId="1" xfId="0" applyNumberFormat="1" applyFont="1" applyBorder="1" applyAlignment="1">
      <alignment horizontal="left"/>
    </xf>
    <xf numFmtId="0" fontId="12" fillId="0" borderId="1" xfId="0" applyFont="1" applyBorder="1" applyAlignment="1">
      <alignment horizontal="left" vertical="center" wrapText="1"/>
    </xf>
    <xf numFmtId="1" fontId="12" fillId="0" borderId="1" xfId="0" applyNumberFormat="1" applyFont="1" applyBorder="1" applyAlignment="1">
      <alignment horizontal="left" vertical="center" wrapText="1"/>
    </xf>
    <xf numFmtId="165" fontId="12" fillId="0" borderId="1" xfId="0" applyNumberFormat="1" applyFont="1" applyBorder="1" applyAlignment="1">
      <alignment horizontal="left" vertical="center" wrapText="1"/>
    </xf>
    <xf numFmtId="165" fontId="12" fillId="5" borderId="1" xfId="2" applyNumberFormat="1" applyFont="1" applyFill="1" applyBorder="1" applyAlignment="1" applyProtection="1">
      <alignment horizontal="left" vertical="center" wrapText="1"/>
    </xf>
    <xf numFmtId="0" fontId="13" fillId="6" borderId="1" xfId="0" applyFont="1" applyFill="1" applyBorder="1" applyAlignment="1">
      <alignment horizontal="left" vertical="top"/>
    </xf>
    <xf numFmtId="0" fontId="11" fillId="0" borderId="1" xfId="2" applyNumberFormat="1" applyFont="1" applyBorder="1" applyAlignment="1" applyProtection="1">
      <alignment horizontal="left" vertical="center"/>
    </xf>
    <xf numFmtId="165" fontId="13" fillId="0" borderId="1" xfId="0" applyNumberFormat="1" applyFont="1" applyBorder="1" applyAlignment="1">
      <alignment horizontal="left"/>
    </xf>
    <xf numFmtId="0" fontId="6" fillId="0" borderId="1" xfId="0" applyNumberFormat="1" applyFont="1" applyBorder="1" applyAlignment="1">
      <alignment horizontal="left" vertical="center"/>
    </xf>
    <xf numFmtId="0" fontId="6" fillId="0" borderId="1" xfId="0" applyNumberFormat="1" applyFont="1" applyBorder="1" applyAlignment="1">
      <alignment horizontal="left" vertical="center" wrapText="1"/>
    </xf>
    <xf numFmtId="165" fontId="7" fillId="0" borderId="1" xfId="2" applyNumberFormat="1" applyFont="1" applyBorder="1" applyAlignment="1" applyProtection="1">
      <alignment horizontal="left" vertical="center" wrapText="1"/>
    </xf>
    <xf numFmtId="0" fontId="4" fillId="6"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12" fillId="0" borderId="4" xfId="0" applyFont="1" applyBorder="1" applyAlignment="1">
      <alignment horizontal="left" vertical="center"/>
    </xf>
    <xf numFmtId="1" fontId="12" fillId="0" borderId="4" xfId="0" applyNumberFormat="1" applyFont="1" applyBorder="1" applyAlignment="1">
      <alignment horizontal="left" vertical="center"/>
    </xf>
    <xf numFmtId="165" fontId="12" fillId="0" borderId="4" xfId="0" applyNumberFormat="1" applyFont="1" applyBorder="1" applyAlignment="1">
      <alignment horizontal="left" vertical="center"/>
    </xf>
    <xf numFmtId="165" fontId="12" fillId="5" borderId="4" xfId="2" applyNumberFormat="1" applyFont="1" applyFill="1" applyBorder="1" applyAlignment="1" applyProtection="1">
      <alignment horizontal="left" vertical="center"/>
    </xf>
    <xf numFmtId="165" fontId="6" fillId="0" borderId="4" xfId="0" applyNumberFormat="1" applyFont="1" applyBorder="1" applyAlignment="1">
      <alignment horizontal="left" vertical="center"/>
    </xf>
    <xf numFmtId="0" fontId="4" fillId="0" borderId="4" xfId="0" applyFont="1" applyBorder="1" applyAlignment="1">
      <alignment horizontal="left"/>
    </xf>
    <xf numFmtId="0" fontId="11" fillId="0" borderId="4" xfId="2" applyNumberFormat="1" applyFont="1" applyBorder="1" applyAlignment="1" applyProtection="1">
      <alignment horizontal="left" vertical="center"/>
    </xf>
    <xf numFmtId="165" fontId="7" fillId="0" borderId="4" xfId="2" applyNumberFormat="1" applyFont="1" applyBorder="1" applyAlignment="1" applyProtection="1">
      <alignment horizontal="left" vertical="center"/>
    </xf>
    <xf numFmtId="0" fontId="6" fillId="0" borderId="4" xfId="0" applyFont="1" applyBorder="1" applyAlignment="1">
      <alignment horizontal="left" vertical="center"/>
    </xf>
    <xf numFmtId="166" fontId="6" fillId="0" borderId="4" xfId="0" applyNumberFormat="1" applyFont="1" applyBorder="1" applyAlignment="1">
      <alignment horizontal="left" vertical="center"/>
    </xf>
    <xf numFmtId="1" fontId="6" fillId="0" borderId="4" xfId="0" applyNumberFormat="1" applyFont="1" applyBorder="1" applyAlignment="1">
      <alignment horizontal="left" vertical="center"/>
    </xf>
    <xf numFmtId="0" fontId="4" fillId="6" borderId="4" xfId="0" applyFont="1" applyFill="1" applyBorder="1" applyAlignment="1">
      <alignment horizontal="left" vertical="top"/>
    </xf>
    <xf numFmtId="0" fontId="13" fillId="6" borderId="4" xfId="0" applyFont="1" applyFill="1" applyBorder="1" applyAlignment="1">
      <alignment horizontal="left" vertical="top"/>
    </xf>
    <xf numFmtId="0" fontId="13" fillId="0" borderId="4" xfId="0" applyFont="1" applyBorder="1" applyAlignment="1">
      <alignment horizontal="left"/>
    </xf>
    <xf numFmtId="15" fontId="13" fillId="0" borderId="4" xfId="0" applyNumberFormat="1" applyFont="1" applyBorder="1" applyAlignment="1">
      <alignment horizontal="left"/>
    </xf>
    <xf numFmtId="165" fontId="13" fillId="0" borderId="4" xfId="0" applyNumberFormat="1" applyFont="1" applyBorder="1" applyAlignment="1">
      <alignment horizontal="left"/>
    </xf>
    <xf numFmtId="0" fontId="2" fillId="2" borderId="5" xfId="0" applyFont="1" applyFill="1" applyBorder="1" applyAlignment="1">
      <alignment horizontal="left" vertical="center"/>
    </xf>
    <xf numFmtId="0" fontId="2" fillId="2" borderId="2" xfId="0" applyFont="1" applyFill="1" applyBorder="1" applyAlignment="1">
      <alignment horizontal="left" vertical="center"/>
    </xf>
    <xf numFmtId="164" fontId="2" fillId="2" borderId="2" xfId="1" applyFont="1" applyFill="1" applyBorder="1" applyAlignment="1">
      <alignment horizontal="left" vertical="center"/>
    </xf>
    <xf numFmtId="165" fontId="3" fillId="3" borderId="2" xfId="0" applyNumberFormat="1" applyFont="1" applyFill="1" applyBorder="1" applyAlignment="1">
      <alignment horizontal="left" vertical="center"/>
    </xf>
    <xf numFmtId="0" fontId="3" fillId="3" borderId="2" xfId="0" applyFont="1" applyFill="1" applyBorder="1" applyAlignment="1">
      <alignment horizontal="left" vertical="center"/>
    </xf>
    <xf numFmtId="165" fontId="2" fillId="2" borderId="2" xfId="0" applyNumberFormat="1" applyFont="1" applyFill="1" applyBorder="1" applyAlignment="1">
      <alignment horizontal="left" vertical="center"/>
    </xf>
    <xf numFmtId="166" fontId="2" fillId="2" borderId="2" xfId="0" applyNumberFormat="1" applyFont="1" applyFill="1" applyBorder="1" applyAlignment="1">
      <alignment horizontal="left" vertical="center"/>
    </xf>
    <xf numFmtId="0" fontId="2" fillId="4" borderId="2" xfId="0" applyFont="1" applyFill="1" applyBorder="1" applyAlignment="1">
      <alignment horizontal="left" vertical="center"/>
    </xf>
    <xf numFmtId="0" fontId="4" fillId="3" borderId="2" xfId="0" applyFont="1" applyFill="1" applyBorder="1" applyAlignment="1">
      <alignment horizontal="left" vertical="top"/>
    </xf>
    <xf numFmtId="0" fontId="12" fillId="0" borderId="6" xfId="0" applyFont="1" applyBorder="1" applyAlignment="1">
      <alignment horizontal="left" vertical="center"/>
    </xf>
    <xf numFmtId="0" fontId="12" fillId="0" borderId="8"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1" fontId="12" fillId="0" borderId="11" xfId="0" applyNumberFormat="1" applyFont="1" applyBorder="1" applyAlignment="1">
      <alignment horizontal="left" vertical="center"/>
    </xf>
    <xf numFmtId="165" fontId="12" fillId="0" borderId="11" xfId="0" applyNumberFormat="1" applyFont="1" applyBorder="1" applyAlignment="1">
      <alignment horizontal="left" vertical="center"/>
    </xf>
    <xf numFmtId="165" fontId="12" fillId="5" borderId="11" xfId="2" applyNumberFormat="1" applyFont="1" applyFill="1" applyBorder="1" applyAlignment="1" applyProtection="1">
      <alignment horizontal="left" vertical="center"/>
    </xf>
    <xf numFmtId="165" fontId="6" fillId="0" borderId="11" xfId="0" applyNumberFormat="1" applyFont="1" applyBorder="1" applyAlignment="1">
      <alignment horizontal="left" vertical="center"/>
    </xf>
    <xf numFmtId="0" fontId="4" fillId="0" borderId="11" xfId="0" applyFont="1" applyBorder="1" applyAlignment="1">
      <alignment horizontal="left"/>
    </xf>
    <xf numFmtId="1" fontId="6" fillId="0" borderId="11" xfId="0" applyNumberFormat="1" applyFont="1" applyBorder="1" applyAlignment="1">
      <alignment horizontal="left" vertical="center"/>
    </xf>
    <xf numFmtId="0" fontId="4" fillId="6" borderId="11" xfId="0" applyFont="1" applyFill="1" applyBorder="1" applyAlignment="1">
      <alignment horizontal="left" vertical="top"/>
    </xf>
    <xf numFmtId="0" fontId="13" fillId="6" borderId="11" xfId="0" applyFont="1" applyFill="1" applyBorder="1" applyAlignment="1">
      <alignment horizontal="left" vertical="top"/>
    </xf>
    <xf numFmtId="0" fontId="13" fillId="0" borderId="11" xfId="0" applyFont="1" applyBorder="1" applyAlignment="1">
      <alignment horizontal="left"/>
    </xf>
    <xf numFmtId="15" fontId="13" fillId="0" borderId="11" xfId="0" applyNumberFormat="1" applyFont="1" applyBorder="1" applyAlignment="1">
      <alignment horizontal="left"/>
    </xf>
    <xf numFmtId="165" fontId="13" fillId="0" borderId="11" xfId="0" applyNumberFormat="1" applyFont="1" applyBorder="1" applyAlignment="1">
      <alignment horizontal="left"/>
    </xf>
    <xf numFmtId="0" fontId="3" fillId="3" borderId="3" xfId="0" applyFont="1" applyFill="1" applyBorder="1" applyAlignment="1">
      <alignment horizontal="left" vertical="center"/>
    </xf>
    <xf numFmtId="165" fontId="12" fillId="0" borderId="7" xfId="0" applyNumberFormat="1" applyFont="1" applyBorder="1" applyAlignment="1">
      <alignment horizontal="left" vertical="center"/>
    </xf>
    <xf numFmtId="165" fontId="12" fillId="0" borderId="9" xfId="0" applyNumberFormat="1" applyFont="1" applyBorder="1" applyAlignment="1">
      <alignment horizontal="left" vertical="center"/>
    </xf>
    <xf numFmtId="165" fontId="12" fillId="0" borderId="9" xfId="0" applyNumberFormat="1" applyFont="1" applyBorder="1" applyAlignment="1">
      <alignment horizontal="left" vertical="center" wrapText="1"/>
    </xf>
    <xf numFmtId="165" fontId="12" fillId="0" borderId="12" xfId="0" applyNumberFormat="1" applyFont="1" applyBorder="1" applyAlignment="1">
      <alignment horizontal="left" vertical="center"/>
    </xf>
    <xf numFmtId="0" fontId="2" fillId="2" borderId="1" xfId="0" applyFont="1" applyFill="1" applyBorder="1" applyAlignment="1">
      <alignment horizontal="left" vertical="center"/>
    </xf>
    <xf numFmtId="0" fontId="3" fillId="3" borderId="1" xfId="0" applyFont="1" applyFill="1" applyBorder="1" applyAlignment="1">
      <alignment horizontal="left" vertical="center"/>
    </xf>
    <xf numFmtId="164" fontId="2" fillId="2" borderId="1" xfId="1" applyFont="1" applyFill="1" applyBorder="1" applyAlignment="1">
      <alignment horizontal="left" vertical="center"/>
    </xf>
    <xf numFmtId="0" fontId="3" fillId="3" borderId="1" xfId="0" applyFont="1" applyFill="1" applyBorder="1" applyAlignment="1">
      <alignment horizontal="left" vertical="top"/>
    </xf>
    <xf numFmtId="165" fontId="2" fillId="2" borderId="1" xfId="0" applyNumberFormat="1" applyFont="1" applyFill="1" applyBorder="1" applyAlignment="1">
      <alignment horizontal="left" vertical="center"/>
    </xf>
    <xf numFmtId="0" fontId="15" fillId="0" borderId="0" xfId="0" applyFont="1"/>
    <xf numFmtId="0" fontId="15" fillId="0" borderId="1" xfId="0" applyFont="1" applyBorder="1"/>
    <xf numFmtId="0" fontId="15" fillId="0" borderId="1" xfId="0" applyFont="1" applyFill="1" applyBorder="1"/>
    <xf numFmtId="0" fontId="4" fillId="0" borderId="1" xfId="0" applyFont="1" applyBorder="1"/>
    <xf numFmtId="0" fontId="4" fillId="0" borderId="1" xfId="0" applyFont="1" applyFill="1" applyBorder="1"/>
    <xf numFmtId="165" fontId="6" fillId="5" borderId="1" xfId="2" applyNumberFormat="1" applyFont="1" applyFill="1" applyBorder="1" applyAlignment="1" applyProtection="1">
      <alignment horizontal="left" vertical="center"/>
    </xf>
    <xf numFmtId="0" fontId="11" fillId="0" borderId="1" xfId="2" applyFont="1" applyBorder="1" applyAlignment="1">
      <alignment horizontal="left"/>
    </xf>
    <xf numFmtId="0" fontId="11" fillId="0" borderId="1" xfId="2" applyFont="1" applyBorder="1"/>
    <xf numFmtId="0" fontId="0" fillId="0" borderId="0" xfId="0" applyNumberFormat="1"/>
    <xf numFmtId="0" fontId="5" fillId="0" borderId="1" xfId="2" applyBorder="1"/>
    <xf numFmtId="164" fontId="2" fillId="2" borderId="13" xfId="1" applyFont="1" applyFill="1" applyBorder="1" applyAlignment="1">
      <alignment vertical="top"/>
    </xf>
    <xf numFmtId="165" fontId="3" fillId="3" borderId="1" xfId="0" applyNumberFormat="1" applyFont="1" applyFill="1" applyBorder="1" applyAlignment="1">
      <alignment horizontal="left" vertical="center"/>
    </xf>
    <xf numFmtId="0" fontId="3" fillId="3" borderId="1" xfId="0" applyNumberFormat="1" applyFont="1" applyFill="1" applyBorder="1" applyAlignment="1">
      <alignment horizontal="left" vertical="center"/>
    </xf>
    <xf numFmtId="0" fontId="6" fillId="5" borderId="1" xfId="2" applyNumberFormat="1" applyFont="1" applyFill="1" applyBorder="1" applyAlignment="1" applyProtection="1">
      <alignment horizontal="left" vertical="center"/>
    </xf>
    <xf numFmtId="0" fontId="15" fillId="0" borderId="1" xfId="0" applyFont="1" applyBorder="1" applyAlignment="1"/>
    <xf numFmtId="164" fontId="2" fillId="2" borderId="14" xfId="1" applyFont="1" applyFill="1" applyBorder="1" applyAlignment="1">
      <alignment vertical="top"/>
    </xf>
    <xf numFmtId="165" fontId="12" fillId="0" borderId="15" xfId="0" applyNumberFormat="1" applyFont="1" applyBorder="1" applyAlignment="1">
      <alignment horizontal="left" vertical="center"/>
    </xf>
    <xf numFmtId="165" fontId="12" fillId="0" borderId="16" xfId="0" applyNumberFormat="1" applyFont="1" applyBorder="1" applyAlignment="1">
      <alignment horizontal="left" vertical="center"/>
    </xf>
    <xf numFmtId="165" fontId="12" fillId="0" borderId="17" xfId="0" applyNumberFormat="1" applyFont="1" applyBorder="1" applyAlignment="1">
      <alignment horizontal="left" vertical="center"/>
    </xf>
  </cellXfs>
  <cellStyles count="4">
    <cellStyle name="Currency" xfId="1" builtinId="4"/>
    <cellStyle name="Hyperlink" xfId="2" builtinId="8"/>
    <cellStyle name="Normal" xfId="0" builtinId="0"/>
    <cellStyle name="Normal 2" xfId="3" xr:uid="{7A2BA997-3B03-4D78-8E1D-14E62458A3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nidhi_kgdn@rediffmail.com" TargetMode="External"/><Relationship Id="rId117" Type="http://schemas.openxmlformats.org/officeDocument/2006/relationships/hyperlink" Target="mailto:YESBANKAGPO@GMAIL.COM" TargetMode="External"/><Relationship Id="rId21" Type="http://schemas.openxmlformats.org/officeDocument/2006/relationships/hyperlink" Target="mailto:pentagonhouse@gmail.com" TargetMode="External"/><Relationship Id="rId42" Type="http://schemas.openxmlformats.org/officeDocument/2006/relationships/hyperlink" Target="mailto:GOODLUCK65D@GMAIL.COM" TargetMode="External"/><Relationship Id="rId47" Type="http://schemas.openxmlformats.org/officeDocument/2006/relationships/hyperlink" Target="mailto:earthservices17@gmail.com" TargetMode="External"/><Relationship Id="rId63" Type="http://schemas.openxmlformats.org/officeDocument/2006/relationships/hyperlink" Target="mailto:SBANSAL@TOTALSOLUTIONSMAIL.COM" TargetMode="External"/><Relationship Id="rId68" Type="http://schemas.openxmlformats.org/officeDocument/2006/relationships/hyperlink" Target="mailto:evergreensolutionybl@gmail.com" TargetMode="External"/><Relationship Id="rId84" Type="http://schemas.openxmlformats.org/officeDocument/2006/relationships/hyperlink" Target="mailto:sanji_31@hotmail.com" TargetMode="External"/><Relationship Id="rId89" Type="http://schemas.openxmlformats.org/officeDocument/2006/relationships/hyperlink" Target="mailto:trishaktiservices@gmail.com" TargetMode="External"/><Relationship Id="rId112" Type="http://schemas.openxmlformats.org/officeDocument/2006/relationships/hyperlink" Target="mailto:nidhi_kgdn@rediffmail.com" TargetMode="External"/><Relationship Id="rId16" Type="http://schemas.openxmlformats.org/officeDocument/2006/relationships/hyperlink" Target="mailto:pnservices2@pnservices2.co.in" TargetMode="External"/><Relationship Id="rId107" Type="http://schemas.openxmlformats.org/officeDocument/2006/relationships/hyperlink" Target="mailto:collections5@aimcorporate.co" TargetMode="External"/><Relationship Id="rId11" Type="http://schemas.openxmlformats.org/officeDocument/2006/relationships/hyperlink" Target="mailto:icaresecurities54@gmail.com" TargetMode="External"/><Relationship Id="rId32" Type="http://schemas.openxmlformats.org/officeDocument/2006/relationships/hyperlink" Target="mailto:argroupalwar@gmail.com" TargetMode="External"/><Relationship Id="rId37" Type="http://schemas.openxmlformats.org/officeDocument/2006/relationships/hyperlink" Target="mailto:Rahul.arora@kpcmservices.com;%20kcpm" TargetMode="External"/><Relationship Id="rId53" Type="http://schemas.openxmlformats.org/officeDocument/2006/relationships/hyperlink" Target="mailto:DHK_AGRA@YAHOO.COM" TargetMode="External"/><Relationship Id="rId58" Type="http://schemas.openxmlformats.org/officeDocument/2006/relationships/hyperlink" Target="mailto:kalyaniyesbank.patna@gmail.com" TargetMode="External"/><Relationship Id="rId74" Type="http://schemas.openxmlformats.org/officeDocument/2006/relationships/hyperlink" Target="mailto:PARADIGM9INC@GMAIL.COM;" TargetMode="External"/><Relationship Id="rId79" Type="http://schemas.openxmlformats.org/officeDocument/2006/relationships/hyperlink" Target="mailto:ramassociates79@gmail.com" TargetMode="External"/><Relationship Id="rId102" Type="http://schemas.openxmlformats.org/officeDocument/2006/relationships/hyperlink" Target="mailto:prabhakar.globalmanagement@gmail.com" TargetMode="External"/><Relationship Id="rId123" Type="http://schemas.openxmlformats.org/officeDocument/2006/relationships/comments" Target="../comments1.xml"/><Relationship Id="rId5" Type="http://schemas.openxmlformats.org/officeDocument/2006/relationships/hyperlink" Target="mailto:collection.ybkol@urenus.in" TargetMode="External"/><Relationship Id="rId90" Type="http://schemas.openxmlformats.org/officeDocument/2006/relationships/hyperlink" Target="mailto:trishaktiservices@gmail.com" TargetMode="External"/><Relationship Id="rId95" Type="http://schemas.openxmlformats.org/officeDocument/2006/relationships/hyperlink" Target="mailto:raghuarora1988@gmail.com" TargetMode="External"/><Relationship Id="rId22" Type="http://schemas.openxmlformats.org/officeDocument/2006/relationships/hyperlink" Target="mailto:ssab@sabherwal.com" TargetMode="External"/><Relationship Id="rId27" Type="http://schemas.openxmlformats.org/officeDocument/2006/relationships/hyperlink" Target="mailto:fairadvisory.jsr@gmail.com;%20collection" TargetMode="External"/><Relationship Id="rId43" Type="http://schemas.openxmlformats.org/officeDocument/2006/relationships/hyperlink" Target="mailto:Sanvifiancial@gmail.com" TargetMode="External"/><Relationship Id="rId48" Type="http://schemas.openxmlformats.org/officeDocument/2006/relationships/hyperlink" Target="mailto:earth4@earthservices.in" TargetMode="External"/><Relationship Id="rId64" Type="http://schemas.openxmlformats.org/officeDocument/2006/relationships/hyperlink" Target="mailto:mandhaone@yahoo.com" TargetMode="External"/><Relationship Id="rId69" Type="http://schemas.openxmlformats.org/officeDocument/2006/relationships/hyperlink" Target="mailto:info@wayoutsolutions.in" TargetMode="External"/><Relationship Id="rId113" Type="http://schemas.openxmlformats.org/officeDocument/2006/relationships/hyperlink" Target="mailto:fairadvisory.jsr@gmail.com;%20collection" TargetMode="External"/><Relationship Id="rId118" Type="http://schemas.openxmlformats.org/officeDocument/2006/relationships/hyperlink" Target="mailto:excelbat@yahoo.co.in" TargetMode="External"/><Relationship Id="rId80" Type="http://schemas.openxmlformats.org/officeDocument/2006/relationships/hyperlink" Target="mailto:rawla.associates02@gmail.com" TargetMode="External"/><Relationship Id="rId85" Type="http://schemas.openxmlformats.org/officeDocument/2006/relationships/hyperlink" Target="mailto:shrikrishna.raj2011@gmail.com" TargetMode="External"/><Relationship Id="rId12" Type="http://schemas.openxmlformats.org/officeDocument/2006/relationships/hyperlink" Target="mailto:icare@icsk.co.in" TargetMode="External"/><Relationship Id="rId17" Type="http://schemas.openxmlformats.org/officeDocument/2006/relationships/hyperlink" Target="mailto:servicespn14@gmail.com" TargetMode="External"/><Relationship Id="rId33" Type="http://schemas.openxmlformats.org/officeDocument/2006/relationships/hyperlink" Target="mailto:gurman.yesbank@gmail.com%20;%20sukh" TargetMode="External"/><Relationship Id="rId38" Type="http://schemas.openxmlformats.org/officeDocument/2006/relationships/hyperlink" Target="mailto:sushant.sharma@oxfords.co.in" TargetMode="External"/><Relationship Id="rId59" Type="http://schemas.openxmlformats.org/officeDocument/2006/relationships/hyperlink" Target="mailto:GLS.OWNERS@GOLDLINE.NET.IN" TargetMode="External"/><Relationship Id="rId103" Type="http://schemas.openxmlformats.org/officeDocument/2006/relationships/hyperlink" Target="mailto:ninad.global@gmail.com/collection.globalmanagement@gmail.com/rishi.globalmanagement@gmail.com" TargetMode="External"/><Relationship Id="rId108" Type="http://schemas.openxmlformats.org/officeDocument/2006/relationships/hyperlink" Target="mailto:puneet.kumar9972@gmail.com" TargetMode="External"/><Relationship Id="rId54" Type="http://schemas.openxmlformats.org/officeDocument/2006/relationships/hyperlink" Target="mailto:manish@reliconnect.com;collection3@reliconnect.co.in" TargetMode="External"/><Relationship Id="rId70" Type="http://schemas.openxmlformats.org/officeDocument/2006/relationships/hyperlink" Target="mailto:saienterprisesyb@saient.co.in" TargetMode="External"/><Relationship Id="rId75" Type="http://schemas.openxmlformats.org/officeDocument/2006/relationships/hyperlink" Target="mailto:sunshinecollxn@yahoo.co.in,sunshinecollxn@yahoo.co.in" TargetMode="External"/><Relationship Id="rId91" Type="http://schemas.openxmlformats.org/officeDocument/2006/relationships/hyperlink" Target="mailto:SAREPO@REDIFFMAIL.COM" TargetMode="External"/><Relationship Id="rId96" Type="http://schemas.openxmlformats.org/officeDocument/2006/relationships/hyperlink" Target="mailto:uniqueindia1994@gmail.com" TargetMode="External"/><Relationship Id="rId1" Type="http://schemas.openxmlformats.org/officeDocument/2006/relationships/hyperlink" Target="mailto:y.enterprises2009@gmail.com,yenterprises.yesbank@gmail.com" TargetMode="External"/><Relationship Id="rId6" Type="http://schemas.openxmlformats.org/officeDocument/2006/relationships/hyperlink" Target="mailto:biswajitdeyrepo@gmail.com" TargetMode="External"/><Relationship Id="rId23" Type="http://schemas.openxmlformats.org/officeDocument/2006/relationships/hyperlink" Target="mailto:sanjeevsabherwal@hotmail.com" TargetMode="External"/><Relationship Id="rId28" Type="http://schemas.openxmlformats.org/officeDocument/2006/relationships/hyperlink" Target="mailto:rsrepossessionagency88@gmail.com" TargetMode="External"/><Relationship Id="rId49" Type="http://schemas.openxmlformats.org/officeDocument/2006/relationships/hyperlink" Target="mailto:ishaanassociates2@gmail.com" TargetMode="External"/><Relationship Id="rId114" Type="http://schemas.openxmlformats.org/officeDocument/2006/relationships/hyperlink" Target="mailto:nidhi_kgdn@rediffmail.com" TargetMode="External"/><Relationship Id="rId119" Type="http://schemas.openxmlformats.org/officeDocument/2006/relationships/hyperlink" Target="mailto:excelbat@yahoo.co.in" TargetMode="External"/><Relationship Id="rId44" Type="http://schemas.openxmlformats.org/officeDocument/2006/relationships/hyperlink" Target="mailto:vikassinsinwar7@gmail.com" TargetMode="External"/><Relationship Id="rId60" Type="http://schemas.openxmlformats.org/officeDocument/2006/relationships/hyperlink" Target="mailto:MCC.YES@REDIFFMAIL.COM" TargetMode="External"/><Relationship Id="rId65" Type="http://schemas.openxmlformats.org/officeDocument/2006/relationships/hyperlink" Target="mailto:mmassociates0786@gmail.com" TargetMode="External"/><Relationship Id="rId81" Type="http://schemas.openxmlformats.org/officeDocument/2006/relationships/hyperlink" Target="mailto:contact@rkassociatesmbd.com" TargetMode="External"/><Relationship Id="rId86" Type="http://schemas.openxmlformats.org/officeDocument/2006/relationships/hyperlink" Target="mailto:shrikrishna.udaipur@gmail.com" TargetMode="External"/><Relationship Id="rId4" Type="http://schemas.openxmlformats.org/officeDocument/2006/relationships/hyperlink" Target="mailto:collection_76@sakshamenforce.com" TargetMode="External"/><Relationship Id="rId9" Type="http://schemas.openxmlformats.org/officeDocument/2006/relationships/hyperlink" Target="mailto:info@saviiour.com" TargetMode="External"/><Relationship Id="rId13" Type="http://schemas.openxmlformats.org/officeDocument/2006/relationships/hyperlink" Target="mailto:cbgroupjaipur01@gmail.com" TargetMode="External"/><Relationship Id="rId18" Type="http://schemas.openxmlformats.org/officeDocument/2006/relationships/hyperlink" Target="mailto:collection@easylinks.co.in,easywayneworg@gmail.com" TargetMode="External"/><Relationship Id="rId39" Type="http://schemas.openxmlformats.org/officeDocument/2006/relationships/hyperlink" Target="mailto:GOODLUCK65D@GMAIL.COM" TargetMode="External"/><Relationship Id="rId109" Type="http://schemas.openxmlformats.org/officeDocument/2006/relationships/hyperlink" Target="mailto:ib@resolutionachievers.com" TargetMode="External"/><Relationship Id="rId34" Type="http://schemas.openxmlformats.org/officeDocument/2006/relationships/hyperlink" Target="mailto:himanshudeltaservices@gmail.com;anilsharmaojas1@gmail.com" TargetMode="External"/><Relationship Id="rId50" Type="http://schemas.openxmlformats.org/officeDocument/2006/relationships/hyperlink" Target="mailto:mayankmohale@gmail.com" TargetMode="External"/><Relationship Id="rId55" Type="http://schemas.openxmlformats.org/officeDocument/2006/relationships/hyperlink" Target="mailto:Info3@sparkdsmg.com" TargetMode="External"/><Relationship Id="rId76" Type="http://schemas.openxmlformats.org/officeDocument/2006/relationships/hyperlink" Target="mailto:rk.hdagra@gmail.com,rk.hdagra@gmail.com" TargetMode="External"/><Relationship Id="rId97" Type="http://schemas.openxmlformats.org/officeDocument/2006/relationships/hyperlink" Target="mailto:satveeryadav200@gmail.com" TargetMode="External"/><Relationship Id="rId104" Type="http://schemas.openxmlformats.org/officeDocument/2006/relationships/hyperlink" Target="mailto:prabhakar.globalmanagement@gmail.com" TargetMode="External"/><Relationship Id="rId120" Type="http://schemas.openxmlformats.org/officeDocument/2006/relationships/hyperlink" Target="mailto:kalyaniyesbank.patna@gmail.com" TargetMode="External"/><Relationship Id="rId7" Type="http://schemas.openxmlformats.org/officeDocument/2006/relationships/hyperlink" Target="mailto:Manav@managementser.com;%20hr@mser.co.in" TargetMode="External"/><Relationship Id="rId71" Type="http://schemas.openxmlformats.org/officeDocument/2006/relationships/hyperlink" Target="mailto:mcs@chandansaha.com" TargetMode="External"/><Relationship Id="rId92" Type="http://schemas.openxmlformats.org/officeDocument/2006/relationships/hyperlink" Target="mailto:info@sunassociates2121.com" TargetMode="External"/><Relationship Id="rId2" Type="http://schemas.openxmlformats.org/officeDocument/2006/relationships/hyperlink" Target="mailto:aarya.repo2014@gmail.com" TargetMode="External"/><Relationship Id="rId29" Type="http://schemas.openxmlformats.org/officeDocument/2006/relationships/hyperlink" Target="mailto:jkcs.krish@gmail.com" TargetMode="External"/><Relationship Id="rId24" Type="http://schemas.openxmlformats.org/officeDocument/2006/relationships/hyperlink" Target="mailto:YESBANKAGPO@GMAIL.COM" TargetMode="External"/><Relationship Id="rId40" Type="http://schemas.openxmlformats.org/officeDocument/2006/relationships/hyperlink" Target="mailto:info@shreebalaji276.in" TargetMode="External"/><Relationship Id="rId45" Type="http://schemas.openxmlformats.org/officeDocument/2006/relationships/hyperlink" Target="mailto:waves.enterprises0@gmail.com" TargetMode="External"/><Relationship Id="rId66" Type="http://schemas.openxmlformats.org/officeDocument/2006/relationships/hyperlink" Target="mailto:prabhakar.rajmanagement@gmail.com" TargetMode="External"/><Relationship Id="rId87" Type="http://schemas.openxmlformats.org/officeDocument/2006/relationships/hyperlink" Target="mailto:collections.sma@shreemahadevi.com" TargetMode="External"/><Relationship Id="rId110" Type="http://schemas.openxmlformats.org/officeDocument/2006/relationships/hyperlink" Target="mailto:nidhi_kgdn@rediffmail.com" TargetMode="External"/><Relationship Id="rId115" Type="http://schemas.openxmlformats.org/officeDocument/2006/relationships/hyperlink" Target="mailto:fairadvisory.jsr@gmail.com;%20collection" TargetMode="External"/><Relationship Id="rId61" Type="http://schemas.openxmlformats.org/officeDocument/2006/relationships/hyperlink" Target="mailto:KKTYAGI786@REDIFFMAIL.COM" TargetMode="External"/><Relationship Id="rId82" Type="http://schemas.openxmlformats.org/officeDocument/2006/relationships/hyperlink" Target="mailto:Infoyes@sainiassociates.co.in" TargetMode="External"/><Relationship Id="rId19" Type="http://schemas.openxmlformats.org/officeDocument/2006/relationships/hyperlink" Target="mailto:baiswaraassociates_2009@rediffmail.com/" TargetMode="External"/><Relationship Id="rId14" Type="http://schemas.openxmlformats.org/officeDocument/2006/relationships/hyperlink" Target="mailto:cbgalwar2018@gmail.com" TargetMode="External"/><Relationship Id="rId30" Type="http://schemas.openxmlformats.org/officeDocument/2006/relationships/hyperlink" Target="mailto:ajaykgupta76@rediffmail.com/jkcs.krish@gmail.com" TargetMode="External"/><Relationship Id="rId35" Type="http://schemas.openxmlformats.org/officeDocument/2006/relationships/hyperlink" Target="mailto:infinityservicescg2021@infinityfirst.onmicrosoft.com" TargetMode="External"/><Relationship Id="rId56" Type="http://schemas.openxmlformats.org/officeDocument/2006/relationships/hyperlink" Target="mailto:puneet.kumar9972@gmail.com" TargetMode="External"/><Relationship Id="rId77" Type="http://schemas.openxmlformats.org/officeDocument/2006/relationships/hyperlink" Target="mailto:rk.hdagra@gmail.com" TargetMode="External"/><Relationship Id="rId100" Type="http://schemas.openxmlformats.org/officeDocument/2006/relationships/hyperlink" Target="mailto:vhmanagementservices8913@gmail.com" TargetMode="External"/><Relationship Id="rId105" Type="http://schemas.openxmlformats.org/officeDocument/2006/relationships/hyperlink" Target="mailto:ninad.global@gmail.com/collection.globalmanagement@gmail.com/rishi.globalmanagement@gmail.com" TargetMode="External"/><Relationship Id="rId8" Type="http://schemas.openxmlformats.org/officeDocument/2006/relationships/hyperlink" Target="mailto:relief_repo@rediffmail.com/repo.relief@yahoo.com/relief.repo@gmail.com" TargetMode="External"/><Relationship Id="rId51" Type="http://schemas.openxmlformats.org/officeDocument/2006/relationships/hyperlink" Target="mailto:kol.collection@jkassociate.co.in" TargetMode="External"/><Relationship Id="rId72" Type="http://schemas.openxmlformats.org/officeDocument/2006/relationships/hyperlink" Target="mailto:aba.guwahati@gmail.com;" TargetMode="External"/><Relationship Id="rId93" Type="http://schemas.openxmlformats.org/officeDocument/2006/relationships/hyperlink" Target="mailto:swarnikaassociates@gmail.com,Swarnikayesbank@gmail.com" TargetMode="External"/><Relationship Id="rId98" Type="http://schemas.openxmlformats.org/officeDocument/2006/relationships/hyperlink" Target="mailto:swadesh.dgp@gmail.com" TargetMode="External"/><Relationship Id="rId121" Type="http://schemas.openxmlformats.org/officeDocument/2006/relationships/hyperlink" Target="mailto:kalyaniyesbank.patna@gmail.com" TargetMode="External"/><Relationship Id="rId3" Type="http://schemas.openxmlformats.org/officeDocument/2006/relationships/hyperlink" Target="mailto:ysethi@aimsanjay.com" TargetMode="External"/><Relationship Id="rId25" Type="http://schemas.openxmlformats.org/officeDocument/2006/relationships/hyperlink" Target="mailto:collections5@aimcorporate.co" TargetMode="External"/><Relationship Id="rId46" Type="http://schemas.openxmlformats.org/officeDocument/2006/relationships/hyperlink" Target="mailto:Waves.Manoj14@Gmail.com%20," TargetMode="External"/><Relationship Id="rId67" Type="http://schemas.openxmlformats.org/officeDocument/2006/relationships/hyperlink" Target="mailto:evergreen.solution@rediffmail.com" TargetMode="External"/><Relationship Id="rId116" Type="http://schemas.openxmlformats.org/officeDocument/2006/relationships/hyperlink" Target="mailto:YESBANKAGPO@GMAIL.COM" TargetMode="External"/><Relationship Id="rId20" Type="http://schemas.openxmlformats.org/officeDocument/2006/relationships/hyperlink" Target="mailto:baiswaraassociates@gmail.com" TargetMode="External"/><Relationship Id="rId41" Type="http://schemas.openxmlformats.org/officeDocument/2006/relationships/hyperlink" Target="mailto:shreebalaji276@gmail.com" TargetMode="External"/><Relationship Id="rId62" Type="http://schemas.openxmlformats.org/officeDocument/2006/relationships/hyperlink" Target="mailto:collections.yesbank@e-solvesolutions.com" TargetMode="External"/><Relationship Id="rId83" Type="http://schemas.openxmlformats.org/officeDocument/2006/relationships/hyperlink" Target="mailto:ambitiousenterprises5@gmail.com,ambitiousenterprises2@gmail.com" TargetMode="External"/><Relationship Id="rId88" Type="http://schemas.openxmlformats.org/officeDocument/2006/relationships/hyperlink" Target="mailto:ajay.singh@goldenhawk.co.in" TargetMode="External"/><Relationship Id="rId111" Type="http://schemas.openxmlformats.org/officeDocument/2006/relationships/hyperlink" Target="mailto:fairadvisory.jsr@gmail.com;%20collection" TargetMode="External"/><Relationship Id="rId15" Type="http://schemas.openxmlformats.org/officeDocument/2006/relationships/hyperlink" Target="mailto:nationalyesbank@gmail.com" TargetMode="External"/><Relationship Id="rId36" Type="http://schemas.openxmlformats.org/officeDocument/2006/relationships/hyperlink" Target="mailto:fkassociate788@gmail.com" TargetMode="External"/><Relationship Id="rId57" Type="http://schemas.openxmlformats.org/officeDocument/2006/relationships/hyperlink" Target="mailto:ib@resolutionachievers.com" TargetMode="External"/><Relationship Id="rId106" Type="http://schemas.openxmlformats.org/officeDocument/2006/relationships/hyperlink" Target="mailto:collections5@aimcorporate.co" TargetMode="External"/><Relationship Id="rId10" Type="http://schemas.openxmlformats.org/officeDocument/2006/relationships/hyperlink" Target="mailto:posmovyb@gmail.com%20;%20for%20operational%20work;mal.sudhir@gmail.com%20;%20for%20billing;%20payout;escalations;etc,collectionsyb@posmov.com" TargetMode="External"/><Relationship Id="rId31" Type="http://schemas.openxmlformats.org/officeDocument/2006/relationships/hyperlink" Target="mailto:excelbat@yahoo.co.in" TargetMode="External"/><Relationship Id="rId52" Type="http://schemas.openxmlformats.org/officeDocument/2006/relationships/hyperlink" Target="mailto:GLOBALAGRA@GMAIL.COM" TargetMode="External"/><Relationship Id="rId73" Type="http://schemas.openxmlformats.org/officeDocument/2006/relationships/hyperlink" Target="mailto:yashenterprises207@gmail.com" TargetMode="External"/><Relationship Id="rId78" Type="http://schemas.openxmlformats.org/officeDocument/2006/relationships/hyperlink" Target="mailto:fusion_financier@yahoo.com" TargetMode="External"/><Relationship Id="rId94" Type="http://schemas.openxmlformats.org/officeDocument/2006/relationships/hyperlink" Target="mailto:dubey_awadhesh@rediffmail.com" TargetMode="External"/><Relationship Id="rId99" Type="http://schemas.openxmlformats.org/officeDocument/2006/relationships/hyperlink" Target="mailto:zenith.ybc@gmail.com" TargetMode="External"/><Relationship Id="rId101" Type="http://schemas.openxmlformats.org/officeDocument/2006/relationships/hyperlink" Target="mailto:awadh.rishk@gmail.com" TargetMode="External"/><Relationship Id="rId12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17" Type="http://schemas.openxmlformats.org/officeDocument/2006/relationships/hyperlink" Target="mailto:singh_repo44@rediffmail.com" TargetMode="External"/><Relationship Id="rId21" Type="http://schemas.openxmlformats.org/officeDocument/2006/relationships/hyperlink" Target="mailto:collection_76@sakshamenforce.com" TargetMode="External"/><Relationship Id="rId42" Type="http://schemas.openxmlformats.org/officeDocument/2006/relationships/hyperlink" Target="mailto:vhmanagementservices8913@gmail.com" TargetMode="External"/><Relationship Id="rId63" Type="http://schemas.openxmlformats.org/officeDocument/2006/relationships/hyperlink" Target="mailto:pentagonhouse@gmail.com" TargetMode="External"/><Relationship Id="rId84" Type="http://schemas.openxmlformats.org/officeDocument/2006/relationships/hyperlink" Target="mailto:abhinav.lal2@yes.bank.in,sameer.dhar@yes.bank.in,sanjeev.kumar30@yes.bank.in,dipak.dhandhukiya@yes.bank.in,sekhar.gundala1@yes.bank.in,SAGAR.CHOUDHARI@yes.bank.in" TargetMode="External"/><Relationship Id="rId16" Type="http://schemas.openxmlformats.org/officeDocument/2006/relationships/hyperlink" Target="mailto:fairadvisory.jsr@gmail.com;%20collection" TargetMode="External"/><Relationship Id="rId107" Type="http://schemas.openxmlformats.org/officeDocument/2006/relationships/hyperlink" Target="mailto:abhinav.lal2@yes.bank.in,sameer.dhar@yes.bank.in,sanjeev.kumar30@yes.bank.in,dipak.dhandhukiya@yes.bank.in,sekhar.gundala1@yes.bank.in,SAGAR.CHOUDHARI@yes.bank.in" TargetMode="External"/><Relationship Id="rId11" Type="http://schemas.openxmlformats.org/officeDocument/2006/relationships/hyperlink" Target="mailto:contact@rkassociatesmbd.com" TargetMode="External"/><Relationship Id="rId32" Type="http://schemas.openxmlformats.org/officeDocument/2006/relationships/hyperlink" Target="mailto:collections5@aimcorporate.co" TargetMode="External"/><Relationship Id="rId37" Type="http://schemas.openxmlformats.org/officeDocument/2006/relationships/hyperlink" Target="mailto:rk.hdagra@gmail.com,rk.hdagra@gmail.com" TargetMode="External"/><Relationship Id="rId53" Type="http://schemas.openxmlformats.org/officeDocument/2006/relationships/hyperlink" Target="mailto:ajaykgupta76@rediffmail.com/jkcs.krish@gmail.com" TargetMode="External"/><Relationship Id="rId58" Type="http://schemas.openxmlformats.org/officeDocument/2006/relationships/hyperlink" Target="mailto:GLOBALAGRA@GMAIL.COM" TargetMode="External"/><Relationship Id="rId74" Type="http://schemas.openxmlformats.org/officeDocument/2006/relationships/hyperlink" Target="mailto:biswajitdeyrepo@gmail.com" TargetMode="External"/><Relationship Id="rId79" Type="http://schemas.openxmlformats.org/officeDocument/2006/relationships/hyperlink" Target="mailto:abhinav.lal2@yes.bank.in,sameer.dhar@yes.bank.in,sanjeev.kumar30@yes.bank.in,dipak.dhandhukiya@yes.bank.in,sekhar.gundala1@yes.bank.in,SAGAR.CHOUDHARI@yes.bank.in" TargetMode="External"/><Relationship Id="rId102" Type="http://schemas.openxmlformats.org/officeDocument/2006/relationships/hyperlink" Target="mailto:abhinav.lal2@yes.bank.in,sameer.dhar@yes.bank.in,sanjeev.kumar30@yes.bank.in,dipak.dhandhukiya@yes.bank.in,sekhar.gundala1@yes.bank.in,SAGAR.CHOUDHARI@yes.bank.in" TargetMode="External"/><Relationship Id="rId123" Type="http://schemas.openxmlformats.org/officeDocument/2006/relationships/hyperlink" Target="mailto:tomarautorecovery@gmail.com" TargetMode="External"/><Relationship Id="rId128" Type="http://schemas.openxmlformats.org/officeDocument/2006/relationships/hyperlink" Target="mailto:rittin.arya@yes.bank.in,sumit.narang@yes.bank.in" TargetMode="External"/><Relationship Id="rId5" Type="http://schemas.openxmlformats.org/officeDocument/2006/relationships/hyperlink" Target="mailto:earth4@earthservices.in" TargetMode="External"/><Relationship Id="rId90" Type="http://schemas.openxmlformats.org/officeDocument/2006/relationships/hyperlink" Target="mailto:abhinav.lal2@yes.bank.in,sameer.dhar@yes.bank.in,sanjeev.kumar30@yes.bank.in,dipak.dhandhukiya@yes.bank.in,sekhar.gundala1@yes.bank.in,SAGAR.CHOUDHARI@yes.bank.in" TargetMode="External"/><Relationship Id="rId95" Type="http://schemas.openxmlformats.org/officeDocument/2006/relationships/hyperlink" Target="mailto:abhinav.lal2@yes.bank.in,sameer.dhar@yes.bank.in,sanjeev.kumar30@yes.bank.in,dipak.dhandhukiya@yes.bank.in,sekhar.gundala1@yes.bank.in,SAGAR.CHOUDHARI@yes.bank.in" TargetMode="External"/><Relationship Id="rId22" Type="http://schemas.openxmlformats.org/officeDocument/2006/relationships/hyperlink" Target="mailto:GOODLUCK65D@GMAIL.COM" TargetMode="External"/><Relationship Id="rId27" Type="http://schemas.openxmlformats.org/officeDocument/2006/relationships/hyperlink" Target="mailto:excelbat@yahoo.co.in" TargetMode="External"/><Relationship Id="rId43" Type="http://schemas.openxmlformats.org/officeDocument/2006/relationships/hyperlink" Target="mailto:awadh.rishk@gmail.com" TargetMode="External"/><Relationship Id="rId48" Type="http://schemas.openxmlformats.org/officeDocument/2006/relationships/hyperlink" Target="mailto:Rahul.arora@kpcmservices.com;%20kcpm" TargetMode="External"/><Relationship Id="rId64" Type="http://schemas.openxmlformats.org/officeDocument/2006/relationships/hyperlink" Target="mailto:sanjeevsabherwal@hotmail.com" TargetMode="External"/><Relationship Id="rId69" Type="http://schemas.openxmlformats.org/officeDocument/2006/relationships/hyperlink" Target="mailto:collections.yesbank@e-solvesolutions.com" TargetMode="External"/><Relationship Id="rId113" Type="http://schemas.openxmlformats.org/officeDocument/2006/relationships/hyperlink" Target="mailto:Manoj.Gupta@shrishivassociates.com" TargetMode="External"/><Relationship Id="rId118" Type="http://schemas.openxmlformats.org/officeDocument/2006/relationships/hyperlink" Target="mailto:pentagonhouse@gmail.com" TargetMode="External"/><Relationship Id="rId134" Type="http://schemas.openxmlformats.org/officeDocument/2006/relationships/hyperlink" Target="mailto:globalservices.ald@gmail.com" TargetMode="External"/><Relationship Id="rId80" Type="http://schemas.openxmlformats.org/officeDocument/2006/relationships/hyperlink" Target="mailto:abhinav.lal2@yes.bank.in,sameer.dhar@yes.bank.in,sanjeev.kumar30@yes.bank.in,dipak.dhandhukiya@yes.bank.in,sekhar.gundala1@yes.bank.in,SAGAR.CHOUDHARI@yes.bank.in" TargetMode="External"/><Relationship Id="rId85" Type="http://schemas.openxmlformats.org/officeDocument/2006/relationships/hyperlink" Target="mailto:abhinav.lal2@yes.bank.in,sameer.dhar@yes.bank.in,sanjeev.kumar30@yes.bank.in,dipak.dhandhukiya@yes.bank.in,sekhar.gundala1@yes.bank.in,SAGAR.CHOUDHARI@yes.bank.in" TargetMode="External"/><Relationship Id="rId12" Type="http://schemas.openxmlformats.org/officeDocument/2006/relationships/hyperlink" Target="mailto:collections.sma@shreemahadevi.com" TargetMode="External"/><Relationship Id="rId17" Type="http://schemas.openxmlformats.org/officeDocument/2006/relationships/hyperlink" Target="mailto:ysethi@aimsanjay.com" TargetMode="External"/><Relationship Id="rId33" Type="http://schemas.openxmlformats.org/officeDocument/2006/relationships/hyperlink" Target="mailto:Sanvifiancial@gmail.com" TargetMode="External"/><Relationship Id="rId38" Type="http://schemas.openxmlformats.org/officeDocument/2006/relationships/hyperlink" Target="mailto:ramassociates79@gmail.com" TargetMode="External"/><Relationship Id="rId59" Type="http://schemas.openxmlformats.org/officeDocument/2006/relationships/hyperlink" Target="mailto:swarnikaassociates@gmail.com,Swarnikayesbank@gmail.com" TargetMode="External"/><Relationship Id="rId103" Type="http://schemas.openxmlformats.org/officeDocument/2006/relationships/hyperlink" Target="mailto:abhinav.lal2@yes.bank.in,sameer.dhar@yes.bank.in,sanjeev.kumar30@yes.bank.in,dipak.dhandhukiya@yes.bank.in,sekhar.gundala1@yes.bank.in,SAGAR.CHOUDHARI@yes.bank.in" TargetMode="External"/><Relationship Id="rId108" Type="http://schemas.openxmlformats.org/officeDocument/2006/relationships/hyperlink" Target="mailto:abhinav.lal2@yes.bank.in,sameer.dhar@yes.bank.in,sanjeev.kumar30@yes.bank.in,dipak.dhandhukiya@yes.bank.in,sekhar.gundala1@yes.bank.in,SAGAR.CHOUDHARI@yes.bank.in" TargetMode="External"/><Relationship Id="rId124" Type="http://schemas.openxmlformats.org/officeDocument/2006/relationships/hyperlink" Target="mailto:tomarautorecovery@gmail.com" TargetMode="External"/><Relationship Id="rId129" Type="http://schemas.openxmlformats.org/officeDocument/2006/relationships/hyperlink" Target="mailto:rittin.arya@yes.bank.in,sumit.narang@yes.bank.in" TargetMode="External"/><Relationship Id="rId54" Type="http://schemas.openxmlformats.org/officeDocument/2006/relationships/hyperlink" Target="mailto:sanji_31@hotmail.com" TargetMode="External"/><Relationship Id="rId70" Type="http://schemas.openxmlformats.org/officeDocument/2006/relationships/hyperlink" Target="mailto:mandhaone@yahoo.com" TargetMode="External"/><Relationship Id="rId75" Type="http://schemas.openxmlformats.org/officeDocument/2006/relationships/hyperlink" Target="mailto:relief_repo@rediffmail.com/repo.relief@yahoo.com/relief.repo@gmail.com" TargetMode="External"/><Relationship Id="rId91" Type="http://schemas.openxmlformats.org/officeDocument/2006/relationships/hyperlink" Target="mailto:abhinav.lal2@yes.bank.in,sameer.dhar@yes.bank.in,sanjeev.kumar30@yes.bank.in,dipak.dhandhukiya@yes.bank.in,sekhar.gundala1@yes.bank.in,SAGAR.CHOUDHARI@yes.bank.in" TargetMode="External"/><Relationship Id="rId96" Type="http://schemas.openxmlformats.org/officeDocument/2006/relationships/hyperlink" Target="mailto:abhinav.lal2@yes.bank.in,sameer.dhar@yes.bank.in,sanjeev.kumar30@yes.bank.in,dipak.dhandhukiya@yes.bank.in,sekhar.gundala1@yes.bank.in,SAGAR.CHOUDHARI@yes.bank.in" TargetMode="External"/><Relationship Id="rId1" Type="http://schemas.openxmlformats.org/officeDocument/2006/relationships/hyperlink" Target="mailto:aba.guwahati@gmail.com;" TargetMode="External"/><Relationship Id="rId6" Type="http://schemas.openxmlformats.org/officeDocument/2006/relationships/hyperlink" Target="mailto:manish@reliconnect.com;collection3@reliconnect.co.in" TargetMode="External"/><Relationship Id="rId23" Type="http://schemas.openxmlformats.org/officeDocument/2006/relationships/hyperlink" Target="mailto:ib@resolutionachievers.com" TargetMode="External"/><Relationship Id="rId28" Type="http://schemas.openxmlformats.org/officeDocument/2006/relationships/hyperlink" Target="mailto:Infoyes@sainiassociates.co.in" TargetMode="External"/><Relationship Id="rId49" Type="http://schemas.openxmlformats.org/officeDocument/2006/relationships/hyperlink" Target="mailto:sushant.sharma@oxfords.co.in" TargetMode="External"/><Relationship Id="rId114" Type="http://schemas.openxmlformats.org/officeDocument/2006/relationships/hyperlink" Target="mailto:Yesbankagpo@Gmail.Com" TargetMode="External"/><Relationship Id="rId119" Type="http://schemas.openxmlformats.org/officeDocument/2006/relationships/hyperlink" Target="mailto:awadh.rishk@gmail.com" TargetMode="External"/><Relationship Id="rId44" Type="http://schemas.openxmlformats.org/officeDocument/2006/relationships/hyperlink" Target="mailto:YESBANKAGPO@GMAIL.COM" TargetMode="External"/><Relationship Id="rId60" Type="http://schemas.openxmlformats.org/officeDocument/2006/relationships/hyperlink" Target="mailto:MCC.YES@REDIFFMAIL.COM" TargetMode="External"/><Relationship Id="rId65" Type="http://schemas.openxmlformats.org/officeDocument/2006/relationships/hyperlink" Target="mailto:fusion_financier@yahoo.com" TargetMode="External"/><Relationship Id="rId81" Type="http://schemas.openxmlformats.org/officeDocument/2006/relationships/hyperlink" Target="mailto:abhinav.lal2@yes.bank.in,sameer.dhar@yes.bank.in,sanjeev.kumar30@yes.bank.in,dipak.dhandhukiya@yes.bank.in,sekhar.gundala1@yes.bank.in,SAGAR.CHOUDHARI@yes.bank.in" TargetMode="External"/><Relationship Id="rId86" Type="http://schemas.openxmlformats.org/officeDocument/2006/relationships/hyperlink" Target="mailto:abhinav.lal2@yes.bank.in,sameer.dhar@yes.bank.in,sanjeev.kumar30@yes.bank.in,dipak.dhandhukiya@yes.bank.in,sekhar.gundala1@yes.bank.in,SAGAR.CHOUDHARI@yes.bank.in" TargetMode="External"/><Relationship Id="rId130" Type="http://schemas.openxmlformats.org/officeDocument/2006/relationships/hyperlink" Target="mailto:sumit.narang@yes.bank.in" TargetMode="External"/><Relationship Id="rId135" Type="http://schemas.openxmlformats.org/officeDocument/2006/relationships/hyperlink" Target="mailto:globalservices.ald@gmail.com" TargetMode="External"/><Relationship Id="rId13" Type="http://schemas.openxmlformats.org/officeDocument/2006/relationships/hyperlink" Target="mailto:trishaktiservices@gmail.com" TargetMode="External"/><Relationship Id="rId18" Type="http://schemas.openxmlformats.org/officeDocument/2006/relationships/hyperlink" Target="mailto:info@sunassociates2121.com" TargetMode="External"/><Relationship Id="rId39" Type="http://schemas.openxmlformats.org/officeDocument/2006/relationships/hyperlink" Target="mailto:shrikrishna.raj2011@gmail.com" TargetMode="External"/><Relationship Id="rId109" Type="http://schemas.openxmlformats.org/officeDocument/2006/relationships/hyperlink" Target="mailto:abhinav.lal2@yes.bank.in,sameer.dhar@yes.bank.in,sanjeev.kumar30@yes.bank.in,dipak.dhandhukiya@yes.bank.in,sekhar.gundala1@yes.bank.in,SAGAR.CHOUDHARI@yes.bank.in" TargetMode="External"/><Relationship Id="rId34" Type="http://schemas.openxmlformats.org/officeDocument/2006/relationships/hyperlink" Target="mailto:SBANSAL@TOTALSOLUTIONSMAIL.COM" TargetMode="External"/><Relationship Id="rId50" Type="http://schemas.openxmlformats.org/officeDocument/2006/relationships/hyperlink" Target="mailto:info@wayoutsolutions.in" TargetMode="External"/><Relationship Id="rId55" Type="http://schemas.openxmlformats.org/officeDocument/2006/relationships/hyperlink" Target="mailto:Info3@sparkdsmg.com" TargetMode="External"/><Relationship Id="rId76" Type="http://schemas.openxmlformats.org/officeDocument/2006/relationships/hyperlink" Target="mailto:mmassociates0786@gmail.com" TargetMode="External"/><Relationship Id="rId97" Type="http://schemas.openxmlformats.org/officeDocument/2006/relationships/hyperlink" Target="mailto:abhinav.lal2@yes.bank.in,sameer.dhar@yes.bank.in,sanjeev.kumar30@yes.bank.in,dipak.dhandhukiya@yes.bank.in,sekhar.gundala1@yes.bank.in,SAGAR.CHOUDHARI@yes.bank.in" TargetMode="External"/><Relationship Id="rId104" Type="http://schemas.openxmlformats.org/officeDocument/2006/relationships/hyperlink" Target="mailto:abhinav.lal2@yes.bank.in,sameer.dhar@yes.bank.in,sanjeev.kumar30@yes.bank.in,dipak.dhandhukiya@yes.bank.in,sekhar.gundala1@yes.bank.in,SAGAR.CHOUDHARI@yes.bank.in" TargetMode="External"/><Relationship Id="rId120" Type="http://schemas.openxmlformats.org/officeDocument/2006/relationships/hyperlink" Target="mailto:sigma.associate01@gmail.com" TargetMode="External"/><Relationship Id="rId125" Type="http://schemas.openxmlformats.org/officeDocument/2006/relationships/hyperlink" Target="mailto:biswarup.ghosh@yes.bank.in" TargetMode="External"/><Relationship Id="rId7" Type="http://schemas.openxmlformats.org/officeDocument/2006/relationships/hyperlink" Target="mailto:PARADIGM9INC@GMAIL.COM;" TargetMode="External"/><Relationship Id="rId71" Type="http://schemas.openxmlformats.org/officeDocument/2006/relationships/hyperlink" Target="mailto:ajay.singh@goldenhawk.co.in" TargetMode="External"/><Relationship Id="rId92" Type="http://schemas.openxmlformats.org/officeDocument/2006/relationships/hyperlink" Target="mailto:abhinav.lal2@yes.bank.in,sameer.dhar@yes.bank.in,sanjeev.kumar30@yes.bank.in,dipak.dhandhukiya@yes.bank.in,sekhar.gundala1@yes.bank.in,SAGAR.CHOUDHARI@yes.bank.in" TargetMode="External"/><Relationship Id="rId2" Type="http://schemas.openxmlformats.org/officeDocument/2006/relationships/hyperlink" Target="mailto:Manav@managementser.com;%20hr@mser.co.in" TargetMode="External"/><Relationship Id="rId29" Type="http://schemas.openxmlformats.org/officeDocument/2006/relationships/hyperlink" Target="mailto:collection@easylinks.co.in,easywayneworg@gmail.com" TargetMode="External"/><Relationship Id="rId24" Type="http://schemas.openxmlformats.org/officeDocument/2006/relationships/hyperlink" Target="mailto:raghuarora1988@gmail.com" TargetMode="External"/><Relationship Id="rId40" Type="http://schemas.openxmlformats.org/officeDocument/2006/relationships/hyperlink" Target="mailto:dubey_awadhesh@rediffmail.com" TargetMode="External"/><Relationship Id="rId45" Type="http://schemas.openxmlformats.org/officeDocument/2006/relationships/hyperlink" Target="mailto:YESBANKAGPO@GMAIL.COM" TargetMode="External"/><Relationship Id="rId66" Type="http://schemas.openxmlformats.org/officeDocument/2006/relationships/hyperlink" Target="mailto:posmovyb@gmail.com%20;%20for%20operational%20work;mal.sudhir@gmail.com%20;%20for%20billing;%20payout;escalations;etc,collectionsyb@posmov.com" TargetMode="External"/><Relationship Id="rId87" Type="http://schemas.openxmlformats.org/officeDocument/2006/relationships/hyperlink" Target="mailto:abhinav.lal2@yes.bank.in,sameer.dhar@yes.bank.in,sanjeev.kumar30@yes.bank.in,dipak.dhandhukiya@yes.bank.in,sekhar.gundala1@yes.bank.in,SAGAR.CHOUDHARI@yes.bank.in" TargetMode="External"/><Relationship Id="rId110" Type="http://schemas.openxmlformats.org/officeDocument/2006/relationships/hyperlink" Target="mailto:abhinav.lal2@yes.bank.in,sameer.dhar@yes.bank.in,sanjeev.kumar30@yes.bank.in,dipak.dhandhukiya@yes.bank.in,sekhar.gundala1@yes.bank.in,SAGAR.CHOUDHARI@yes.bank.in" TargetMode="External"/><Relationship Id="rId115" Type="http://schemas.openxmlformats.org/officeDocument/2006/relationships/hyperlink" Target="mailto:Kkassociate2002@Gmail.com" TargetMode="External"/><Relationship Id="rId131" Type="http://schemas.openxmlformats.org/officeDocument/2006/relationships/hyperlink" Target="mailto:prashant.singh7@yes.bank.in" TargetMode="External"/><Relationship Id="rId136" Type="http://schemas.openxmlformats.org/officeDocument/2006/relationships/vmlDrawing" Target="../drawings/vmlDrawing3.vml"/><Relationship Id="rId61" Type="http://schemas.openxmlformats.org/officeDocument/2006/relationships/hyperlink" Target="mailto:icare@icsk.co.in" TargetMode="External"/><Relationship Id="rId82" Type="http://schemas.openxmlformats.org/officeDocument/2006/relationships/hyperlink" Target="mailto:abhinav.lal2@yes.bank.in,sameer.dhar@yes.bank.in,sanjeev.kumar30@yes.bank.in,dipak.dhandhukiya@yes.bank.in,sekhar.gundala1@yes.bank.in,SAGAR.CHOUDHARI@yes.bank.in" TargetMode="External"/><Relationship Id="rId19" Type="http://schemas.openxmlformats.org/officeDocument/2006/relationships/hyperlink" Target="mailto:excelbat@yahoo.co.in" TargetMode="External"/><Relationship Id="rId14" Type="http://schemas.openxmlformats.org/officeDocument/2006/relationships/hyperlink" Target="mailto:uniqueindia1994@gmail.com" TargetMode="External"/><Relationship Id="rId30" Type="http://schemas.openxmlformats.org/officeDocument/2006/relationships/hyperlink" Target="mailto:baiswaraassociates_2009@rediffmail.com/" TargetMode="External"/><Relationship Id="rId35" Type="http://schemas.openxmlformats.org/officeDocument/2006/relationships/hyperlink" Target="mailto:evergreen.solution@rediffmail.com" TargetMode="External"/><Relationship Id="rId56" Type="http://schemas.openxmlformats.org/officeDocument/2006/relationships/hyperlink" Target="mailto:SAREPO@REDIFFMAIL.COM" TargetMode="External"/><Relationship Id="rId77" Type="http://schemas.openxmlformats.org/officeDocument/2006/relationships/hyperlink" Target="mailto:abhinav.lal2@yes.bank.in,sameer.dhar@yes.bank.in,sanjeev.kumar30@yes.bank.in,dipak.dhandhukiya@yes.bank.in,sekhar.gundala1@yes.bank.in,SAGAR.CHOUDHARI@yes.bank.in" TargetMode="External"/><Relationship Id="rId100" Type="http://schemas.openxmlformats.org/officeDocument/2006/relationships/hyperlink" Target="mailto:abhinav.lal2@yes.bank.in,sameer.dhar@yes.bank.in,sanjeev.kumar30@yes.bank.in,dipak.dhandhukiya@yes.bank.in,sekhar.gundala1@yes.bank.in,SAGAR.CHOUDHARI@yes.bank.in" TargetMode="External"/><Relationship Id="rId105" Type="http://schemas.openxmlformats.org/officeDocument/2006/relationships/hyperlink" Target="mailto:abhinav.lal2@yes.bank.in,sameer.dhar@yes.bank.in,sanjeev.kumar30@yes.bank.in,dipak.dhandhukiya@yes.bank.in,sekhar.gundala1@yes.bank.in,SAGAR.CHOUDHARI@yes.bank.in" TargetMode="External"/><Relationship Id="rId126" Type="http://schemas.openxmlformats.org/officeDocument/2006/relationships/hyperlink" Target="mailto:biswarup.ghosh@yes.bank.in" TargetMode="External"/><Relationship Id="rId8" Type="http://schemas.openxmlformats.org/officeDocument/2006/relationships/hyperlink" Target="mailto:ambitiousenterprises5@gmail.com,ambitiousenterprises2@gmail.com" TargetMode="External"/><Relationship Id="rId51" Type="http://schemas.openxmlformats.org/officeDocument/2006/relationships/hyperlink" Target="mailto:sunshinecollxn@yahoo.co.in,sunshinecollxn@yahoo.co.in" TargetMode="External"/><Relationship Id="rId72" Type="http://schemas.openxmlformats.org/officeDocument/2006/relationships/hyperlink" Target="mailto:satveeryadav200@gmail.com" TargetMode="External"/><Relationship Id="rId93" Type="http://schemas.openxmlformats.org/officeDocument/2006/relationships/hyperlink" Target="mailto:abhinav.lal2@yes.bank.in,sameer.dhar@yes.bank.in,sanjeev.kumar30@yes.bank.in,dipak.dhandhukiya@yes.bank.in,sekhar.gundala1@yes.bank.in,SAGAR.CHOUDHARI@yes.bank.in" TargetMode="External"/><Relationship Id="rId98" Type="http://schemas.openxmlformats.org/officeDocument/2006/relationships/hyperlink" Target="mailto:abhinav.lal2@yes.bank.in,sameer.dhar@yes.bank.in,sanjeev.kumar30@yes.bank.in,dipak.dhandhukiya@yes.bank.in,sekhar.gundala1@yes.bank.in,SAGAR.CHOUDHARI@yes.bank.in" TargetMode="External"/><Relationship Id="rId121" Type="http://schemas.openxmlformats.org/officeDocument/2006/relationships/hyperlink" Target="mailto:VAISHNAVIREPOAGENCY@GMAIL.COM" TargetMode="External"/><Relationship Id="rId3" Type="http://schemas.openxmlformats.org/officeDocument/2006/relationships/hyperlink" Target="mailto:himanshudeltaservices@gmail.com;anilsharmaojas1@gmail.com" TargetMode="External"/><Relationship Id="rId25" Type="http://schemas.openxmlformats.org/officeDocument/2006/relationships/hyperlink" Target="mailto:excelbat@yahoo.co.in" TargetMode="External"/><Relationship Id="rId46" Type="http://schemas.openxmlformats.org/officeDocument/2006/relationships/hyperlink" Target="mailto:collection.ybkol@urenus.in" TargetMode="External"/><Relationship Id="rId67" Type="http://schemas.openxmlformats.org/officeDocument/2006/relationships/hyperlink" Target="mailto:cbgroupjaipur01@gmail.com" TargetMode="External"/><Relationship Id="rId116" Type="http://schemas.openxmlformats.org/officeDocument/2006/relationships/hyperlink" Target="mailto:Y.backend@krishnaaassociates.in" TargetMode="External"/><Relationship Id="rId137" Type="http://schemas.openxmlformats.org/officeDocument/2006/relationships/comments" Target="../comments3.xml"/><Relationship Id="rId20" Type="http://schemas.openxmlformats.org/officeDocument/2006/relationships/hyperlink" Target="mailto:y.enterprises2009@gmail.com,yenterprises.yesbank@gmail.com" TargetMode="External"/><Relationship Id="rId41" Type="http://schemas.openxmlformats.org/officeDocument/2006/relationships/hyperlink" Target="mailto:swadesh.dgp@gmail.com" TargetMode="External"/><Relationship Id="rId62" Type="http://schemas.openxmlformats.org/officeDocument/2006/relationships/hyperlink" Target="mailto:pnservices2@pnservices2.co.in" TargetMode="External"/><Relationship Id="rId83" Type="http://schemas.openxmlformats.org/officeDocument/2006/relationships/hyperlink" Target="mailto:abhinav.lal2@yes.bank.in,sameer.dhar@yes.bank.in,sanjeev.kumar30@yes.bank.in,dipak.dhandhukiya@yes.bank.in,sekhar.gundala1@yes.bank.in,SAGAR.CHOUDHARI@yes.bank.in" TargetMode="External"/><Relationship Id="rId88" Type="http://schemas.openxmlformats.org/officeDocument/2006/relationships/hyperlink" Target="mailto:abhinav.lal2@yes.bank.in,sameer.dhar@yes.bank.in,sanjeev.kumar30@yes.bank.in,dipak.dhandhukiya@yes.bank.in,sekhar.gundala1@yes.bank.in,SAGAR.CHOUDHARI@yes.bank.in" TargetMode="External"/><Relationship Id="rId111" Type="http://schemas.openxmlformats.org/officeDocument/2006/relationships/hyperlink" Target="mailto:aarya.repo2014@gmail.com" TargetMode="External"/><Relationship Id="rId132" Type="http://schemas.openxmlformats.org/officeDocument/2006/relationships/hyperlink" Target="mailto:bajiyaparkingyard@gmail.com" TargetMode="External"/><Relationship Id="rId15" Type="http://schemas.openxmlformats.org/officeDocument/2006/relationships/hyperlink" Target="mailto:saienterprisesyb@saient.co.in" TargetMode="External"/><Relationship Id="rId36" Type="http://schemas.openxmlformats.org/officeDocument/2006/relationships/hyperlink" Target="mailto:mcs@chandansaha.com" TargetMode="External"/><Relationship Id="rId57" Type="http://schemas.openxmlformats.org/officeDocument/2006/relationships/hyperlink" Target="mailto:ishaanassociates2@gmail.com" TargetMode="External"/><Relationship Id="rId106" Type="http://schemas.openxmlformats.org/officeDocument/2006/relationships/hyperlink" Target="mailto:abhinav.lal2@yes.bank.in,sameer.dhar@yes.bank.in,sanjeev.kumar30@yes.bank.in,dipak.dhandhukiya@yes.bank.in,sekhar.gundala1@yes.bank.in,SAGAR.CHOUDHARI@yes.bank.in" TargetMode="External"/><Relationship Id="rId127" Type="http://schemas.openxmlformats.org/officeDocument/2006/relationships/hyperlink" Target="mailto:sumit.narang@yes.bank.in" TargetMode="External"/><Relationship Id="rId10" Type="http://schemas.openxmlformats.org/officeDocument/2006/relationships/hyperlink" Target="mailto:waves.enterprises0@gmail.com" TargetMode="External"/><Relationship Id="rId31" Type="http://schemas.openxmlformats.org/officeDocument/2006/relationships/hyperlink" Target="mailto:YESBANKAGPO@GMAIL.COM" TargetMode="External"/><Relationship Id="rId52" Type="http://schemas.openxmlformats.org/officeDocument/2006/relationships/hyperlink" Target="mailto:prabhakar.globalmanagement@gmail.com" TargetMode="External"/><Relationship Id="rId73" Type="http://schemas.openxmlformats.org/officeDocument/2006/relationships/hyperlink" Target="mailto:aarya.repo2014@gmail.com" TargetMode="External"/><Relationship Id="rId78" Type="http://schemas.openxmlformats.org/officeDocument/2006/relationships/hyperlink" Target="mailto:abhinav.lal2@yes.bank.in,sameer.dhar@yes.bank.in,sanjeev.kumar30@yes.bank.in,dipak.dhandhukiya@yes.bank.in,sekhar.gundala1@yes.bank.in,SAGAR.CHOUDHARI@yes.bank.in" TargetMode="External"/><Relationship Id="rId94" Type="http://schemas.openxmlformats.org/officeDocument/2006/relationships/hyperlink" Target="mailto:abhinav.lal2@yes.bank.in,sameer.dhar@yes.bank.in,sanjeev.kumar30@yes.bank.in,dipak.dhandhukiya@yes.bank.in,sekhar.gundala1@yes.bank.in,SAGAR.CHOUDHARI@yes.bank.in" TargetMode="External"/><Relationship Id="rId99" Type="http://schemas.openxmlformats.org/officeDocument/2006/relationships/hyperlink" Target="mailto:abhinav.lal2@yes.bank.in,sameer.dhar@yes.bank.in,sanjeev.kumar30@yes.bank.in,dipak.dhandhukiya@yes.bank.in,sekhar.gundala1@yes.bank.in,SAGAR.CHOUDHARI@yes.bank.in" TargetMode="External"/><Relationship Id="rId101" Type="http://schemas.openxmlformats.org/officeDocument/2006/relationships/hyperlink" Target="mailto:abhinav.lal2@yes.bank.in,sameer.dhar@yes.bank.in,sanjeev.kumar30@yes.bank.in,dipak.dhandhukiya@yes.bank.in,sekhar.gundala1@yes.bank.in,SAGAR.CHOUDHARI@yes.bank.in" TargetMode="External"/><Relationship Id="rId122" Type="http://schemas.openxmlformats.org/officeDocument/2006/relationships/hyperlink" Target="mailto:choudharyassociates73@gmail.com,choudharyassociates2021@gmail.com" TargetMode="External"/><Relationship Id="rId4" Type="http://schemas.openxmlformats.org/officeDocument/2006/relationships/hyperlink" Target="mailto:infinityservicescg2021@infinityfirst.onmicrosoft.com" TargetMode="External"/><Relationship Id="rId9" Type="http://schemas.openxmlformats.org/officeDocument/2006/relationships/hyperlink" Target="mailto:collections5@aimcorporate.co" TargetMode="External"/><Relationship Id="rId26" Type="http://schemas.openxmlformats.org/officeDocument/2006/relationships/hyperlink" Target="mailto:info@saviiour.com" TargetMode="External"/><Relationship Id="rId47" Type="http://schemas.openxmlformats.org/officeDocument/2006/relationships/hyperlink" Target="mailto:gurman.yesbank@gmail.com%20;%20sukh" TargetMode="External"/><Relationship Id="rId68" Type="http://schemas.openxmlformats.org/officeDocument/2006/relationships/hyperlink" Target="mailto:rsrepossessionagency88@gmail.com" TargetMode="External"/><Relationship Id="rId89" Type="http://schemas.openxmlformats.org/officeDocument/2006/relationships/hyperlink" Target="mailto:abhinav.lal2@yes.bank.in,sameer.dhar@yes.bank.in,sanjeev.kumar30@yes.bank.in,dipak.dhandhukiya@yes.bank.in,sekhar.gundala1@yes.bank.in,SAGAR.CHOUDHARI@yes.bank.in" TargetMode="External"/><Relationship Id="rId112" Type="http://schemas.openxmlformats.org/officeDocument/2006/relationships/hyperlink" Target="mailto:vhmanagementservices8913@gmail.com" TargetMode="External"/><Relationship Id="rId133" Type="http://schemas.openxmlformats.org/officeDocument/2006/relationships/hyperlink" Target="mailto:bajiyaparkingyard@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D7FED-ECDA-4680-AF51-A91E35C1EF3B}">
  <sheetPr codeName="Sheet1"/>
  <dimension ref="A1:BG319"/>
  <sheetViews>
    <sheetView tabSelected="1" workbookViewId="0">
      <pane ySplit="1" topLeftCell="A2" activePane="bottomLeft" state="frozen"/>
      <selection pane="bottomLeft"/>
    </sheetView>
  </sheetViews>
  <sheetFormatPr defaultRowHeight="15" x14ac:dyDescent="0.25"/>
  <cols>
    <col min="1" max="1" width="6.28515625" bestFit="1" customWidth="1"/>
    <col min="2" max="2" width="12.28515625" bestFit="1" customWidth="1"/>
    <col min="3" max="3" width="7" bestFit="1" customWidth="1"/>
    <col min="4" max="4" width="6" bestFit="1" customWidth="1"/>
    <col min="5" max="5" width="12.5703125" bestFit="1" customWidth="1"/>
    <col min="6" max="6" width="12.42578125" bestFit="1" customWidth="1"/>
    <col min="7" max="8" width="30.42578125" bestFit="1" customWidth="1"/>
    <col min="9" max="10" width="14.7109375" hidden="1" customWidth="1"/>
    <col min="11" max="11" width="70.42578125" style="9" customWidth="1"/>
    <col min="12" max="31" width="14.7109375" hidden="1" customWidth="1"/>
    <col min="32" max="32" width="50.140625" hidden="1" customWidth="1"/>
    <col min="33" max="33" width="7.140625" hidden="1" customWidth="1"/>
    <col min="34" max="34" width="6.85546875" hidden="1" customWidth="1"/>
    <col min="35" max="35" width="8" hidden="1" customWidth="1"/>
    <col min="36" max="36" width="5.42578125" hidden="1" customWidth="1"/>
    <col min="37" max="37" width="18.85546875" hidden="1" customWidth="1"/>
    <col min="38" max="38" width="40" customWidth="1"/>
    <col min="39" max="39" width="15" customWidth="1"/>
    <col min="40" max="40" width="10.140625" customWidth="1"/>
    <col min="41" max="41" width="16.140625" customWidth="1"/>
    <col min="42" max="42" width="66.140625" bestFit="1" customWidth="1"/>
    <col min="43" max="43" width="10.7109375" bestFit="1" customWidth="1"/>
    <col min="44" max="44" width="11" bestFit="1" customWidth="1"/>
    <col min="45" max="45" width="10.140625" bestFit="1" customWidth="1"/>
    <col min="46" max="46" width="11" bestFit="1" customWidth="1"/>
    <col min="47" max="47" width="15.7109375" bestFit="1" customWidth="1"/>
    <col min="48" max="48" width="22.7109375" bestFit="1" customWidth="1"/>
    <col min="49" max="49" width="12.28515625" bestFit="1" customWidth="1"/>
    <col min="50" max="50" width="29.7109375" bestFit="1" customWidth="1"/>
    <col min="51" max="51" width="13.28515625" bestFit="1" customWidth="1"/>
    <col min="52" max="52" width="16.7109375" bestFit="1" customWidth="1"/>
    <col min="53" max="53" width="10.28515625" bestFit="1" customWidth="1"/>
    <col min="54" max="54" width="7.5703125" bestFit="1" customWidth="1"/>
    <col min="55" max="55" width="11.85546875" bestFit="1" customWidth="1"/>
    <col min="56" max="56" width="30.42578125" bestFit="1" customWidth="1"/>
    <col min="57" max="57" width="25.28515625" bestFit="1" customWidth="1"/>
    <col min="58" max="58" width="39.7109375" bestFit="1" customWidth="1"/>
    <col min="59" max="59" width="56" bestFit="1" customWidth="1"/>
  </cols>
  <sheetData>
    <row r="1" spans="1:59" ht="41.45" customHeight="1" thickBot="1" x14ac:dyDescent="0.3">
      <c r="A1" s="49" t="s">
        <v>0</v>
      </c>
      <c r="B1" s="50" t="s">
        <v>1</v>
      </c>
      <c r="C1" s="50" t="s">
        <v>1842</v>
      </c>
      <c r="D1" s="50" t="s">
        <v>3</v>
      </c>
      <c r="E1" s="50" t="s">
        <v>4</v>
      </c>
      <c r="F1" s="51" t="s">
        <v>5</v>
      </c>
      <c r="G1" s="52" t="s">
        <v>6</v>
      </c>
      <c r="H1" s="53" t="s">
        <v>7</v>
      </c>
      <c r="I1" s="50" t="s">
        <v>8</v>
      </c>
      <c r="J1" s="50" t="s">
        <v>9</v>
      </c>
      <c r="K1" s="50" t="s">
        <v>10</v>
      </c>
      <c r="L1" s="50" t="s">
        <v>11</v>
      </c>
      <c r="M1" s="50" t="s">
        <v>12</v>
      </c>
      <c r="N1" s="50" t="s">
        <v>13</v>
      </c>
      <c r="O1" s="54" t="s">
        <v>14</v>
      </c>
      <c r="P1" s="54" t="s">
        <v>15</v>
      </c>
      <c r="Q1" s="50" t="s">
        <v>16</v>
      </c>
      <c r="R1" s="50" t="s">
        <v>17</v>
      </c>
      <c r="S1" s="50" t="s">
        <v>18</v>
      </c>
      <c r="T1" s="50" t="s">
        <v>19</v>
      </c>
      <c r="U1" s="50" t="s">
        <v>20</v>
      </c>
      <c r="V1" s="50" t="s">
        <v>21</v>
      </c>
      <c r="W1" s="50" t="s">
        <v>22</v>
      </c>
      <c r="X1" s="50" t="s">
        <v>23</v>
      </c>
      <c r="Y1" s="50" t="s">
        <v>24</v>
      </c>
      <c r="Z1" s="50" t="s">
        <v>25</v>
      </c>
      <c r="AA1" s="50" t="s">
        <v>26</v>
      </c>
      <c r="AB1" s="55" t="s">
        <v>27</v>
      </c>
      <c r="AC1" s="50" t="s">
        <v>28</v>
      </c>
      <c r="AD1" s="56" t="s">
        <v>29</v>
      </c>
      <c r="AE1" s="50" t="s">
        <v>2</v>
      </c>
      <c r="AF1" s="50" t="s">
        <v>7</v>
      </c>
      <c r="AG1" s="16" t="s">
        <v>30</v>
      </c>
      <c r="AH1" s="16" t="s">
        <v>31</v>
      </c>
      <c r="AI1" s="16" t="s">
        <v>32</v>
      </c>
      <c r="AJ1" s="16" t="s">
        <v>33</v>
      </c>
      <c r="AK1" s="16" t="s">
        <v>34</v>
      </c>
      <c r="AL1" s="16" t="s">
        <v>35</v>
      </c>
      <c r="AM1" s="16" t="s">
        <v>36</v>
      </c>
      <c r="AN1" s="57" t="s">
        <v>37</v>
      </c>
      <c r="AO1" s="16" t="s">
        <v>38</v>
      </c>
      <c r="AP1" s="16" t="s">
        <v>1981</v>
      </c>
      <c r="AQ1" s="16" t="s">
        <v>24</v>
      </c>
      <c r="AR1" s="16" t="s">
        <v>29</v>
      </c>
      <c r="AS1" s="16" t="s">
        <v>1982</v>
      </c>
      <c r="AT1" s="16" t="s">
        <v>1983</v>
      </c>
      <c r="AU1" s="16" t="s">
        <v>1984</v>
      </c>
      <c r="AV1" s="16" t="s">
        <v>1985</v>
      </c>
      <c r="AW1" s="16" t="s">
        <v>1986</v>
      </c>
      <c r="AX1" s="17" t="s">
        <v>7</v>
      </c>
      <c r="AY1" s="18" t="s">
        <v>5</v>
      </c>
      <c r="AZ1" s="17" t="s">
        <v>4</v>
      </c>
      <c r="BA1" s="18" t="s">
        <v>1987</v>
      </c>
      <c r="BB1" s="18" t="s">
        <v>1988</v>
      </c>
      <c r="BC1" s="18" t="s">
        <v>1989</v>
      </c>
      <c r="BD1" s="73" t="s">
        <v>7</v>
      </c>
      <c r="BE1" s="98" t="s">
        <v>3696</v>
      </c>
      <c r="BF1" s="98" t="s">
        <v>3996</v>
      </c>
      <c r="BG1" s="98" t="s">
        <v>3997</v>
      </c>
    </row>
    <row r="2" spans="1:59" s="10" customFormat="1" ht="13.5" x14ac:dyDescent="0.25">
      <c r="A2" s="58">
        <v>1</v>
      </c>
      <c r="B2" s="33">
        <v>66907</v>
      </c>
      <c r="C2" s="34">
        <v>66907</v>
      </c>
      <c r="D2" s="35" t="s">
        <v>103</v>
      </c>
      <c r="E2" s="35" t="s">
        <v>767</v>
      </c>
      <c r="F2" s="35" t="s">
        <v>768</v>
      </c>
      <c r="G2" s="36" t="s">
        <v>43</v>
      </c>
      <c r="H2" s="35" t="s">
        <v>1709</v>
      </c>
      <c r="I2" s="37" t="s">
        <v>1640</v>
      </c>
      <c r="J2" s="37" t="s">
        <v>1640</v>
      </c>
      <c r="K2" s="35" t="s">
        <v>1790</v>
      </c>
      <c r="L2" s="38" t="s">
        <v>825</v>
      </c>
      <c r="M2" s="38" t="s">
        <v>825</v>
      </c>
      <c r="N2" s="38" t="s">
        <v>825</v>
      </c>
      <c r="O2" s="39" t="s">
        <v>826</v>
      </c>
      <c r="P2" s="40" t="s">
        <v>60</v>
      </c>
      <c r="Q2" s="41" t="s">
        <v>827</v>
      </c>
      <c r="R2" s="41"/>
      <c r="S2" s="41" t="s">
        <v>828</v>
      </c>
      <c r="T2" s="41"/>
      <c r="U2" s="41"/>
      <c r="V2" s="41" t="s">
        <v>93</v>
      </c>
      <c r="W2" s="41"/>
      <c r="X2" s="41" t="s">
        <v>55</v>
      </c>
      <c r="Y2" s="41" t="s">
        <v>56</v>
      </c>
      <c r="Z2" s="37">
        <v>45197</v>
      </c>
      <c r="AA2" s="37">
        <v>45195</v>
      </c>
      <c r="AB2" s="42"/>
      <c r="AC2" s="41"/>
      <c r="AD2" s="38"/>
      <c r="AE2" s="43">
        <v>66907</v>
      </c>
      <c r="AF2" s="37" t="s">
        <v>824</v>
      </c>
      <c r="AG2" s="44">
        <v>244</v>
      </c>
      <c r="AH2" s="44">
        <v>267</v>
      </c>
      <c r="AI2" s="44">
        <v>279</v>
      </c>
      <c r="AJ2" s="44">
        <v>790</v>
      </c>
      <c r="AK2" s="44"/>
      <c r="AL2" s="45" t="s">
        <v>78</v>
      </c>
      <c r="AM2" s="45" t="s">
        <v>58</v>
      </c>
      <c r="AN2" s="45" t="s">
        <v>59</v>
      </c>
      <c r="AO2" s="45" t="s">
        <v>829</v>
      </c>
      <c r="AP2" s="46" t="s">
        <v>2356</v>
      </c>
      <c r="AQ2" s="46" t="s">
        <v>1869</v>
      </c>
      <c r="AR2" s="46" t="s">
        <v>60</v>
      </c>
      <c r="AS2" s="46"/>
      <c r="AT2" s="46" t="s">
        <v>2292</v>
      </c>
      <c r="AU2" s="46" t="s">
        <v>2094</v>
      </c>
      <c r="AV2" s="46">
        <v>8287823681</v>
      </c>
      <c r="AW2" s="47">
        <v>46130</v>
      </c>
      <c r="AX2" s="46" t="s">
        <v>1990</v>
      </c>
      <c r="AY2" s="48" t="s">
        <v>768</v>
      </c>
      <c r="AZ2" s="48" t="s">
        <v>767</v>
      </c>
      <c r="BA2" s="46" t="s">
        <v>2731</v>
      </c>
      <c r="BB2" s="46" t="s">
        <v>2732</v>
      </c>
      <c r="BC2" s="46" t="s">
        <v>2361</v>
      </c>
      <c r="BD2" s="74" t="s">
        <v>1709</v>
      </c>
      <c r="BE2" s="99" t="s">
        <v>3702</v>
      </c>
      <c r="BF2" s="99" t="s">
        <v>3998</v>
      </c>
      <c r="BG2" s="99"/>
    </row>
    <row r="3" spans="1:59" s="10" customFormat="1" ht="13.5" x14ac:dyDescent="0.25">
      <c r="A3" s="59">
        <v>2</v>
      </c>
      <c r="B3" s="15" t="s">
        <v>323</v>
      </c>
      <c r="C3" s="12">
        <v>26018</v>
      </c>
      <c r="D3" s="11" t="s">
        <v>103</v>
      </c>
      <c r="E3" s="11" t="s">
        <v>767</v>
      </c>
      <c r="F3" s="11" t="s">
        <v>768</v>
      </c>
      <c r="G3" s="13" t="s">
        <v>43</v>
      </c>
      <c r="H3" s="11" t="s">
        <v>324</v>
      </c>
      <c r="I3" s="3" t="s">
        <v>325</v>
      </c>
      <c r="J3" s="3" t="s">
        <v>325</v>
      </c>
      <c r="K3" s="11" t="s">
        <v>1856</v>
      </c>
      <c r="L3" s="4" t="s">
        <v>326</v>
      </c>
      <c r="M3" s="4" t="s">
        <v>327</v>
      </c>
      <c r="N3" s="4" t="s">
        <v>328</v>
      </c>
      <c r="O3" s="26" t="s">
        <v>329</v>
      </c>
      <c r="P3" s="5" t="s">
        <v>330</v>
      </c>
      <c r="Q3" s="1" t="s">
        <v>331</v>
      </c>
      <c r="R3" s="1"/>
      <c r="S3" s="1" t="s">
        <v>332</v>
      </c>
      <c r="T3" s="1"/>
      <c r="U3" s="1"/>
      <c r="V3" s="1" t="s">
        <v>93</v>
      </c>
      <c r="W3" s="1"/>
      <c r="X3" s="1" t="s">
        <v>55</v>
      </c>
      <c r="Y3" s="1" t="s">
        <v>56</v>
      </c>
      <c r="Z3" s="3">
        <v>43297</v>
      </c>
      <c r="AA3" s="3">
        <v>43297</v>
      </c>
      <c r="AB3" s="6"/>
      <c r="AC3" s="1"/>
      <c r="AD3" s="4" t="s">
        <v>333</v>
      </c>
      <c r="AE3" s="2">
        <v>26018</v>
      </c>
      <c r="AF3" s="3" t="s">
        <v>324</v>
      </c>
      <c r="AG3" s="7">
        <v>1762</v>
      </c>
      <c r="AH3" s="7">
        <v>1483</v>
      </c>
      <c r="AI3" s="7">
        <v>1338</v>
      </c>
      <c r="AJ3" s="7">
        <v>4583</v>
      </c>
      <c r="AK3" s="7">
        <v>5</v>
      </c>
      <c r="AL3" s="25" t="s">
        <v>57</v>
      </c>
      <c r="AM3" s="25" t="s">
        <v>58</v>
      </c>
      <c r="AN3" s="25" t="s">
        <v>59</v>
      </c>
      <c r="AO3" s="25" t="s">
        <v>322</v>
      </c>
      <c r="AP3" s="19" t="s">
        <v>60</v>
      </c>
      <c r="AQ3" s="19" t="s">
        <v>1884</v>
      </c>
      <c r="AR3" s="19" t="s">
        <v>1910</v>
      </c>
      <c r="AS3" s="19" t="s">
        <v>60</v>
      </c>
      <c r="AT3" s="19" t="s">
        <v>60</v>
      </c>
      <c r="AU3" s="19" t="s">
        <v>60</v>
      </c>
      <c r="AV3" s="19" t="s">
        <v>60</v>
      </c>
      <c r="AW3" s="19" t="s">
        <v>60</v>
      </c>
      <c r="AX3" s="19" t="s">
        <v>60</v>
      </c>
      <c r="AY3" s="19" t="s">
        <v>768</v>
      </c>
      <c r="AZ3" s="19" t="s">
        <v>767</v>
      </c>
      <c r="BA3" s="19" t="s">
        <v>2733</v>
      </c>
      <c r="BB3" s="19" t="s">
        <v>2734</v>
      </c>
      <c r="BC3" s="19" t="s">
        <v>2680</v>
      </c>
      <c r="BD3" s="75" t="s">
        <v>324</v>
      </c>
      <c r="BE3" s="100" t="s">
        <v>60</v>
      </c>
      <c r="BF3" s="100" t="s">
        <v>60</v>
      </c>
      <c r="BG3" s="100" t="s">
        <v>60</v>
      </c>
    </row>
    <row r="4" spans="1:59" s="10" customFormat="1" ht="13.5" x14ac:dyDescent="0.25">
      <c r="A4" s="59">
        <v>119</v>
      </c>
      <c r="B4" s="15" t="s">
        <v>60</v>
      </c>
      <c r="C4" s="12">
        <v>185979</v>
      </c>
      <c r="D4" s="11" t="s">
        <v>40</v>
      </c>
      <c r="E4" s="11" t="s">
        <v>129</v>
      </c>
      <c r="F4" s="11" t="s">
        <v>129</v>
      </c>
      <c r="G4" s="13" t="s">
        <v>352</v>
      </c>
      <c r="H4" s="11" t="s">
        <v>1755</v>
      </c>
      <c r="I4" s="3" t="s">
        <v>1688</v>
      </c>
      <c r="J4" s="3" t="s">
        <v>1688</v>
      </c>
      <c r="K4" s="11" t="s">
        <v>1841</v>
      </c>
      <c r="L4" s="4" t="s">
        <v>1270</v>
      </c>
      <c r="M4" s="4" t="s">
        <v>1270</v>
      </c>
      <c r="N4" s="4" t="s">
        <v>1270</v>
      </c>
      <c r="O4" s="26" t="s">
        <v>1271</v>
      </c>
      <c r="P4" s="5" t="s">
        <v>60</v>
      </c>
      <c r="Q4" s="1" t="s">
        <v>1272</v>
      </c>
      <c r="R4" s="1"/>
      <c r="S4" s="1" t="s">
        <v>1273</v>
      </c>
      <c r="T4" s="1"/>
      <c r="U4" s="1"/>
      <c r="V4" s="1"/>
      <c r="W4" s="1"/>
      <c r="X4" s="1" t="s">
        <v>55</v>
      </c>
      <c r="Y4" s="1" t="s">
        <v>56</v>
      </c>
      <c r="Z4" s="3">
        <v>45996</v>
      </c>
      <c r="AA4" s="3">
        <v>45996</v>
      </c>
      <c r="AB4" s="6"/>
      <c r="AC4" s="1"/>
      <c r="AD4" s="4" t="s">
        <v>1274</v>
      </c>
      <c r="AE4" s="2">
        <v>185979</v>
      </c>
      <c r="AF4" s="3" t="s">
        <v>1269</v>
      </c>
      <c r="AG4" s="7">
        <v>248</v>
      </c>
      <c r="AH4" s="7">
        <v>586</v>
      </c>
      <c r="AI4" s="7">
        <v>695</v>
      </c>
      <c r="AJ4" s="7">
        <v>1529</v>
      </c>
      <c r="AK4" s="7"/>
      <c r="AL4" s="25" t="s">
        <v>78</v>
      </c>
      <c r="AM4" s="25" t="s">
        <v>58</v>
      </c>
      <c r="AN4" s="25" t="s">
        <v>59</v>
      </c>
      <c r="AO4" s="25" t="s">
        <v>60</v>
      </c>
      <c r="AP4" s="19" t="s">
        <v>1841</v>
      </c>
      <c r="AQ4" s="19" t="s">
        <v>1869</v>
      </c>
      <c r="AR4" s="19" t="s">
        <v>60</v>
      </c>
      <c r="AS4" s="19"/>
      <c r="AT4" s="19" t="s">
        <v>2088</v>
      </c>
      <c r="AU4" s="19" t="s">
        <v>2098</v>
      </c>
      <c r="AV4" s="19">
        <v>7460008081</v>
      </c>
      <c r="AW4" s="20">
        <v>46120</v>
      </c>
      <c r="AX4" s="19" t="s">
        <v>1990</v>
      </c>
      <c r="AY4" s="27" t="s">
        <v>129</v>
      </c>
      <c r="AZ4" s="27" t="s">
        <v>129</v>
      </c>
      <c r="BA4" s="19" t="s">
        <v>2474</v>
      </c>
      <c r="BB4" s="19" t="s">
        <v>2717</v>
      </c>
      <c r="BC4" s="19" t="s">
        <v>579</v>
      </c>
      <c r="BD4" s="75" t="s">
        <v>1755</v>
      </c>
      <c r="BE4" s="100" t="s">
        <v>3805</v>
      </c>
      <c r="BF4" s="100" t="s">
        <v>3999</v>
      </c>
      <c r="BG4" s="100"/>
    </row>
    <row r="5" spans="1:59" s="10" customFormat="1" ht="13.5" x14ac:dyDescent="0.25">
      <c r="A5" s="59">
        <v>179</v>
      </c>
      <c r="B5" s="15" t="s">
        <v>60</v>
      </c>
      <c r="C5" s="12">
        <v>351028</v>
      </c>
      <c r="D5" s="11" t="s">
        <v>40</v>
      </c>
      <c r="E5" s="11" t="s">
        <v>61</v>
      </c>
      <c r="F5" s="11" t="s">
        <v>62</v>
      </c>
      <c r="G5" s="13" t="s">
        <v>63</v>
      </c>
      <c r="H5" s="11" t="s">
        <v>1690</v>
      </c>
      <c r="I5" s="3" t="s">
        <v>65</v>
      </c>
      <c r="J5" s="3" t="s">
        <v>65</v>
      </c>
      <c r="K5" s="11" t="s">
        <v>3699</v>
      </c>
      <c r="L5" s="4">
        <v>7070007010</v>
      </c>
      <c r="M5" s="4">
        <v>7070007010</v>
      </c>
      <c r="N5" s="4">
        <v>7070007010</v>
      </c>
      <c r="O5" s="26" t="s">
        <v>66</v>
      </c>
      <c r="P5" s="5" t="s">
        <v>60</v>
      </c>
      <c r="Q5" s="1" t="s">
        <v>67</v>
      </c>
      <c r="R5" s="1"/>
      <c r="S5" s="1" t="s">
        <v>68</v>
      </c>
      <c r="T5" s="1"/>
      <c r="U5" s="1"/>
      <c r="V5" s="1"/>
      <c r="W5" s="1"/>
      <c r="X5" s="1" t="s">
        <v>69</v>
      </c>
      <c r="Y5" s="1" t="s">
        <v>56</v>
      </c>
      <c r="Z5" s="3">
        <v>45835</v>
      </c>
      <c r="AA5" s="3">
        <v>45834</v>
      </c>
      <c r="AB5" s="6"/>
      <c r="AC5" s="1"/>
      <c r="AD5" s="4"/>
      <c r="AE5" s="2">
        <v>351028</v>
      </c>
      <c r="AF5" s="3" t="s">
        <v>64</v>
      </c>
      <c r="AG5" s="7" t="s">
        <v>60</v>
      </c>
      <c r="AH5" s="7" t="s">
        <v>60</v>
      </c>
      <c r="AI5" s="7" t="s">
        <v>60</v>
      </c>
      <c r="AJ5" s="7" t="s">
        <v>60</v>
      </c>
      <c r="AK5" s="7">
        <v>10</v>
      </c>
      <c r="AL5" s="25" t="s">
        <v>70</v>
      </c>
      <c r="AM5" s="25" t="s">
        <v>58</v>
      </c>
      <c r="AN5" s="25" t="s">
        <v>59</v>
      </c>
      <c r="AO5" s="25" t="e">
        <v>#N/A</v>
      </c>
      <c r="AP5" s="19" t="s">
        <v>3699</v>
      </c>
      <c r="AQ5" s="19" t="s">
        <v>1869</v>
      </c>
      <c r="AR5" s="19" t="s">
        <v>60</v>
      </c>
      <c r="AS5" s="19"/>
      <c r="AT5" s="19" t="s">
        <v>1993</v>
      </c>
      <c r="AU5" s="19" t="s">
        <v>1994</v>
      </c>
      <c r="AV5" s="19">
        <v>9810670823</v>
      </c>
      <c r="AW5" s="20">
        <v>46125</v>
      </c>
      <c r="AX5" s="19" t="s">
        <v>1990</v>
      </c>
      <c r="AY5" s="27" t="s">
        <v>62</v>
      </c>
      <c r="AZ5" s="27" t="s">
        <v>61</v>
      </c>
      <c r="BA5" s="19" t="s">
        <v>60</v>
      </c>
      <c r="BB5" s="19" t="s">
        <v>2558</v>
      </c>
      <c r="BC5" s="19" t="s">
        <v>2559</v>
      </c>
      <c r="BD5" s="75" t="s">
        <v>1690</v>
      </c>
      <c r="BE5" s="100" t="s">
        <v>3856</v>
      </c>
      <c r="BF5" s="100" t="s">
        <v>4208</v>
      </c>
      <c r="BG5" s="100" t="s">
        <v>4209</v>
      </c>
    </row>
    <row r="6" spans="1:59" s="10" customFormat="1" ht="13.5" x14ac:dyDescent="0.25">
      <c r="A6" s="59">
        <v>84</v>
      </c>
      <c r="B6" s="15" t="s">
        <v>301</v>
      </c>
      <c r="C6" s="12">
        <v>26225</v>
      </c>
      <c r="D6" s="11" t="s">
        <v>40</v>
      </c>
      <c r="E6" s="11" t="s">
        <v>61</v>
      </c>
      <c r="F6" s="11" t="s">
        <v>270</v>
      </c>
      <c r="G6" s="13" t="s">
        <v>43</v>
      </c>
      <c r="H6" s="11" t="s">
        <v>1933</v>
      </c>
      <c r="I6" s="3" t="s">
        <v>303</v>
      </c>
      <c r="J6" s="3" t="s">
        <v>303</v>
      </c>
      <c r="K6" s="11" t="s">
        <v>1854</v>
      </c>
      <c r="L6" s="4" t="s">
        <v>304</v>
      </c>
      <c r="M6" s="4" t="s">
        <v>305</v>
      </c>
      <c r="N6" s="4" t="s">
        <v>306</v>
      </c>
      <c r="O6" s="26" t="s">
        <v>307</v>
      </c>
      <c r="P6" s="5" t="s">
        <v>60</v>
      </c>
      <c r="Q6" s="1" t="s">
        <v>308</v>
      </c>
      <c r="R6" s="1"/>
      <c r="S6" s="1" t="s">
        <v>309</v>
      </c>
      <c r="T6" s="1"/>
      <c r="U6" s="1"/>
      <c r="V6" s="1" t="s">
        <v>77</v>
      </c>
      <c r="W6" s="1"/>
      <c r="X6" s="1" t="s">
        <v>310</v>
      </c>
      <c r="Y6" s="1" t="s">
        <v>56</v>
      </c>
      <c r="Z6" s="3">
        <v>43115</v>
      </c>
      <c r="AA6" s="3">
        <v>43066</v>
      </c>
      <c r="AB6" s="6"/>
      <c r="AC6" s="1"/>
      <c r="AD6" s="4"/>
      <c r="AE6" s="2">
        <v>26225</v>
      </c>
      <c r="AF6" s="3" t="s">
        <v>302</v>
      </c>
      <c r="AG6" s="7">
        <v>1602</v>
      </c>
      <c r="AH6" s="7">
        <v>1715</v>
      </c>
      <c r="AI6" s="7">
        <v>2033</v>
      </c>
      <c r="AJ6" s="7">
        <v>5350</v>
      </c>
      <c r="AK6" s="7">
        <v>9</v>
      </c>
      <c r="AL6" s="25" t="s">
        <v>57</v>
      </c>
      <c r="AM6" s="25" t="s">
        <v>58</v>
      </c>
      <c r="AN6" s="25" t="s">
        <v>59</v>
      </c>
      <c r="AO6" s="25" t="s">
        <v>143</v>
      </c>
      <c r="AP6" s="19" t="s">
        <v>1854</v>
      </c>
      <c r="AQ6" s="19" t="s">
        <v>1869</v>
      </c>
      <c r="AR6" s="19" t="s">
        <v>3416</v>
      </c>
      <c r="AS6" s="19"/>
      <c r="AT6" s="19" t="s">
        <v>2275</v>
      </c>
      <c r="AU6" s="19" t="s">
        <v>2092</v>
      </c>
      <c r="AV6" s="19">
        <v>7753851136</v>
      </c>
      <c r="AW6" s="20">
        <v>46123</v>
      </c>
      <c r="AX6" s="19" t="s">
        <v>1990</v>
      </c>
      <c r="AY6" s="27" t="s">
        <v>270</v>
      </c>
      <c r="AZ6" s="27" t="s">
        <v>61</v>
      </c>
      <c r="BA6" s="19" t="s">
        <v>2772</v>
      </c>
      <c r="BB6" s="19" t="s">
        <v>2773</v>
      </c>
      <c r="BC6" s="19" t="s">
        <v>2774</v>
      </c>
      <c r="BD6" s="75" t="s">
        <v>1933</v>
      </c>
      <c r="BE6" s="100" t="s">
        <v>3772</v>
      </c>
      <c r="BF6" s="100" t="s">
        <v>4002</v>
      </c>
      <c r="BG6" s="100"/>
    </row>
    <row r="7" spans="1:59" s="10" customFormat="1" ht="13.5" x14ac:dyDescent="0.25">
      <c r="A7" s="59">
        <v>6</v>
      </c>
      <c r="B7" s="15" t="s">
        <v>311</v>
      </c>
      <c r="C7" s="12">
        <v>25557</v>
      </c>
      <c r="D7" s="11" t="s">
        <v>103</v>
      </c>
      <c r="E7" s="11" t="s">
        <v>767</v>
      </c>
      <c r="F7" s="11" t="s">
        <v>1614</v>
      </c>
      <c r="G7" s="13" t="s">
        <v>43</v>
      </c>
      <c r="H7" s="11" t="s">
        <v>312</v>
      </c>
      <c r="I7" s="3" t="s">
        <v>313</v>
      </c>
      <c r="J7" s="3" t="s">
        <v>314</v>
      </c>
      <c r="K7" s="23" t="s">
        <v>3697</v>
      </c>
      <c r="L7" s="4" t="s">
        <v>315</v>
      </c>
      <c r="M7" s="4" t="s">
        <v>316</v>
      </c>
      <c r="N7" s="4" t="s">
        <v>317</v>
      </c>
      <c r="O7" s="26" t="s">
        <v>318</v>
      </c>
      <c r="P7" s="5" t="s">
        <v>60</v>
      </c>
      <c r="Q7" s="1" t="s">
        <v>319</v>
      </c>
      <c r="R7" s="1"/>
      <c r="S7" s="1" t="s">
        <v>320</v>
      </c>
      <c r="T7" s="1"/>
      <c r="U7" s="1"/>
      <c r="V7" s="1" t="s">
        <v>93</v>
      </c>
      <c r="W7" s="1"/>
      <c r="X7" s="1" t="s">
        <v>55</v>
      </c>
      <c r="Y7" s="1" t="s">
        <v>56</v>
      </c>
      <c r="Z7" s="3">
        <v>43283</v>
      </c>
      <c r="AA7" s="3">
        <v>43281</v>
      </c>
      <c r="AB7" s="6"/>
      <c r="AC7" s="1"/>
      <c r="AD7" s="4" t="s">
        <v>321</v>
      </c>
      <c r="AE7" s="2">
        <v>25557</v>
      </c>
      <c r="AF7" s="3" t="s">
        <v>312</v>
      </c>
      <c r="AG7" s="7">
        <v>1287</v>
      </c>
      <c r="AH7" s="7">
        <v>1305</v>
      </c>
      <c r="AI7" s="7">
        <v>1328</v>
      </c>
      <c r="AJ7" s="7">
        <v>3920</v>
      </c>
      <c r="AK7" s="7">
        <v>16</v>
      </c>
      <c r="AL7" s="25" t="s">
        <v>57</v>
      </c>
      <c r="AM7" s="25" t="s">
        <v>58</v>
      </c>
      <c r="AN7" s="25" t="s">
        <v>59</v>
      </c>
      <c r="AO7" s="25" t="s">
        <v>322</v>
      </c>
      <c r="AP7" s="19" t="s">
        <v>60</v>
      </c>
      <c r="AQ7" s="19" t="s">
        <v>1884</v>
      </c>
      <c r="AR7" s="19" t="s">
        <v>1912</v>
      </c>
      <c r="AS7" s="19" t="s">
        <v>60</v>
      </c>
      <c r="AT7" s="19" t="s">
        <v>60</v>
      </c>
      <c r="AU7" s="19" t="s">
        <v>60</v>
      </c>
      <c r="AV7" s="19" t="s">
        <v>60</v>
      </c>
      <c r="AW7" s="19" t="s">
        <v>60</v>
      </c>
      <c r="AX7" s="19" t="s">
        <v>60</v>
      </c>
      <c r="AY7" s="19" t="s">
        <v>1614</v>
      </c>
      <c r="AZ7" s="19" t="s">
        <v>767</v>
      </c>
      <c r="BA7" s="19" t="s">
        <v>2738</v>
      </c>
      <c r="BB7" s="19" t="s">
        <v>2739</v>
      </c>
      <c r="BC7" s="19" t="s">
        <v>2468</v>
      </c>
      <c r="BD7" s="75" t="s">
        <v>312</v>
      </c>
      <c r="BE7" s="100" t="s">
        <v>60</v>
      </c>
      <c r="BF7" s="100" t="s">
        <v>60</v>
      </c>
      <c r="BG7" s="100" t="s">
        <v>60</v>
      </c>
    </row>
    <row r="8" spans="1:59" s="10" customFormat="1" ht="13.5" x14ac:dyDescent="0.25">
      <c r="A8" s="59">
        <v>86</v>
      </c>
      <c r="B8" s="15" t="s">
        <v>301</v>
      </c>
      <c r="C8" s="12">
        <v>26225</v>
      </c>
      <c r="D8" s="11" t="s">
        <v>40</v>
      </c>
      <c r="E8" s="11" t="s">
        <v>61</v>
      </c>
      <c r="F8" s="11" t="s">
        <v>62</v>
      </c>
      <c r="G8" s="13" t="s">
        <v>43</v>
      </c>
      <c r="H8" s="11" t="s">
        <v>1934</v>
      </c>
      <c r="I8" s="3" t="s">
        <v>303</v>
      </c>
      <c r="J8" s="3" t="s">
        <v>303</v>
      </c>
      <c r="K8" s="11" t="s">
        <v>1964</v>
      </c>
      <c r="L8" s="4" t="s">
        <v>304</v>
      </c>
      <c r="M8" s="4" t="s">
        <v>305</v>
      </c>
      <c r="N8" s="4" t="s">
        <v>306</v>
      </c>
      <c r="O8" s="26" t="s">
        <v>307</v>
      </c>
      <c r="P8" s="5" t="s">
        <v>60</v>
      </c>
      <c r="Q8" s="1" t="s">
        <v>308</v>
      </c>
      <c r="R8" s="1"/>
      <c r="S8" s="1" t="s">
        <v>309</v>
      </c>
      <c r="T8" s="1"/>
      <c r="U8" s="1"/>
      <c r="V8" s="1" t="s">
        <v>77</v>
      </c>
      <c r="W8" s="1"/>
      <c r="X8" s="1" t="s">
        <v>310</v>
      </c>
      <c r="Y8" s="1" t="s">
        <v>56</v>
      </c>
      <c r="Z8" s="3">
        <v>43115</v>
      </c>
      <c r="AA8" s="3">
        <v>43066</v>
      </c>
      <c r="AB8" s="6"/>
      <c r="AC8" s="1"/>
      <c r="AD8" s="4"/>
      <c r="AE8" s="2">
        <v>26225</v>
      </c>
      <c r="AF8" s="3" t="s">
        <v>302</v>
      </c>
      <c r="AG8" s="7">
        <v>1602</v>
      </c>
      <c r="AH8" s="7">
        <v>1715</v>
      </c>
      <c r="AI8" s="7">
        <v>2033</v>
      </c>
      <c r="AJ8" s="7">
        <v>5350</v>
      </c>
      <c r="AK8" s="7">
        <v>9</v>
      </c>
      <c r="AL8" s="25" t="s">
        <v>57</v>
      </c>
      <c r="AM8" s="25" t="s">
        <v>58</v>
      </c>
      <c r="AN8" s="25" t="s">
        <v>59</v>
      </c>
      <c r="AO8" s="25"/>
      <c r="AP8" s="19" t="s">
        <v>1964</v>
      </c>
      <c r="AQ8" s="19" t="s">
        <v>1869</v>
      </c>
      <c r="AR8" s="19" t="s">
        <v>3418</v>
      </c>
      <c r="AS8" s="19"/>
      <c r="AT8" s="19" t="s">
        <v>2009</v>
      </c>
      <c r="AU8" s="19" t="s">
        <v>1994</v>
      </c>
      <c r="AV8" s="19">
        <v>9810670823</v>
      </c>
      <c r="AW8" s="20">
        <v>46126</v>
      </c>
      <c r="AX8" s="19" t="s">
        <v>1990</v>
      </c>
      <c r="AY8" s="27" t="s">
        <v>62</v>
      </c>
      <c r="AZ8" s="27" t="s">
        <v>61</v>
      </c>
      <c r="BA8" s="19" t="s">
        <v>2772</v>
      </c>
      <c r="BB8" s="19" t="s">
        <v>2773</v>
      </c>
      <c r="BC8" s="19" t="s">
        <v>2774</v>
      </c>
      <c r="BD8" s="75" t="s">
        <v>1934</v>
      </c>
      <c r="BE8" s="100" t="s">
        <v>3774</v>
      </c>
      <c r="BF8" s="100" t="s">
        <v>4003</v>
      </c>
      <c r="BG8" s="100"/>
    </row>
    <row r="9" spans="1:59" s="10" customFormat="1" ht="13.5" x14ac:dyDescent="0.25">
      <c r="A9" s="59">
        <v>37</v>
      </c>
      <c r="B9" s="15" t="s">
        <v>60</v>
      </c>
      <c r="C9" s="12">
        <v>348998</v>
      </c>
      <c r="D9" s="11" t="s">
        <v>40</v>
      </c>
      <c r="E9" s="11" t="s">
        <v>129</v>
      </c>
      <c r="F9" s="11" t="s">
        <v>129</v>
      </c>
      <c r="G9" s="13" t="s">
        <v>43</v>
      </c>
      <c r="H9" s="11" t="s">
        <v>71</v>
      </c>
      <c r="I9" s="3" t="s">
        <v>72</v>
      </c>
      <c r="J9" s="3" t="s">
        <v>72</v>
      </c>
      <c r="K9" s="11" t="s">
        <v>1885</v>
      </c>
      <c r="L9" s="4" t="s">
        <v>73</v>
      </c>
      <c r="M9" s="4" t="s">
        <v>73</v>
      </c>
      <c r="N9" s="4">
        <v>9811006913</v>
      </c>
      <c r="O9" s="26" t="s">
        <v>74</v>
      </c>
      <c r="P9" s="5" t="s">
        <v>60</v>
      </c>
      <c r="Q9" s="1" t="s">
        <v>75</v>
      </c>
      <c r="R9" s="1"/>
      <c r="S9" s="1" t="s">
        <v>76</v>
      </c>
      <c r="T9" s="1"/>
      <c r="U9" s="1"/>
      <c r="V9" s="1" t="s">
        <v>77</v>
      </c>
      <c r="W9" s="1"/>
      <c r="X9" s="1" t="s">
        <v>69</v>
      </c>
      <c r="Y9" s="1" t="s">
        <v>56</v>
      </c>
      <c r="Z9" s="3">
        <v>45838</v>
      </c>
      <c r="AA9" s="3">
        <v>45838</v>
      </c>
      <c r="AB9" s="6"/>
      <c r="AC9" s="1"/>
      <c r="AD9" s="4"/>
      <c r="AE9" s="2">
        <v>348998</v>
      </c>
      <c r="AF9" s="3" t="s">
        <v>71</v>
      </c>
      <c r="AG9" s="7">
        <v>172</v>
      </c>
      <c r="AH9" s="7">
        <v>181</v>
      </c>
      <c r="AI9" s="7">
        <v>138</v>
      </c>
      <c r="AJ9" s="7">
        <v>491</v>
      </c>
      <c r="AK9" s="7"/>
      <c r="AL9" s="25" t="s">
        <v>78</v>
      </c>
      <c r="AM9" s="25" t="s">
        <v>58</v>
      </c>
      <c r="AN9" s="25" t="s">
        <v>59</v>
      </c>
      <c r="AO9" s="25" t="s">
        <v>79</v>
      </c>
      <c r="AP9" s="19" t="s">
        <v>1885</v>
      </c>
      <c r="AQ9" s="19" t="s">
        <v>1869</v>
      </c>
      <c r="AR9" s="19" t="s">
        <v>60</v>
      </c>
      <c r="AS9" s="19"/>
      <c r="AT9" s="19" t="s">
        <v>2270</v>
      </c>
      <c r="AU9" s="19" t="s">
        <v>2346</v>
      </c>
      <c r="AV9" s="19">
        <v>9217935065</v>
      </c>
      <c r="AW9" s="20">
        <v>46123</v>
      </c>
      <c r="AX9" s="19" t="s">
        <v>1990</v>
      </c>
      <c r="AY9" s="27" t="s">
        <v>129</v>
      </c>
      <c r="AZ9" s="27" t="s">
        <v>129</v>
      </c>
      <c r="BA9" s="19" t="s">
        <v>2391</v>
      </c>
      <c r="BB9" s="19" t="s">
        <v>2690</v>
      </c>
      <c r="BC9" s="19" t="s">
        <v>2392</v>
      </c>
      <c r="BD9" s="75" t="s">
        <v>71</v>
      </c>
      <c r="BE9" s="100" t="s">
        <v>3732</v>
      </c>
      <c r="BF9" s="100" t="s">
        <v>4004</v>
      </c>
      <c r="BG9" s="100"/>
    </row>
    <row r="10" spans="1:59" s="10" customFormat="1" ht="13.5" x14ac:dyDescent="0.25">
      <c r="A10" s="59">
        <v>80</v>
      </c>
      <c r="B10" s="15" t="s">
        <v>301</v>
      </c>
      <c r="C10" s="12">
        <v>26225</v>
      </c>
      <c r="D10" s="11" t="s">
        <v>40</v>
      </c>
      <c r="E10" s="11" t="s">
        <v>61</v>
      </c>
      <c r="F10" s="11" t="s">
        <v>593</v>
      </c>
      <c r="G10" s="13" t="s">
        <v>43</v>
      </c>
      <c r="H10" s="11" t="s">
        <v>1935</v>
      </c>
      <c r="I10" s="3" t="s">
        <v>303</v>
      </c>
      <c r="J10" s="3" t="s">
        <v>303</v>
      </c>
      <c r="K10" s="11" t="s">
        <v>1965</v>
      </c>
      <c r="L10" s="4" t="s">
        <v>304</v>
      </c>
      <c r="M10" s="4" t="s">
        <v>305</v>
      </c>
      <c r="N10" s="4" t="s">
        <v>306</v>
      </c>
      <c r="O10" s="26" t="s">
        <v>307</v>
      </c>
      <c r="P10" s="5" t="s">
        <v>60</v>
      </c>
      <c r="Q10" s="1" t="s">
        <v>308</v>
      </c>
      <c r="R10" s="1"/>
      <c r="S10" s="1" t="s">
        <v>309</v>
      </c>
      <c r="T10" s="1"/>
      <c r="U10" s="1"/>
      <c r="V10" s="1" t="s">
        <v>77</v>
      </c>
      <c r="W10" s="1"/>
      <c r="X10" s="1" t="s">
        <v>310</v>
      </c>
      <c r="Y10" s="1" t="s">
        <v>56</v>
      </c>
      <c r="Z10" s="3">
        <v>43115</v>
      </c>
      <c r="AA10" s="3">
        <v>43066</v>
      </c>
      <c r="AB10" s="6"/>
      <c r="AC10" s="1"/>
      <c r="AD10" s="4"/>
      <c r="AE10" s="2">
        <v>26225</v>
      </c>
      <c r="AF10" s="3" t="s">
        <v>302</v>
      </c>
      <c r="AG10" s="7">
        <v>1602</v>
      </c>
      <c r="AH10" s="7">
        <v>1715</v>
      </c>
      <c r="AI10" s="7">
        <v>2033</v>
      </c>
      <c r="AJ10" s="7">
        <v>5350</v>
      </c>
      <c r="AK10" s="7">
        <v>9</v>
      </c>
      <c r="AL10" s="25" t="s">
        <v>57</v>
      </c>
      <c r="AM10" s="25" t="s">
        <v>58</v>
      </c>
      <c r="AN10" s="25" t="s">
        <v>59</v>
      </c>
      <c r="AO10" s="25"/>
      <c r="AP10" s="19" t="s">
        <v>1965</v>
      </c>
      <c r="AQ10" s="19" t="s">
        <v>1869</v>
      </c>
      <c r="AR10" s="19" t="s">
        <v>60</v>
      </c>
      <c r="AS10" s="19"/>
      <c r="AT10" s="19" t="s">
        <v>2276</v>
      </c>
      <c r="AU10" s="19" t="s">
        <v>2092</v>
      </c>
      <c r="AV10" s="19">
        <v>7753851136</v>
      </c>
      <c r="AW10" s="20">
        <v>46127</v>
      </c>
      <c r="AX10" s="19" t="s">
        <v>1990</v>
      </c>
      <c r="AY10" s="27" t="s">
        <v>593</v>
      </c>
      <c r="AZ10" s="27" t="s">
        <v>61</v>
      </c>
      <c r="BA10" s="19" t="s">
        <v>2772</v>
      </c>
      <c r="BB10" s="19" t="s">
        <v>2773</v>
      </c>
      <c r="BC10" s="19" t="s">
        <v>2774</v>
      </c>
      <c r="BD10" s="75" t="s">
        <v>1935</v>
      </c>
      <c r="BE10" s="100" t="s">
        <v>3768</v>
      </c>
      <c r="BF10" s="100" t="s">
        <v>4000</v>
      </c>
      <c r="BG10" s="100" t="s">
        <v>4001</v>
      </c>
    </row>
    <row r="11" spans="1:59" s="10" customFormat="1" ht="13.5" x14ac:dyDescent="0.25">
      <c r="A11" s="59">
        <v>7</v>
      </c>
      <c r="B11" s="15" t="s">
        <v>311</v>
      </c>
      <c r="C11" s="12">
        <v>25557</v>
      </c>
      <c r="D11" s="11" t="s">
        <v>103</v>
      </c>
      <c r="E11" s="11" t="s">
        <v>968</v>
      </c>
      <c r="F11" s="11" t="s">
        <v>414</v>
      </c>
      <c r="G11" s="13" t="s">
        <v>43</v>
      </c>
      <c r="H11" s="11" t="s">
        <v>1937</v>
      </c>
      <c r="I11" s="3" t="s">
        <v>313</v>
      </c>
      <c r="J11" s="3" t="s">
        <v>314</v>
      </c>
      <c r="K11" s="11" t="s">
        <v>1855</v>
      </c>
      <c r="L11" s="4" t="s">
        <v>315</v>
      </c>
      <c r="M11" s="4" t="s">
        <v>316</v>
      </c>
      <c r="N11" s="4" t="s">
        <v>317</v>
      </c>
      <c r="O11" s="26" t="s">
        <v>318</v>
      </c>
      <c r="P11" s="5" t="s">
        <v>60</v>
      </c>
      <c r="Q11" s="1" t="s">
        <v>319</v>
      </c>
      <c r="R11" s="1"/>
      <c r="S11" s="1" t="s">
        <v>320</v>
      </c>
      <c r="T11" s="1"/>
      <c r="U11" s="1"/>
      <c r="V11" s="1" t="s">
        <v>93</v>
      </c>
      <c r="W11" s="1"/>
      <c r="X11" s="1" t="s">
        <v>55</v>
      </c>
      <c r="Y11" s="1" t="s">
        <v>56</v>
      </c>
      <c r="Z11" s="3">
        <v>43283</v>
      </c>
      <c r="AA11" s="3">
        <v>43281</v>
      </c>
      <c r="AB11" s="6"/>
      <c r="AC11" s="1"/>
      <c r="AD11" s="4" t="s">
        <v>321</v>
      </c>
      <c r="AE11" s="2">
        <v>25557</v>
      </c>
      <c r="AF11" s="3" t="s">
        <v>312</v>
      </c>
      <c r="AG11" s="7">
        <v>1287</v>
      </c>
      <c r="AH11" s="7">
        <v>1305</v>
      </c>
      <c r="AI11" s="7">
        <v>1328</v>
      </c>
      <c r="AJ11" s="7">
        <v>3920</v>
      </c>
      <c r="AK11" s="7">
        <v>16</v>
      </c>
      <c r="AL11" s="25" t="s">
        <v>57</v>
      </c>
      <c r="AM11" s="25" t="s">
        <v>58</v>
      </c>
      <c r="AN11" s="25" t="s">
        <v>59</v>
      </c>
      <c r="AO11" s="25" t="s">
        <v>322</v>
      </c>
      <c r="AP11" s="19" t="s">
        <v>1855</v>
      </c>
      <c r="AQ11" s="19" t="s">
        <v>1869</v>
      </c>
      <c r="AR11" s="19" t="s">
        <v>3415</v>
      </c>
      <c r="AS11" s="19"/>
      <c r="AT11" s="19" t="s">
        <v>2011</v>
      </c>
      <c r="AU11" s="19" t="s">
        <v>2091</v>
      </c>
      <c r="AV11" s="19">
        <v>9354241930</v>
      </c>
      <c r="AW11" s="20">
        <v>46134</v>
      </c>
      <c r="AX11" s="19" t="s">
        <v>1990</v>
      </c>
      <c r="AY11" s="27" t="s">
        <v>414</v>
      </c>
      <c r="AZ11" s="27" t="s">
        <v>968</v>
      </c>
      <c r="BA11" s="19" t="s">
        <v>2738</v>
      </c>
      <c r="BB11" s="19" t="s">
        <v>2739</v>
      </c>
      <c r="BC11" s="19" t="s">
        <v>2468</v>
      </c>
      <c r="BD11" s="75" t="s">
        <v>1937</v>
      </c>
      <c r="BE11" s="100" t="s">
        <v>3706</v>
      </c>
      <c r="BF11" s="100" t="s">
        <v>4007</v>
      </c>
      <c r="BG11" s="100"/>
    </row>
    <row r="12" spans="1:59" s="10" customFormat="1" ht="13.5" x14ac:dyDescent="0.25">
      <c r="A12" s="59">
        <v>10</v>
      </c>
      <c r="B12" s="15" t="s">
        <v>1848</v>
      </c>
      <c r="C12" s="12">
        <v>307991</v>
      </c>
      <c r="D12" s="11" t="s">
        <v>40</v>
      </c>
      <c r="E12" s="11" t="s">
        <v>129</v>
      </c>
      <c r="F12" s="11" t="s">
        <v>129</v>
      </c>
      <c r="G12" s="13" t="s">
        <v>43</v>
      </c>
      <c r="H12" s="11" t="s">
        <v>1724</v>
      </c>
      <c r="I12" s="3" t="s">
        <v>1658</v>
      </c>
      <c r="J12" s="3" t="s">
        <v>1658</v>
      </c>
      <c r="K12" s="11" t="s">
        <v>1809</v>
      </c>
      <c r="L12" s="4">
        <v>7303036357</v>
      </c>
      <c r="M12" s="4">
        <v>7303036357</v>
      </c>
      <c r="N12" s="4">
        <v>7303036357</v>
      </c>
      <c r="O12" s="26" t="s">
        <v>960</v>
      </c>
      <c r="P12" s="5" t="s">
        <v>60</v>
      </c>
      <c r="Q12" s="1" t="s">
        <v>961</v>
      </c>
      <c r="R12" s="1"/>
      <c r="S12" s="1" t="s">
        <v>962</v>
      </c>
      <c r="T12" s="1"/>
      <c r="U12" s="1"/>
      <c r="V12" s="1" t="s">
        <v>963</v>
      </c>
      <c r="W12" s="1"/>
      <c r="X12" s="1" t="s">
        <v>55</v>
      </c>
      <c r="Y12" s="1" t="s">
        <v>56</v>
      </c>
      <c r="Z12" s="3">
        <v>45680</v>
      </c>
      <c r="AA12" s="3">
        <v>45679</v>
      </c>
      <c r="AB12" s="6"/>
      <c r="AC12" s="1"/>
      <c r="AD12" s="4"/>
      <c r="AE12" s="2">
        <v>307991</v>
      </c>
      <c r="AF12" s="3" t="s">
        <v>959</v>
      </c>
      <c r="AG12" s="7">
        <v>140</v>
      </c>
      <c r="AH12" s="7">
        <v>78</v>
      </c>
      <c r="AI12" s="7">
        <v>121</v>
      </c>
      <c r="AJ12" s="7">
        <v>339</v>
      </c>
      <c r="AK12" s="7"/>
      <c r="AL12" s="25" t="s">
        <v>78</v>
      </c>
      <c r="AM12" s="25" t="s">
        <v>58</v>
      </c>
      <c r="AN12" s="25" t="s">
        <v>59</v>
      </c>
      <c r="AO12" s="25" t="s">
        <v>79</v>
      </c>
      <c r="AP12" s="19" t="s">
        <v>1809</v>
      </c>
      <c r="AQ12" s="19" t="s">
        <v>1869</v>
      </c>
      <c r="AR12" s="19" t="s">
        <v>60</v>
      </c>
      <c r="AS12" s="19"/>
      <c r="AT12" s="19" t="s">
        <v>2301</v>
      </c>
      <c r="AU12" s="19" t="s">
        <v>2090</v>
      </c>
      <c r="AV12" s="19">
        <v>9354183359</v>
      </c>
      <c r="AW12" s="20">
        <v>46126</v>
      </c>
      <c r="AX12" s="19" t="s">
        <v>1990</v>
      </c>
      <c r="AY12" s="27" t="s">
        <v>129</v>
      </c>
      <c r="AZ12" s="27" t="s">
        <v>129</v>
      </c>
      <c r="BA12" s="19" t="s">
        <v>2363</v>
      </c>
      <c r="BB12" s="19" t="s">
        <v>2683</v>
      </c>
      <c r="BC12" s="19" t="s">
        <v>2364</v>
      </c>
      <c r="BD12" s="75" t="s">
        <v>1724</v>
      </c>
      <c r="BE12" s="100" t="s">
        <v>3709</v>
      </c>
      <c r="BF12" s="100" t="s">
        <v>4008</v>
      </c>
      <c r="BG12" s="100"/>
    </row>
    <row r="13" spans="1:59" s="10" customFormat="1" ht="13.5" x14ac:dyDescent="0.25">
      <c r="A13" s="59">
        <v>101</v>
      </c>
      <c r="B13" s="15" t="s">
        <v>311</v>
      </c>
      <c r="C13" s="12">
        <v>25557</v>
      </c>
      <c r="D13" s="11" t="s">
        <v>103</v>
      </c>
      <c r="E13" s="11" t="s">
        <v>104</v>
      </c>
      <c r="F13" s="11" t="s">
        <v>105</v>
      </c>
      <c r="G13" s="13" t="s">
        <v>43</v>
      </c>
      <c r="H13" s="11" t="s">
        <v>1936</v>
      </c>
      <c r="I13" s="3" t="s">
        <v>313</v>
      </c>
      <c r="J13" s="3" t="s">
        <v>314</v>
      </c>
      <c r="K13" s="11" t="s">
        <v>1911</v>
      </c>
      <c r="L13" s="4" t="s">
        <v>315</v>
      </c>
      <c r="M13" s="4" t="s">
        <v>316</v>
      </c>
      <c r="N13" s="4" t="s">
        <v>317</v>
      </c>
      <c r="O13" s="26" t="s">
        <v>318</v>
      </c>
      <c r="P13" s="5" t="s">
        <v>60</v>
      </c>
      <c r="Q13" s="1" t="s">
        <v>319</v>
      </c>
      <c r="R13" s="1"/>
      <c r="S13" s="1" t="s">
        <v>320</v>
      </c>
      <c r="T13" s="1"/>
      <c r="U13" s="1"/>
      <c r="V13" s="1" t="s">
        <v>93</v>
      </c>
      <c r="W13" s="1"/>
      <c r="X13" s="1" t="s">
        <v>55</v>
      </c>
      <c r="Y13" s="1" t="s">
        <v>56</v>
      </c>
      <c r="Z13" s="3">
        <v>43283</v>
      </c>
      <c r="AA13" s="3">
        <v>43281</v>
      </c>
      <c r="AB13" s="6"/>
      <c r="AC13" s="1"/>
      <c r="AD13" s="4" t="s">
        <v>321</v>
      </c>
      <c r="AE13" s="2">
        <v>25557</v>
      </c>
      <c r="AF13" s="3" t="s">
        <v>312</v>
      </c>
      <c r="AG13" s="7">
        <v>1287</v>
      </c>
      <c r="AH13" s="7">
        <v>1305</v>
      </c>
      <c r="AI13" s="7">
        <v>1328</v>
      </c>
      <c r="AJ13" s="7">
        <v>3920</v>
      </c>
      <c r="AK13" s="7">
        <v>16</v>
      </c>
      <c r="AL13" s="25" t="s">
        <v>57</v>
      </c>
      <c r="AM13" s="25" t="s">
        <v>58</v>
      </c>
      <c r="AN13" s="25" t="s">
        <v>59</v>
      </c>
      <c r="AO13" s="25" t="s">
        <v>322</v>
      </c>
      <c r="AP13" s="19" t="s">
        <v>1883</v>
      </c>
      <c r="AQ13" s="19" t="s">
        <v>1869</v>
      </c>
      <c r="AR13" s="19" t="s">
        <v>60</v>
      </c>
      <c r="AS13" s="19"/>
      <c r="AT13" s="19" t="s">
        <v>2010</v>
      </c>
      <c r="AU13" s="19" t="s">
        <v>2091</v>
      </c>
      <c r="AV13" s="19">
        <v>9354241930</v>
      </c>
      <c r="AW13" s="20">
        <v>46121</v>
      </c>
      <c r="AX13" s="19" t="s">
        <v>1990</v>
      </c>
      <c r="AY13" s="27" t="s">
        <v>105</v>
      </c>
      <c r="AZ13" s="27" t="s">
        <v>104</v>
      </c>
      <c r="BA13" s="19" t="s">
        <v>2738</v>
      </c>
      <c r="BB13" s="19" t="s">
        <v>2739</v>
      </c>
      <c r="BC13" s="19" t="s">
        <v>2468</v>
      </c>
      <c r="BD13" s="75" t="s">
        <v>1936</v>
      </c>
      <c r="BE13" s="100" t="s">
        <v>3789</v>
      </c>
      <c r="BF13" s="100" t="s">
        <v>4005</v>
      </c>
      <c r="BG13" s="100" t="s">
        <v>4006</v>
      </c>
    </row>
    <row r="14" spans="1:59" s="10" customFormat="1" ht="13.5" x14ac:dyDescent="0.25">
      <c r="A14" s="59">
        <v>181</v>
      </c>
      <c r="B14" s="15" t="s">
        <v>60</v>
      </c>
      <c r="C14" s="12">
        <v>312995</v>
      </c>
      <c r="D14" s="11" t="s">
        <v>40</v>
      </c>
      <c r="E14" s="11" t="s">
        <v>61</v>
      </c>
      <c r="F14" s="11" t="s">
        <v>986</v>
      </c>
      <c r="G14" s="13" t="s">
        <v>63</v>
      </c>
      <c r="H14" s="11" t="s">
        <v>1730</v>
      </c>
      <c r="I14" s="3" t="s">
        <v>1664</v>
      </c>
      <c r="J14" s="3" t="s">
        <v>1664</v>
      </c>
      <c r="K14" s="11" t="s">
        <v>1815</v>
      </c>
      <c r="L14" s="4">
        <v>8004555581</v>
      </c>
      <c r="M14" s="4">
        <v>8004555581</v>
      </c>
      <c r="N14" s="4">
        <v>8004555581</v>
      </c>
      <c r="O14" s="26" t="s">
        <v>988</v>
      </c>
      <c r="P14" s="5" t="s">
        <v>60</v>
      </c>
      <c r="Q14" s="1" t="s">
        <v>989</v>
      </c>
      <c r="R14" s="1"/>
      <c r="S14" s="1" t="s">
        <v>990</v>
      </c>
      <c r="T14" s="1"/>
      <c r="U14" s="1"/>
      <c r="V14" s="1" t="s">
        <v>224</v>
      </c>
      <c r="W14" s="1"/>
      <c r="X14" s="1" t="s">
        <v>55</v>
      </c>
      <c r="Y14" s="1" t="s">
        <v>56</v>
      </c>
      <c r="Z14" s="3">
        <v>45670</v>
      </c>
      <c r="AA14" s="3">
        <v>45667</v>
      </c>
      <c r="AB14" s="6"/>
      <c r="AC14" s="1"/>
      <c r="AD14" s="4" t="s">
        <v>587</v>
      </c>
      <c r="AE14" s="2">
        <v>312995</v>
      </c>
      <c r="AF14" s="3" t="s">
        <v>987</v>
      </c>
      <c r="AG14" s="7" t="s">
        <v>60</v>
      </c>
      <c r="AH14" s="7" t="s">
        <v>60</v>
      </c>
      <c r="AI14" s="7" t="s">
        <v>60</v>
      </c>
      <c r="AJ14" s="7" t="s">
        <v>60</v>
      </c>
      <c r="AK14" s="7">
        <v>3</v>
      </c>
      <c r="AL14" s="25" t="s">
        <v>70</v>
      </c>
      <c r="AM14" s="25" t="s">
        <v>58</v>
      </c>
      <c r="AN14" s="25" t="s">
        <v>59</v>
      </c>
      <c r="AO14" s="25" t="e">
        <v>#N/A</v>
      </c>
      <c r="AP14" s="19" t="s">
        <v>1815</v>
      </c>
      <c r="AQ14" s="19" t="s">
        <v>1869</v>
      </c>
      <c r="AR14" s="19" t="s">
        <v>60</v>
      </c>
      <c r="AS14" s="19"/>
      <c r="AT14" s="19" t="s">
        <v>2303</v>
      </c>
      <c r="AU14" s="19" t="s">
        <v>2092</v>
      </c>
      <c r="AV14" s="19">
        <v>7753851136</v>
      </c>
      <c r="AW14" s="20">
        <v>46120</v>
      </c>
      <c r="AX14" s="19" t="s">
        <v>1990</v>
      </c>
      <c r="AY14" s="27" t="s">
        <v>986</v>
      </c>
      <c r="AZ14" s="27" t="s">
        <v>61</v>
      </c>
      <c r="BA14" s="19" t="s">
        <v>60</v>
      </c>
      <c r="BB14" s="19" t="s">
        <v>2561</v>
      </c>
      <c r="BC14" s="19" t="s">
        <v>2562</v>
      </c>
      <c r="BD14" s="75" t="s">
        <v>1730</v>
      </c>
      <c r="BE14" s="100" t="s">
        <v>3858</v>
      </c>
      <c r="BF14" s="100" t="s">
        <v>4212</v>
      </c>
      <c r="BG14" s="100" t="s">
        <v>4213</v>
      </c>
    </row>
    <row r="15" spans="1:59" s="10" customFormat="1" ht="13.5" x14ac:dyDescent="0.25">
      <c r="A15" s="59">
        <v>53</v>
      </c>
      <c r="B15" s="15" t="s">
        <v>60</v>
      </c>
      <c r="C15" s="12">
        <v>313005</v>
      </c>
      <c r="D15" s="11" t="s">
        <v>40</v>
      </c>
      <c r="E15" s="11" t="s">
        <v>41</v>
      </c>
      <c r="F15" s="11" t="s">
        <v>1609</v>
      </c>
      <c r="G15" s="13" t="s">
        <v>43</v>
      </c>
      <c r="H15" s="11" t="s">
        <v>1691</v>
      </c>
      <c r="I15" s="3" t="s">
        <v>1623</v>
      </c>
      <c r="J15" s="3" t="s">
        <v>1623</v>
      </c>
      <c r="K15" s="11" t="s">
        <v>1756</v>
      </c>
      <c r="L15" s="4">
        <v>7355443003</v>
      </c>
      <c r="M15" s="4">
        <v>7355443003</v>
      </c>
      <c r="N15" s="4">
        <v>7355443003</v>
      </c>
      <c r="O15" s="26" t="s">
        <v>98</v>
      </c>
      <c r="P15" s="5" t="s">
        <v>60</v>
      </c>
      <c r="Q15" s="1" t="s">
        <v>99</v>
      </c>
      <c r="R15" s="1"/>
      <c r="S15" s="1" t="s">
        <v>100</v>
      </c>
      <c r="T15" s="1"/>
      <c r="U15" s="1"/>
      <c r="V15" s="1" t="s">
        <v>101</v>
      </c>
      <c r="W15" s="1"/>
      <c r="X15" s="1" t="s">
        <v>55</v>
      </c>
      <c r="Y15" s="1" t="s">
        <v>56</v>
      </c>
      <c r="Z15" s="3">
        <v>45685</v>
      </c>
      <c r="AA15" s="3">
        <v>45685</v>
      </c>
      <c r="AB15" s="6"/>
      <c r="AC15" s="1"/>
      <c r="AD15" s="4"/>
      <c r="AE15" s="2">
        <v>313005</v>
      </c>
      <c r="AF15" s="3" t="s">
        <v>97</v>
      </c>
      <c r="AG15" s="7">
        <v>100</v>
      </c>
      <c r="AH15" s="7">
        <v>107</v>
      </c>
      <c r="AI15" s="7">
        <v>93</v>
      </c>
      <c r="AJ15" s="7">
        <v>300</v>
      </c>
      <c r="AK15" s="7"/>
      <c r="AL15" s="25" t="s">
        <v>78</v>
      </c>
      <c r="AM15" s="25" t="s">
        <v>58</v>
      </c>
      <c r="AN15" s="25" t="s">
        <v>59</v>
      </c>
      <c r="AO15" s="25" t="s">
        <v>95</v>
      </c>
      <c r="AP15" s="19" t="s">
        <v>2354</v>
      </c>
      <c r="AQ15" s="19" t="s">
        <v>1869</v>
      </c>
      <c r="AR15" s="19" t="s">
        <v>60</v>
      </c>
      <c r="AS15" s="19"/>
      <c r="AT15" s="19" t="s">
        <v>1623</v>
      </c>
      <c r="AU15" s="19" t="s">
        <v>2093</v>
      </c>
      <c r="AV15" s="19">
        <v>9990034588</v>
      </c>
      <c r="AW15" s="20">
        <v>46135</v>
      </c>
      <c r="AX15" s="19" t="s">
        <v>1990</v>
      </c>
      <c r="AY15" s="27" t="s">
        <v>1609</v>
      </c>
      <c r="AZ15" s="27" t="s">
        <v>41</v>
      </c>
      <c r="BA15" s="19" t="s">
        <v>2409</v>
      </c>
      <c r="BB15" s="19" t="s">
        <v>2410</v>
      </c>
      <c r="BC15" s="19" t="s">
        <v>95</v>
      </c>
      <c r="BD15" s="75" t="s">
        <v>1691</v>
      </c>
      <c r="BE15" s="100" t="s">
        <v>3745</v>
      </c>
      <c r="BF15" s="100" t="s">
        <v>4012</v>
      </c>
      <c r="BG15" s="100"/>
    </row>
    <row r="16" spans="1:59" s="10" customFormat="1" ht="13.5" x14ac:dyDescent="0.25">
      <c r="A16" s="59">
        <v>24</v>
      </c>
      <c r="B16" s="15" t="s">
        <v>60</v>
      </c>
      <c r="C16" s="12">
        <v>309009</v>
      </c>
      <c r="D16" s="11" t="s">
        <v>40</v>
      </c>
      <c r="E16" s="11" t="s">
        <v>61</v>
      </c>
      <c r="F16" s="11" t="s">
        <v>593</v>
      </c>
      <c r="G16" s="13" t="s">
        <v>43</v>
      </c>
      <c r="H16" s="11" t="s">
        <v>1725</v>
      </c>
      <c r="I16" s="3" t="s">
        <v>1659</v>
      </c>
      <c r="J16" s="3" t="s">
        <v>1659</v>
      </c>
      <c r="K16" s="11" t="s">
        <v>1810</v>
      </c>
      <c r="L16" s="4">
        <v>9634815557</v>
      </c>
      <c r="M16" s="4">
        <v>9634815557</v>
      </c>
      <c r="N16" s="4">
        <v>9634815557</v>
      </c>
      <c r="O16" s="26" t="s">
        <v>965</v>
      </c>
      <c r="P16" s="5" t="s">
        <v>60</v>
      </c>
      <c r="Q16" s="1" t="s">
        <v>966</v>
      </c>
      <c r="R16" s="1"/>
      <c r="S16" s="1" t="s">
        <v>967</v>
      </c>
      <c r="T16" s="1"/>
      <c r="U16" s="1"/>
      <c r="V16" s="1" t="s">
        <v>93</v>
      </c>
      <c r="W16" s="1"/>
      <c r="X16" s="1" t="s">
        <v>55</v>
      </c>
      <c r="Y16" s="1" t="s">
        <v>56</v>
      </c>
      <c r="Z16" s="3">
        <v>45680</v>
      </c>
      <c r="AA16" s="3">
        <v>45679</v>
      </c>
      <c r="AB16" s="6"/>
      <c r="AC16" s="1"/>
      <c r="AD16" s="4" t="s">
        <v>587</v>
      </c>
      <c r="AE16" s="2">
        <v>309009</v>
      </c>
      <c r="AF16" s="3" t="s">
        <v>964</v>
      </c>
      <c r="AG16" s="7">
        <v>111</v>
      </c>
      <c r="AH16" s="7">
        <v>152</v>
      </c>
      <c r="AI16" s="7">
        <v>133</v>
      </c>
      <c r="AJ16" s="7">
        <v>396</v>
      </c>
      <c r="AK16" s="7">
        <v>2</v>
      </c>
      <c r="AL16" s="25" t="s">
        <v>57</v>
      </c>
      <c r="AM16" s="25" t="s">
        <v>58</v>
      </c>
      <c r="AN16" s="25" t="s">
        <v>59</v>
      </c>
      <c r="AO16" s="25" t="s">
        <v>60</v>
      </c>
      <c r="AP16" s="19" t="s">
        <v>1810</v>
      </c>
      <c r="AQ16" s="19" t="s">
        <v>1869</v>
      </c>
      <c r="AR16" s="19" t="s">
        <v>60</v>
      </c>
      <c r="AS16" s="19"/>
      <c r="AT16" s="19" t="s">
        <v>2061</v>
      </c>
      <c r="AU16" s="19" t="s">
        <v>2092</v>
      </c>
      <c r="AV16" s="19">
        <v>7753851136</v>
      </c>
      <c r="AW16" s="20">
        <v>46128</v>
      </c>
      <c r="AX16" s="19" t="s">
        <v>1990</v>
      </c>
      <c r="AY16" s="27" t="s">
        <v>593</v>
      </c>
      <c r="AZ16" s="27" t="s">
        <v>61</v>
      </c>
      <c r="BA16" s="19" t="s">
        <v>2379</v>
      </c>
      <c r="BB16" s="19" t="s">
        <v>2380</v>
      </c>
      <c r="BC16" s="19" t="s">
        <v>402</v>
      </c>
      <c r="BD16" s="75" t="s">
        <v>1725</v>
      </c>
      <c r="BE16" s="100" t="s">
        <v>3722</v>
      </c>
      <c r="BF16" s="100" t="s">
        <v>4009</v>
      </c>
      <c r="BG16" s="100" t="s">
        <v>4010</v>
      </c>
    </row>
    <row r="17" spans="1:59" s="10" customFormat="1" ht="13.5" x14ac:dyDescent="0.25">
      <c r="A17" s="59">
        <v>67</v>
      </c>
      <c r="B17" s="15" t="s">
        <v>60</v>
      </c>
      <c r="C17" s="12">
        <v>365999</v>
      </c>
      <c r="D17" s="11" t="s">
        <v>40</v>
      </c>
      <c r="E17" s="11" t="s">
        <v>199</v>
      </c>
      <c r="F17" s="11" t="s">
        <v>214</v>
      </c>
      <c r="G17" s="13" t="s">
        <v>43</v>
      </c>
      <c r="H17" s="11" t="s">
        <v>1751</v>
      </c>
      <c r="I17" s="3" t="s">
        <v>1684</v>
      </c>
      <c r="J17" s="3" t="s">
        <v>1684</v>
      </c>
      <c r="K17" s="11" t="s">
        <v>1881</v>
      </c>
      <c r="L17" s="4">
        <v>9828067001</v>
      </c>
      <c r="M17" s="4">
        <v>9828067001</v>
      </c>
      <c r="N17" s="4">
        <v>9828067001</v>
      </c>
      <c r="O17" s="26" t="s">
        <v>1250</v>
      </c>
      <c r="P17" s="5" t="s">
        <v>60</v>
      </c>
      <c r="Q17" s="1" t="s">
        <v>1251</v>
      </c>
      <c r="R17" s="1"/>
      <c r="S17" s="1" t="s">
        <v>1252</v>
      </c>
      <c r="T17" s="1"/>
      <c r="U17" s="1"/>
      <c r="V17" s="1"/>
      <c r="W17" s="1"/>
      <c r="X17" s="1" t="s">
        <v>55</v>
      </c>
      <c r="Y17" s="1" t="s">
        <v>56</v>
      </c>
      <c r="Z17" s="3">
        <v>45965</v>
      </c>
      <c r="AA17" s="3">
        <v>45965</v>
      </c>
      <c r="AB17" s="6"/>
      <c r="AC17" s="1"/>
      <c r="AD17" s="4" t="s">
        <v>1253</v>
      </c>
      <c r="AE17" s="2">
        <v>365999</v>
      </c>
      <c r="AF17" s="3" t="s">
        <v>1249</v>
      </c>
      <c r="AG17" s="7">
        <v>330</v>
      </c>
      <c r="AH17" s="7">
        <v>369</v>
      </c>
      <c r="AI17" s="7">
        <v>612</v>
      </c>
      <c r="AJ17" s="7">
        <v>1311</v>
      </c>
      <c r="AK17" s="7"/>
      <c r="AL17" s="25" t="s">
        <v>78</v>
      </c>
      <c r="AM17" s="25" t="s">
        <v>58</v>
      </c>
      <c r="AN17" s="25" t="s">
        <v>59</v>
      </c>
      <c r="AO17" s="25" t="s">
        <v>60</v>
      </c>
      <c r="AP17" s="19" t="s">
        <v>1881</v>
      </c>
      <c r="AQ17" s="19" t="s">
        <v>1869</v>
      </c>
      <c r="AR17" s="19" t="s">
        <v>60</v>
      </c>
      <c r="AS17" s="19"/>
      <c r="AT17" s="19" t="s">
        <v>2086</v>
      </c>
      <c r="AU17" s="19" t="s">
        <v>2096</v>
      </c>
      <c r="AV17" s="19">
        <v>7688959606</v>
      </c>
      <c r="AW17" s="20">
        <v>46128</v>
      </c>
      <c r="AX17" s="19" t="s">
        <v>1990</v>
      </c>
      <c r="AY17" s="27" t="s">
        <v>214</v>
      </c>
      <c r="AZ17" s="27" t="s">
        <v>199</v>
      </c>
      <c r="BA17" s="19" t="s">
        <v>2424</v>
      </c>
      <c r="BB17" s="19" t="s">
        <v>2425</v>
      </c>
      <c r="BC17" s="19" t="s">
        <v>2679</v>
      </c>
      <c r="BD17" s="75" t="s">
        <v>1751</v>
      </c>
      <c r="BE17" s="100" t="s">
        <v>3755</v>
      </c>
      <c r="BF17" s="100" t="s">
        <v>4014</v>
      </c>
      <c r="BG17" s="100"/>
    </row>
    <row r="18" spans="1:59" s="10" customFormat="1" ht="13.5" x14ac:dyDescent="0.25">
      <c r="A18" s="59">
        <v>8</v>
      </c>
      <c r="B18" s="15" t="s">
        <v>60</v>
      </c>
      <c r="C18" s="12">
        <v>313004</v>
      </c>
      <c r="D18" s="11" t="s">
        <v>103</v>
      </c>
      <c r="E18" s="11" t="s">
        <v>1621</v>
      </c>
      <c r="F18" s="11" t="s">
        <v>342</v>
      </c>
      <c r="G18" s="13" t="s">
        <v>43</v>
      </c>
      <c r="H18" s="11" t="s">
        <v>1043</v>
      </c>
      <c r="I18" s="3" t="s">
        <v>1672</v>
      </c>
      <c r="J18" s="3" t="s">
        <v>1672</v>
      </c>
      <c r="K18" s="11" t="s">
        <v>1976</v>
      </c>
      <c r="L18" s="4">
        <v>9893023143</v>
      </c>
      <c r="M18" s="4">
        <v>9893023143</v>
      </c>
      <c r="N18" s="4">
        <v>9893023143</v>
      </c>
      <c r="O18" s="26" t="s">
        <v>1044</v>
      </c>
      <c r="P18" s="5" t="s">
        <v>60</v>
      </c>
      <c r="Q18" s="1" t="s">
        <v>1045</v>
      </c>
      <c r="R18" s="1"/>
      <c r="S18" s="1" t="s">
        <v>1046</v>
      </c>
      <c r="T18" s="1"/>
      <c r="U18" s="1"/>
      <c r="V18" s="1" t="s">
        <v>93</v>
      </c>
      <c r="W18" s="1"/>
      <c r="X18" s="1" t="s">
        <v>55</v>
      </c>
      <c r="Y18" s="1" t="s">
        <v>56</v>
      </c>
      <c r="Z18" s="3">
        <v>45621</v>
      </c>
      <c r="AA18" s="3">
        <v>45618</v>
      </c>
      <c r="AB18" s="6"/>
      <c r="AC18" s="1"/>
      <c r="AD18" s="4"/>
      <c r="AE18" s="2">
        <v>313004</v>
      </c>
      <c r="AF18" s="3" t="s">
        <v>1043</v>
      </c>
      <c r="AG18" s="7">
        <v>635</v>
      </c>
      <c r="AH18" s="7">
        <v>615</v>
      </c>
      <c r="AI18" s="7">
        <v>608</v>
      </c>
      <c r="AJ18" s="7">
        <v>1858</v>
      </c>
      <c r="AK18" s="7"/>
      <c r="AL18" s="25" t="s">
        <v>78</v>
      </c>
      <c r="AM18" s="25" t="s">
        <v>58</v>
      </c>
      <c r="AN18" s="25" t="s">
        <v>59</v>
      </c>
      <c r="AO18" s="25" t="s">
        <v>52</v>
      </c>
      <c r="AP18" s="19" t="s">
        <v>1976</v>
      </c>
      <c r="AQ18" s="19" t="s">
        <v>1869</v>
      </c>
      <c r="AR18" s="19" t="s">
        <v>3419</v>
      </c>
      <c r="AS18" s="19"/>
      <c r="AT18" s="19" t="s">
        <v>2069</v>
      </c>
      <c r="AU18" s="19" t="s">
        <v>2098</v>
      </c>
      <c r="AV18" s="19">
        <v>7460008081</v>
      </c>
      <c r="AW18" s="20">
        <v>46125</v>
      </c>
      <c r="AX18" s="19" t="s">
        <v>1990</v>
      </c>
      <c r="AY18" s="27" t="s">
        <v>342</v>
      </c>
      <c r="AZ18" s="27" t="s">
        <v>1621</v>
      </c>
      <c r="BA18" s="19" t="s">
        <v>2740</v>
      </c>
      <c r="BB18" s="19" t="s">
        <v>2741</v>
      </c>
      <c r="BC18" s="19" t="s">
        <v>2798</v>
      </c>
      <c r="BD18" s="75" t="s">
        <v>1043</v>
      </c>
      <c r="BE18" s="100" t="s">
        <v>3707</v>
      </c>
      <c r="BF18" s="100" t="s">
        <v>4011</v>
      </c>
      <c r="BG18" s="100" t="s">
        <v>4220</v>
      </c>
    </row>
    <row r="19" spans="1:59" s="10" customFormat="1" ht="13.5" x14ac:dyDescent="0.25">
      <c r="A19" s="59">
        <v>157</v>
      </c>
      <c r="B19" s="15" t="s">
        <v>213</v>
      </c>
      <c r="C19" s="12">
        <v>54034</v>
      </c>
      <c r="D19" s="11" t="s">
        <v>40</v>
      </c>
      <c r="E19" s="11" t="s">
        <v>199</v>
      </c>
      <c r="F19" s="11" t="s">
        <v>214</v>
      </c>
      <c r="G19" s="13" t="s">
        <v>185</v>
      </c>
      <c r="H19" s="11" t="s">
        <v>1946</v>
      </c>
      <c r="I19" s="3" t="s">
        <v>216</v>
      </c>
      <c r="J19" s="3" t="s">
        <v>216</v>
      </c>
      <c r="K19" s="23" t="s">
        <v>1916</v>
      </c>
      <c r="L19" s="4" t="s">
        <v>217</v>
      </c>
      <c r="M19" s="4" t="s">
        <v>218</v>
      </c>
      <c r="N19" s="4" t="s">
        <v>219</v>
      </c>
      <c r="O19" s="26" t="s">
        <v>220</v>
      </c>
      <c r="P19" s="5" t="s">
        <v>221</v>
      </c>
      <c r="Q19" s="1" t="s">
        <v>222</v>
      </c>
      <c r="R19" s="1" t="s">
        <v>209</v>
      </c>
      <c r="S19" s="1" t="s">
        <v>223</v>
      </c>
      <c r="T19" s="1"/>
      <c r="U19" s="1"/>
      <c r="V19" s="1" t="s">
        <v>224</v>
      </c>
      <c r="W19" s="1"/>
      <c r="X19" s="1" t="s">
        <v>197</v>
      </c>
      <c r="Y19" s="1" t="s">
        <v>56</v>
      </c>
      <c r="Z19" s="3">
        <v>42877</v>
      </c>
      <c r="AA19" s="3">
        <v>42876</v>
      </c>
      <c r="AB19" s="6"/>
      <c r="AC19" s="1"/>
      <c r="AD19" s="4"/>
      <c r="AE19" s="2">
        <v>54034</v>
      </c>
      <c r="AF19" s="3" t="s">
        <v>215</v>
      </c>
      <c r="AG19" s="7">
        <v>781</v>
      </c>
      <c r="AH19" s="7">
        <v>692</v>
      </c>
      <c r="AI19" s="7">
        <v>685</v>
      </c>
      <c r="AJ19" s="7">
        <v>2158</v>
      </c>
      <c r="AK19" s="7"/>
      <c r="AL19" s="25" t="s">
        <v>78</v>
      </c>
      <c r="AM19" s="25" t="s">
        <v>58</v>
      </c>
      <c r="AN19" s="25" t="s">
        <v>59</v>
      </c>
      <c r="AO19" s="25" t="s">
        <v>95</v>
      </c>
      <c r="AP19" s="19" t="s">
        <v>1886</v>
      </c>
      <c r="AQ19" s="19" t="s">
        <v>1869</v>
      </c>
      <c r="AR19" s="19" t="s">
        <v>60</v>
      </c>
      <c r="AS19" s="19"/>
      <c r="AT19" s="19" t="s">
        <v>2002</v>
      </c>
      <c r="AU19" s="19" t="s">
        <v>2096</v>
      </c>
      <c r="AV19" s="19">
        <v>7688959606</v>
      </c>
      <c r="AW19" s="20">
        <v>46132</v>
      </c>
      <c r="AX19" s="19" t="s">
        <v>1990</v>
      </c>
      <c r="AY19" s="27" t="s">
        <v>214</v>
      </c>
      <c r="AZ19" s="27" t="s">
        <v>199</v>
      </c>
      <c r="BA19" s="19" t="s">
        <v>2790</v>
      </c>
      <c r="BB19" s="19" t="s">
        <v>2791</v>
      </c>
      <c r="BC19" s="19" t="s">
        <v>2792</v>
      </c>
      <c r="BD19" s="75" t="s">
        <v>1946</v>
      </c>
      <c r="BE19" s="100" t="s">
        <v>3835</v>
      </c>
      <c r="BF19" s="100" t="s">
        <v>4017</v>
      </c>
      <c r="BG19" s="100"/>
    </row>
    <row r="20" spans="1:59" s="10" customFormat="1" ht="13.5" x14ac:dyDescent="0.25">
      <c r="A20" s="59">
        <v>19</v>
      </c>
      <c r="B20" s="15" t="s">
        <v>506</v>
      </c>
      <c r="C20" s="12">
        <v>45704</v>
      </c>
      <c r="D20" s="11" t="s">
        <v>40</v>
      </c>
      <c r="E20" s="11" t="s">
        <v>129</v>
      </c>
      <c r="F20" s="11" t="s">
        <v>129</v>
      </c>
      <c r="G20" s="13" t="s">
        <v>43</v>
      </c>
      <c r="H20" s="11" t="s">
        <v>507</v>
      </c>
      <c r="I20" s="3" t="s">
        <v>508</v>
      </c>
      <c r="J20" s="3" t="s">
        <v>508</v>
      </c>
      <c r="K20" s="11" t="s">
        <v>1768</v>
      </c>
      <c r="L20" s="4" t="s">
        <v>509</v>
      </c>
      <c r="M20" s="4">
        <v>9899177177</v>
      </c>
      <c r="N20" s="4" t="s">
        <v>509</v>
      </c>
      <c r="O20" s="26" t="s">
        <v>510</v>
      </c>
      <c r="P20" s="5" t="s">
        <v>511</v>
      </c>
      <c r="Q20" s="1" t="s">
        <v>512</v>
      </c>
      <c r="R20" s="1"/>
      <c r="S20" s="1" t="s">
        <v>513</v>
      </c>
      <c r="T20" s="1"/>
      <c r="U20" s="1"/>
      <c r="V20" s="1" t="s">
        <v>93</v>
      </c>
      <c r="W20" s="1"/>
      <c r="X20" s="1" t="s">
        <v>55</v>
      </c>
      <c r="Y20" s="1" t="s">
        <v>56</v>
      </c>
      <c r="Z20" s="3">
        <v>44183</v>
      </c>
      <c r="AA20" s="3">
        <v>44183</v>
      </c>
      <c r="AB20" s="6"/>
      <c r="AC20" s="1"/>
      <c r="AD20" s="4" t="s">
        <v>514</v>
      </c>
      <c r="AE20" s="2">
        <v>45704</v>
      </c>
      <c r="AF20" s="3" t="s">
        <v>507</v>
      </c>
      <c r="AG20" s="7">
        <v>531</v>
      </c>
      <c r="AH20" s="7">
        <v>624</v>
      </c>
      <c r="AI20" s="7">
        <v>352</v>
      </c>
      <c r="AJ20" s="7">
        <v>1507</v>
      </c>
      <c r="AK20" s="7">
        <v>7</v>
      </c>
      <c r="AL20" s="25" t="s">
        <v>57</v>
      </c>
      <c r="AM20" s="25" t="s">
        <v>58</v>
      </c>
      <c r="AN20" s="25" t="s">
        <v>59</v>
      </c>
      <c r="AO20" s="25" t="s">
        <v>515</v>
      </c>
      <c r="AP20" s="19" t="s">
        <v>60</v>
      </c>
      <c r="AQ20" s="19" t="s">
        <v>1884</v>
      </c>
      <c r="AR20" s="19" t="s">
        <v>1861</v>
      </c>
      <c r="AS20" s="19" t="s">
        <v>60</v>
      </c>
      <c r="AT20" s="19" t="s">
        <v>60</v>
      </c>
      <c r="AU20" s="19" t="s">
        <v>60</v>
      </c>
      <c r="AV20" s="19" t="s">
        <v>60</v>
      </c>
      <c r="AW20" s="19" t="s">
        <v>60</v>
      </c>
      <c r="AX20" s="19" t="s">
        <v>60</v>
      </c>
      <c r="AY20" s="19" t="s">
        <v>129</v>
      </c>
      <c r="AZ20" s="19" t="s">
        <v>129</v>
      </c>
      <c r="BA20" s="19" t="s">
        <v>2370</v>
      </c>
      <c r="BB20" s="19" t="s">
        <v>2371</v>
      </c>
      <c r="BC20" s="19" t="s">
        <v>2800</v>
      </c>
      <c r="BD20" s="75" t="s">
        <v>507</v>
      </c>
      <c r="BE20" s="100" t="s">
        <v>60</v>
      </c>
      <c r="BF20" s="100" t="s">
        <v>60</v>
      </c>
      <c r="BG20" s="100" t="s">
        <v>60</v>
      </c>
    </row>
    <row r="21" spans="1:59" s="10" customFormat="1" ht="13.5" x14ac:dyDescent="0.25">
      <c r="A21" s="59">
        <v>48</v>
      </c>
      <c r="B21" s="15" t="s">
        <v>60</v>
      </c>
      <c r="C21" s="12">
        <v>190972</v>
      </c>
      <c r="D21" s="11" t="s">
        <v>40</v>
      </c>
      <c r="E21" s="11" t="s">
        <v>41</v>
      </c>
      <c r="F21" s="11" t="s">
        <v>42</v>
      </c>
      <c r="G21" s="13" t="s">
        <v>43</v>
      </c>
      <c r="H21" s="11" t="s">
        <v>1716</v>
      </c>
      <c r="I21" s="3" t="s">
        <v>1647</v>
      </c>
      <c r="J21" s="3" t="s">
        <v>1647</v>
      </c>
      <c r="K21" s="11" t="s">
        <v>1799</v>
      </c>
      <c r="L21" s="4">
        <v>9815009116</v>
      </c>
      <c r="M21" s="4">
        <v>9815009116</v>
      </c>
      <c r="N21" s="4">
        <v>9815009116</v>
      </c>
      <c r="O21" s="26" t="s">
        <v>879</v>
      </c>
      <c r="P21" s="5" t="s">
        <v>60</v>
      </c>
      <c r="Q21" s="1" t="s">
        <v>880</v>
      </c>
      <c r="R21" s="1"/>
      <c r="S21" s="1" t="s">
        <v>881</v>
      </c>
      <c r="T21" s="1"/>
      <c r="U21" s="1"/>
      <c r="V21" s="1" t="s">
        <v>93</v>
      </c>
      <c r="W21" s="1"/>
      <c r="X21" s="1" t="s">
        <v>55</v>
      </c>
      <c r="Y21" s="1" t="s">
        <v>56</v>
      </c>
      <c r="Z21" s="3">
        <v>45538</v>
      </c>
      <c r="AA21" s="3">
        <v>45537</v>
      </c>
      <c r="AB21" s="6"/>
      <c r="AC21" s="1"/>
      <c r="AD21" s="4" t="s">
        <v>882</v>
      </c>
      <c r="AE21" s="2">
        <v>190972</v>
      </c>
      <c r="AF21" s="3" t="s">
        <v>878</v>
      </c>
      <c r="AG21" s="7">
        <v>1339</v>
      </c>
      <c r="AH21" s="7">
        <v>1073</v>
      </c>
      <c r="AI21" s="7">
        <v>1206</v>
      </c>
      <c r="AJ21" s="7">
        <v>3618</v>
      </c>
      <c r="AK21" s="7"/>
      <c r="AL21" s="25" t="s">
        <v>78</v>
      </c>
      <c r="AM21" s="25" t="s">
        <v>58</v>
      </c>
      <c r="AN21" s="25" t="s">
        <v>59</v>
      </c>
      <c r="AO21" s="25" t="s">
        <v>60</v>
      </c>
      <c r="AP21" s="19" t="s">
        <v>1799</v>
      </c>
      <c r="AQ21" s="19" t="s">
        <v>1869</v>
      </c>
      <c r="AR21" s="19" t="s">
        <v>60</v>
      </c>
      <c r="AS21" s="19"/>
      <c r="AT21" s="19" t="s">
        <v>2055</v>
      </c>
      <c r="AU21" s="19" t="s">
        <v>2090</v>
      </c>
      <c r="AV21" s="19">
        <v>9354183359</v>
      </c>
      <c r="AW21" s="20">
        <v>46132</v>
      </c>
      <c r="AX21" s="19" t="s">
        <v>1990</v>
      </c>
      <c r="AY21" s="27" t="s">
        <v>42</v>
      </c>
      <c r="AZ21" s="27" t="s">
        <v>41</v>
      </c>
      <c r="BA21" s="19" t="s">
        <v>2401</v>
      </c>
      <c r="BB21" s="19" t="s">
        <v>2712</v>
      </c>
      <c r="BC21" s="19" t="s">
        <v>579</v>
      </c>
      <c r="BD21" s="75" t="s">
        <v>1716</v>
      </c>
      <c r="BE21" s="100" t="s">
        <v>3740</v>
      </c>
      <c r="BF21" s="100" t="s">
        <v>4018</v>
      </c>
      <c r="BG21" s="100"/>
    </row>
    <row r="22" spans="1:59" s="10" customFormat="1" ht="13.5" x14ac:dyDescent="0.25">
      <c r="A22" s="59">
        <v>147</v>
      </c>
      <c r="B22" s="15" t="s">
        <v>60</v>
      </c>
      <c r="C22" s="12">
        <v>165960</v>
      </c>
      <c r="D22" s="11" t="s">
        <v>103</v>
      </c>
      <c r="E22" s="11" t="s">
        <v>104</v>
      </c>
      <c r="F22" s="11" t="s">
        <v>105</v>
      </c>
      <c r="G22" s="13" t="s">
        <v>352</v>
      </c>
      <c r="H22" s="11" t="s">
        <v>883</v>
      </c>
      <c r="I22" s="3" t="s">
        <v>1648</v>
      </c>
      <c r="J22" s="3" t="s">
        <v>1648</v>
      </c>
      <c r="K22" s="11" t="s">
        <v>1893</v>
      </c>
      <c r="L22" s="4" t="s">
        <v>884</v>
      </c>
      <c r="M22" s="4" t="s">
        <v>884</v>
      </c>
      <c r="N22" s="4" t="s">
        <v>884</v>
      </c>
      <c r="O22" s="26" t="s">
        <v>885</v>
      </c>
      <c r="P22" s="5" t="s">
        <v>60</v>
      </c>
      <c r="Q22" s="1" t="s">
        <v>886</v>
      </c>
      <c r="R22" s="1"/>
      <c r="S22" s="1" t="s">
        <v>887</v>
      </c>
      <c r="T22" s="1"/>
      <c r="U22" s="1"/>
      <c r="V22" s="1"/>
      <c r="W22" s="1"/>
      <c r="X22" s="1" t="s">
        <v>55</v>
      </c>
      <c r="Y22" s="1" t="s">
        <v>56</v>
      </c>
      <c r="Z22" s="3">
        <v>45559</v>
      </c>
      <c r="AA22" s="3">
        <v>45559</v>
      </c>
      <c r="AB22" s="6"/>
      <c r="AC22" s="1"/>
      <c r="AD22" s="4" t="s">
        <v>888</v>
      </c>
      <c r="AE22" s="2">
        <v>165960</v>
      </c>
      <c r="AF22" s="3" t="s">
        <v>883</v>
      </c>
      <c r="AG22" s="7">
        <v>235</v>
      </c>
      <c r="AH22" s="7">
        <v>256</v>
      </c>
      <c r="AI22" s="7">
        <v>395</v>
      </c>
      <c r="AJ22" s="7">
        <v>886</v>
      </c>
      <c r="AK22" s="7"/>
      <c r="AL22" s="25" t="s">
        <v>78</v>
      </c>
      <c r="AM22" s="25" t="s">
        <v>58</v>
      </c>
      <c r="AN22" s="25" t="s">
        <v>59</v>
      </c>
      <c r="AO22" s="25" t="s">
        <v>95</v>
      </c>
      <c r="AP22" s="19" t="s">
        <v>1893</v>
      </c>
      <c r="AQ22" s="19" t="s">
        <v>1869</v>
      </c>
      <c r="AR22" s="19" t="s">
        <v>60</v>
      </c>
      <c r="AS22" s="19"/>
      <c r="AT22" s="19" t="s">
        <v>2295</v>
      </c>
      <c r="AU22" s="19" t="s">
        <v>2091</v>
      </c>
      <c r="AV22" s="19">
        <v>9354241930</v>
      </c>
      <c r="AW22" s="20">
        <v>46121</v>
      </c>
      <c r="AX22" s="19" t="s">
        <v>1990</v>
      </c>
      <c r="AY22" s="27" t="s">
        <v>105</v>
      </c>
      <c r="AZ22" s="27" t="s">
        <v>104</v>
      </c>
      <c r="BA22" s="19" t="s">
        <v>2511</v>
      </c>
      <c r="BB22" s="19" t="s">
        <v>2512</v>
      </c>
      <c r="BC22" s="19" t="s">
        <v>95</v>
      </c>
      <c r="BD22" s="75" t="s">
        <v>883</v>
      </c>
      <c r="BE22" s="100" t="s">
        <v>3827</v>
      </c>
      <c r="BF22" s="100" t="s">
        <v>4019</v>
      </c>
      <c r="BG22" s="100"/>
    </row>
    <row r="23" spans="1:59" s="10" customFormat="1" ht="13.5" x14ac:dyDescent="0.25">
      <c r="A23" s="59">
        <v>64</v>
      </c>
      <c r="B23" s="15" t="s">
        <v>334</v>
      </c>
      <c r="C23" s="12">
        <v>51542</v>
      </c>
      <c r="D23" s="11" t="s">
        <v>40</v>
      </c>
      <c r="E23" s="11" t="s">
        <v>199</v>
      </c>
      <c r="F23" s="11" t="s">
        <v>200</v>
      </c>
      <c r="G23" s="13" t="s">
        <v>43</v>
      </c>
      <c r="H23" s="11" t="s">
        <v>335</v>
      </c>
      <c r="I23" s="3" t="s">
        <v>1689</v>
      </c>
      <c r="J23" s="3" t="s">
        <v>1624</v>
      </c>
      <c r="K23" s="11" t="s">
        <v>1762</v>
      </c>
      <c r="L23" s="4" t="s">
        <v>336</v>
      </c>
      <c r="M23" s="4" t="s">
        <v>336</v>
      </c>
      <c r="N23" s="4" t="s">
        <v>337</v>
      </c>
      <c r="O23" s="26" t="s">
        <v>338</v>
      </c>
      <c r="P23" s="5" t="s">
        <v>60</v>
      </c>
      <c r="Q23" s="1" t="s">
        <v>339</v>
      </c>
      <c r="R23" s="1" t="s">
        <v>60</v>
      </c>
      <c r="S23" s="1" t="s">
        <v>340</v>
      </c>
      <c r="T23" s="1"/>
      <c r="U23" s="1"/>
      <c r="V23" s="1"/>
      <c r="W23" s="1"/>
      <c r="X23" s="1" t="s">
        <v>55</v>
      </c>
      <c r="Y23" s="1" t="s">
        <v>56</v>
      </c>
      <c r="Z23" s="3">
        <v>44890</v>
      </c>
      <c r="AA23" s="3">
        <v>44890</v>
      </c>
      <c r="AB23" s="6"/>
      <c r="AC23" s="1"/>
      <c r="AD23" s="4"/>
      <c r="AE23" s="2">
        <v>51542</v>
      </c>
      <c r="AF23" s="3" t="s">
        <v>335</v>
      </c>
      <c r="AG23" s="7">
        <v>289</v>
      </c>
      <c r="AH23" s="7">
        <v>286</v>
      </c>
      <c r="AI23" s="7">
        <v>297</v>
      </c>
      <c r="AJ23" s="7">
        <v>872</v>
      </c>
      <c r="AK23" s="7"/>
      <c r="AL23" s="25" t="s">
        <v>78</v>
      </c>
      <c r="AM23" s="25" t="s">
        <v>58</v>
      </c>
      <c r="AN23" s="25" t="s">
        <v>59</v>
      </c>
      <c r="AO23" s="25" t="s">
        <v>52</v>
      </c>
      <c r="AP23" s="19" t="s">
        <v>1762</v>
      </c>
      <c r="AQ23" s="19" t="s">
        <v>1869</v>
      </c>
      <c r="AR23" s="19" t="s">
        <v>60</v>
      </c>
      <c r="AS23" s="19"/>
      <c r="AT23" s="19" t="s">
        <v>2012</v>
      </c>
      <c r="AU23" s="19" t="s">
        <v>2096</v>
      </c>
      <c r="AV23" s="19">
        <v>7688959606</v>
      </c>
      <c r="AW23" s="20">
        <v>46119</v>
      </c>
      <c r="AX23" s="19" t="s">
        <v>1990</v>
      </c>
      <c r="AY23" s="27" t="s">
        <v>200</v>
      </c>
      <c r="AZ23" s="27" t="s">
        <v>199</v>
      </c>
      <c r="BA23" s="19" t="s">
        <v>2761</v>
      </c>
      <c r="BB23" s="19" t="s">
        <v>2762</v>
      </c>
      <c r="BC23" s="19" t="s">
        <v>2763</v>
      </c>
      <c r="BD23" s="75" t="s">
        <v>335</v>
      </c>
      <c r="BE23" s="100" t="s">
        <v>3753</v>
      </c>
      <c r="BF23" s="100" t="s">
        <v>4020</v>
      </c>
      <c r="BG23" s="100"/>
    </row>
    <row r="24" spans="1:59" s="10" customFormat="1" ht="13.5" x14ac:dyDescent="0.25">
      <c r="A24" s="59">
        <v>34</v>
      </c>
      <c r="B24" s="15" t="s">
        <v>60</v>
      </c>
      <c r="C24" s="12">
        <v>310986</v>
      </c>
      <c r="D24" s="11" t="s">
        <v>103</v>
      </c>
      <c r="E24" s="11" t="s">
        <v>465</v>
      </c>
      <c r="F24" s="11" t="s">
        <v>466</v>
      </c>
      <c r="G24" s="13" t="s">
        <v>43</v>
      </c>
      <c r="H24" s="11" t="s">
        <v>1728</v>
      </c>
      <c r="I24" s="3" t="s">
        <v>1662</v>
      </c>
      <c r="J24" s="3" t="s">
        <v>1662</v>
      </c>
      <c r="K24" s="11" t="s">
        <v>1813</v>
      </c>
      <c r="L24" s="4">
        <v>8083983999</v>
      </c>
      <c r="M24" s="4">
        <v>8083983999</v>
      </c>
      <c r="N24" s="4">
        <v>8083983999</v>
      </c>
      <c r="O24" s="26" t="s">
        <v>979</v>
      </c>
      <c r="P24" s="5" t="s">
        <v>60</v>
      </c>
      <c r="Q24" s="1" t="s">
        <v>980</v>
      </c>
      <c r="R24" s="1"/>
      <c r="S24" s="1" t="s">
        <v>981</v>
      </c>
      <c r="T24" s="1"/>
      <c r="U24" s="1"/>
      <c r="V24" s="1" t="s">
        <v>154</v>
      </c>
      <c r="W24" s="1"/>
      <c r="X24" s="1" t="s">
        <v>55</v>
      </c>
      <c r="Y24" s="1" t="s">
        <v>56</v>
      </c>
      <c r="Z24" s="3">
        <v>45668</v>
      </c>
      <c r="AA24" s="3">
        <v>45665</v>
      </c>
      <c r="AB24" s="6"/>
      <c r="AC24" s="1"/>
      <c r="AD24" s="4" t="s">
        <v>587</v>
      </c>
      <c r="AE24" s="2">
        <v>310986</v>
      </c>
      <c r="AF24" s="3" t="s">
        <v>978</v>
      </c>
      <c r="AG24" s="7">
        <v>99</v>
      </c>
      <c r="AH24" s="7">
        <v>99</v>
      </c>
      <c r="AI24" s="7">
        <v>102</v>
      </c>
      <c r="AJ24" s="7">
        <v>300</v>
      </c>
      <c r="AK24" s="7"/>
      <c r="AL24" s="25" t="s">
        <v>78</v>
      </c>
      <c r="AM24" s="25" t="s">
        <v>58</v>
      </c>
      <c r="AN24" s="25" t="s">
        <v>59</v>
      </c>
      <c r="AO24" s="25" t="s">
        <v>427</v>
      </c>
      <c r="AP24" s="19" t="s">
        <v>1813</v>
      </c>
      <c r="AQ24" s="19" t="s">
        <v>1869</v>
      </c>
      <c r="AR24" s="19" t="s">
        <v>60</v>
      </c>
      <c r="AS24" s="19"/>
      <c r="AT24" s="19" t="s">
        <v>1662</v>
      </c>
      <c r="AU24" s="19" t="s">
        <v>2091</v>
      </c>
      <c r="AV24" s="19">
        <v>9354241930</v>
      </c>
      <c r="AW24" s="20">
        <v>46130</v>
      </c>
      <c r="AX24" s="19" t="s">
        <v>1990</v>
      </c>
      <c r="AY24" s="27" t="s">
        <v>466</v>
      </c>
      <c r="AZ24" s="27" t="s">
        <v>465</v>
      </c>
      <c r="BA24" s="19" t="s">
        <v>2386</v>
      </c>
      <c r="BB24" s="19" t="s">
        <v>2387</v>
      </c>
      <c r="BC24" s="19" t="s">
        <v>427</v>
      </c>
      <c r="BD24" s="75" t="s">
        <v>1728</v>
      </c>
      <c r="BE24" s="100" t="s">
        <v>3729</v>
      </c>
      <c r="BF24" s="100" t="s">
        <v>4021</v>
      </c>
      <c r="BG24" s="100"/>
    </row>
    <row r="25" spans="1:59" s="10" customFormat="1" ht="13.5" x14ac:dyDescent="0.25">
      <c r="A25" s="59">
        <v>82</v>
      </c>
      <c r="B25" s="15" t="s">
        <v>60</v>
      </c>
      <c r="C25" s="12">
        <v>347001</v>
      </c>
      <c r="D25" s="11" t="s">
        <v>40</v>
      </c>
      <c r="E25" s="11" t="s">
        <v>61</v>
      </c>
      <c r="F25" s="11" t="s">
        <v>1113</v>
      </c>
      <c r="G25" s="13" t="s">
        <v>43</v>
      </c>
      <c r="H25" s="11" t="s">
        <v>1677</v>
      </c>
      <c r="I25" s="3" t="s">
        <v>1677</v>
      </c>
      <c r="J25" s="3" t="s">
        <v>1677</v>
      </c>
      <c r="K25" s="11" t="s">
        <v>1826</v>
      </c>
      <c r="L25" s="4">
        <v>9450916368</v>
      </c>
      <c r="M25" s="4">
        <v>9450916368</v>
      </c>
      <c r="N25" s="4">
        <v>9450916368</v>
      </c>
      <c r="O25" s="26" t="s">
        <v>1115</v>
      </c>
      <c r="P25" s="5" t="s">
        <v>60</v>
      </c>
      <c r="Q25" s="1" t="s">
        <v>1116</v>
      </c>
      <c r="R25" s="1"/>
      <c r="S25" s="1" t="s">
        <v>1117</v>
      </c>
      <c r="T25" s="1"/>
      <c r="U25" s="1"/>
      <c r="V25" s="1"/>
      <c r="W25" s="1"/>
      <c r="X25" s="1" t="s">
        <v>69</v>
      </c>
      <c r="Y25" s="1" t="s">
        <v>56</v>
      </c>
      <c r="Z25" s="3">
        <v>45840</v>
      </c>
      <c r="AA25" s="3">
        <v>45838</v>
      </c>
      <c r="AB25" s="6"/>
      <c r="AC25" s="1"/>
      <c r="AD25" s="4"/>
      <c r="AE25" s="2">
        <v>347001</v>
      </c>
      <c r="AF25" s="3" t="s">
        <v>1114</v>
      </c>
      <c r="AG25" s="7" t="s">
        <v>60</v>
      </c>
      <c r="AH25" s="7" t="s">
        <v>60</v>
      </c>
      <c r="AI25" s="7" t="s">
        <v>60</v>
      </c>
      <c r="AJ25" s="7" t="s">
        <v>60</v>
      </c>
      <c r="AK25" s="7">
        <v>1</v>
      </c>
      <c r="AL25" s="25" t="s">
        <v>70</v>
      </c>
      <c r="AM25" s="25" t="s">
        <v>58</v>
      </c>
      <c r="AN25" s="25" t="s">
        <v>59</v>
      </c>
      <c r="AO25" s="25" t="e">
        <v>#N/A</v>
      </c>
      <c r="AP25" s="19" t="s">
        <v>1826</v>
      </c>
      <c r="AQ25" s="19" t="s">
        <v>1869</v>
      </c>
      <c r="AR25" s="19" t="s">
        <v>60</v>
      </c>
      <c r="AS25" s="19"/>
      <c r="AT25" s="19" t="s">
        <v>2306</v>
      </c>
      <c r="AU25" s="19" t="s">
        <v>2092</v>
      </c>
      <c r="AV25" s="19">
        <v>7753851136</v>
      </c>
      <c r="AW25" s="20">
        <v>46119</v>
      </c>
      <c r="AX25" s="19" t="s">
        <v>1990</v>
      </c>
      <c r="AY25" s="27" t="s">
        <v>1113</v>
      </c>
      <c r="AZ25" s="27" t="s">
        <v>61</v>
      </c>
      <c r="BA25" s="19" t="s">
        <v>60</v>
      </c>
      <c r="BB25" s="19" t="s">
        <v>2527</v>
      </c>
      <c r="BC25" s="19" t="s">
        <v>143</v>
      </c>
      <c r="BD25" s="75" t="s">
        <v>1677</v>
      </c>
      <c r="BE25" s="100" t="s">
        <v>3770</v>
      </c>
      <c r="BF25" s="100" t="s">
        <v>4092</v>
      </c>
      <c r="BG25" s="100" t="s">
        <v>4093</v>
      </c>
    </row>
    <row r="26" spans="1:59" s="10" customFormat="1" ht="13.5" x14ac:dyDescent="0.25">
      <c r="A26" s="59">
        <v>12</v>
      </c>
      <c r="B26" s="15" t="s">
        <v>560</v>
      </c>
      <c r="C26" s="12">
        <v>26364</v>
      </c>
      <c r="D26" s="11" t="s">
        <v>40</v>
      </c>
      <c r="E26" s="11" t="s">
        <v>129</v>
      </c>
      <c r="F26" s="11" t="s">
        <v>129</v>
      </c>
      <c r="G26" s="13" t="s">
        <v>43</v>
      </c>
      <c r="H26" s="11" t="s">
        <v>561</v>
      </c>
      <c r="I26" s="3" t="s">
        <v>562</v>
      </c>
      <c r="J26" s="3" t="s">
        <v>562</v>
      </c>
      <c r="K26" s="11" t="s">
        <v>1774</v>
      </c>
      <c r="L26" s="4" t="s">
        <v>563</v>
      </c>
      <c r="M26" s="4" t="s">
        <v>564</v>
      </c>
      <c r="N26" s="4" t="s">
        <v>565</v>
      </c>
      <c r="O26" s="26" t="s">
        <v>566</v>
      </c>
      <c r="P26" s="5" t="s">
        <v>567</v>
      </c>
      <c r="Q26" s="1" t="s">
        <v>568</v>
      </c>
      <c r="R26" s="1" t="s">
        <v>569</v>
      </c>
      <c r="S26" s="1" t="s">
        <v>570</v>
      </c>
      <c r="T26" s="1"/>
      <c r="U26" s="1"/>
      <c r="V26" s="1" t="s">
        <v>93</v>
      </c>
      <c r="W26" s="1"/>
      <c r="X26" s="1" t="s">
        <v>69</v>
      </c>
      <c r="Y26" s="1" t="s">
        <v>56</v>
      </c>
      <c r="Z26" s="3">
        <v>44391</v>
      </c>
      <c r="AA26" s="3">
        <v>44392</v>
      </c>
      <c r="AB26" s="6"/>
      <c r="AC26" s="1"/>
      <c r="AD26" s="4" t="s">
        <v>571</v>
      </c>
      <c r="AE26" s="2">
        <v>26364</v>
      </c>
      <c r="AF26" s="3" t="s">
        <v>561</v>
      </c>
      <c r="AG26" s="7">
        <v>2128</v>
      </c>
      <c r="AH26" s="7">
        <v>2131</v>
      </c>
      <c r="AI26" s="7">
        <v>1953</v>
      </c>
      <c r="AJ26" s="7">
        <v>6212</v>
      </c>
      <c r="AK26" s="7"/>
      <c r="AL26" s="25" t="s">
        <v>78</v>
      </c>
      <c r="AM26" s="25" t="s">
        <v>58</v>
      </c>
      <c r="AN26" s="25" t="s">
        <v>59</v>
      </c>
      <c r="AO26" s="25" t="s">
        <v>95</v>
      </c>
      <c r="AP26" s="19" t="s">
        <v>1774</v>
      </c>
      <c r="AQ26" s="19" t="s">
        <v>1869</v>
      </c>
      <c r="AR26" s="19" t="s">
        <v>60</v>
      </c>
      <c r="AS26" s="19"/>
      <c r="AT26" s="19" t="s">
        <v>2030</v>
      </c>
      <c r="AU26" s="19" t="s">
        <v>2095</v>
      </c>
      <c r="AV26" s="19">
        <v>9582917652</v>
      </c>
      <c r="AW26" s="20">
        <v>46134</v>
      </c>
      <c r="AX26" s="19" t="s">
        <v>1990</v>
      </c>
      <c r="AY26" s="27" t="s">
        <v>129</v>
      </c>
      <c r="AZ26" s="27" t="s">
        <v>129</v>
      </c>
      <c r="BA26" s="19" t="s">
        <v>2684</v>
      </c>
      <c r="BB26" s="19" t="s">
        <v>2709</v>
      </c>
      <c r="BC26" s="19" t="s">
        <v>95</v>
      </c>
      <c r="BD26" s="75" t="s">
        <v>561</v>
      </c>
      <c r="BE26" s="100" t="s">
        <v>3711</v>
      </c>
      <c r="BF26" s="100" t="s">
        <v>4024</v>
      </c>
      <c r="BG26" s="100"/>
    </row>
    <row r="27" spans="1:59" s="10" customFormat="1" ht="13.5" x14ac:dyDescent="0.25">
      <c r="A27" s="59">
        <v>26</v>
      </c>
      <c r="B27" s="15" t="s">
        <v>60</v>
      </c>
      <c r="C27" s="12">
        <v>315002</v>
      </c>
      <c r="D27" s="11" t="s">
        <v>40</v>
      </c>
      <c r="E27" s="11" t="s">
        <v>96</v>
      </c>
      <c r="F27" s="11" t="s">
        <v>830</v>
      </c>
      <c r="G27" s="13" t="s">
        <v>43</v>
      </c>
      <c r="H27" s="11" t="s">
        <v>1735</v>
      </c>
      <c r="I27" s="3" t="s">
        <v>1671</v>
      </c>
      <c r="J27" s="3" t="s">
        <v>1671</v>
      </c>
      <c r="K27" s="11" t="s">
        <v>1819</v>
      </c>
      <c r="L27" s="4">
        <v>9355511114</v>
      </c>
      <c r="M27" s="4">
        <v>9355511114</v>
      </c>
      <c r="N27" s="4">
        <v>9355511114</v>
      </c>
      <c r="O27" s="26" t="s">
        <v>1039</v>
      </c>
      <c r="P27" s="5" t="s">
        <v>60</v>
      </c>
      <c r="Q27" s="1" t="s">
        <v>1040</v>
      </c>
      <c r="R27" s="1"/>
      <c r="S27" s="1" t="s">
        <v>1041</v>
      </c>
      <c r="T27" s="1"/>
      <c r="U27" s="1"/>
      <c r="V27" s="1" t="s">
        <v>93</v>
      </c>
      <c r="W27" s="1"/>
      <c r="X27" s="1" t="s">
        <v>55</v>
      </c>
      <c r="Y27" s="1" t="s">
        <v>56</v>
      </c>
      <c r="Z27" s="3">
        <v>45698</v>
      </c>
      <c r="AA27" s="3">
        <v>45695</v>
      </c>
      <c r="AB27" s="6"/>
      <c r="AC27" s="1"/>
      <c r="AD27" s="4"/>
      <c r="AE27" s="2">
        <v>315002</v>
      </c>
      <c r="AF27" s="3" t="s">
        <v>1038</v>
      </c>
      <c r="AG27" s="7">
        <v>3</v>
      </c>
      <c r="AH27" s="7">
        <v>0</v>
      </c>
      <c r="AI27" s="7">
        <v>0</v>
      </c>
      <c r="AJ27" s="7">
        <v>3</v>
      </c>
      <c r="AK27" s="7"/>
      <c r="AL27" s="25" t="s">
        <v>78</v>
      </c>
      <c r="AM27" s="25" t="s">
        <v>58</v>
      </c>
      <c r="AN27" s="25" t="s">
        <v>59</v>
      </c>
      <c r="AO27" s="25" t="s">
        <v>1042</v>
      </c>
      <c r="AP27" s="19" t="s">
        <v>60</v>
      </c>
      <c r="AQ27" s="19" t="s">
        <v>1884</v>
      </c>
      <c r="AR27" s="19" t="s">
        <v>1866</v>
      </c>
      <c r="AS27" s="19" t="s">
        <v>60</v>
      </c>
      <c r="AT27" s="19" t="s">
        <v>60</v>
      </c>
      <c r="AU27" s="19" t="s">
        <v>60</v>
      </c>
      <c r="AV27" s="19" t="s">
        <v>60</v>
      </c>
      <c r="AW27" s="19" t="s">
        <v>60</v>
      </c>
      <c r="AX27" s="19" t="s">
        <v>60</v>
      </c>
      <c r="AY27" s="19" t="s">
        <v>830</v>
      </c>
      <c r="AZ27" s="19" t="s">
        <v>96</v>
      </c>
      <c r="BA27" s="19" t="s">
        <v>2383</v>
      </c>
      <c r="BB27" s="19" t="s">
        <v>2384</v>
      </c>
      <c r="BC27" s="19" t="s">
        <v>1042</v>
      </c>
      <c r="BD27" s="75" t="s">
        <v>1735</v>
      </c>
      <c r="BE27" s="100" t="s">
        <v>60</v>
      </c>
      <c r="BF27" s="100" t="s">
        <v>60</v>
      </c>
      <c r="BG27" s="100" t="s">
        <v>60</v>
      </c>
    </row>
    <row r="28" spans="1:59" s="10" customFormat="1" ht="13.5" x14ac:dyDescent="0.25">
      <c r="A28" s="59">
        <v>40</v>
      </c>
      <c r="B28" s="15" t="s">
        <v>60</v>
      </c>
      <c r="C28" s="12">
        <v>347002</v>
      </c>
      <c r="D28" s="11" t="s">
        <v>103</v>
      </c>
      <c r="E28" s="11" t="s">
        <v>237</v>
      </c>
      <c r="F28" s="11" t="s">
        <v>238</v>
      </c>
      <c r="G28" s="13" t="s">
        <v>43</v>
      </c>
      <c r="H28" s="11" t="s">
        <v>239</v>
      </c>
      <c r="I28" s="3" t="s">
        <v>240</v>
      </c>
      <c r="J28" s="3" t="s">
        <v>240</v>
      </c>
      <c r="K28" s="11" t="s">
        <v>1760</v>
      </c>
      <c r="L28" s="4">
        <v>9937173611</v>
      </c>
      <c r="M28" s="4">
        <v>9937173611</v>
      </c>
      <c r="N28" s="4">
        <v>9937173611</v>
      </c>
      <c r="O28" s="26" t="s">
        <v>241</v>
      </c>
      <c r="P28" s="5" t="s">
        <v>60</v>
      </c>
      <c r="Q28" s="1" t="s">
        <v>242</v>
      </c>
      <c r="R28" s="1"/>
      <c r="S28" s="1" t="s">
        <v>243</v>
      </c>
      <c r="T28" s="1"/>
      <c r="U28" s="1"/>
      <c r="V28" s="1"/>
      <c r="W28" s="1"/>
      <c r="X28" s="1" t="s">
        <v>244</v>
      </c>
      <c r="Y28" s="1" t="s">
        <v>56</v>
      </c>
      <c r="Z28" s="3">
        <v>45840</v>
      </c>
      <c r="AA28" s="3">
        <v>45836</v>
      </c>
      <c r="AB28" s="6"/>
      <c r="AC28" s="1"/>
      <c r="AD28" s="4"/>
      <c r="AE28" s="2">
        <v>347002</v>
      </c>
      <c r="AF28" s="3" t="s">
        <v>239</v>
      </c>
      <c r="AG28" s="7" t="s">
        <v>60</v>
      </c>
      <c r="AH28" s="7" t="s">
        <v>60</v>
      </c>
      <c r="AI28" s="7" t="s">
        <v>60</v>
      </c>
      <c r="AJ28" s="7" t="s">
        <v>60</v>
      </c>
      <c r="AK28" s="7">
        <v>2</v>
      </c>
      <c r="AL28" s="25" t="s">
        <v>70</v>
      </c>
      <c r="AM28" s="25" t="s">
        <v>58</v>
      </c>
      <c r="AN28" s="25" t="s">
        <v>59</v>
      </c>
      <c r="AO28" s="25" t="e">
        <v>#N/A</v>
      </c>
      <c r="AP28" s="19" t="s">
        <v>1760</v>
      </c>
      <c r="AQ28" s="19" t="s">
        <v>1869</v>
      </c>
      <c r="AR28" s="19" t="s">
        <v>60</v>
      </c>
      <c r="AS28" s="19"/>
      <c r="AT28" s="19" t="s">
        <v>2274</v>
      </c>
      <c r="AU28" s="19" t="s">
        <v>2091</v>
      </c>
      <c r="AV28" s="19">
        <v>9354241930</v>
      </c>
      <c r="AW28" s="20">
        <v>46125</v>
      </c>
      <c r="AX28" s="19" t="s">
        <v>1990</v>
      </c>
      <c r="AY28" s="27" t="s">
        <v>238</v>
      </c>
      <c r="AZ28" s="27" t="s">
        <v>237</v>
      </c>
      <c r="BA28" s="19" t="s">
        <v>60</v>
      </c>
      <c r="BB28" s="19" t="s">
        <v>2525</v>
      </c>
      <c r="BC28" s="19" t="s">
        <v>322</v>
      </c>
      <c r="BD28" s="75" t="s">
        <v>239</v>
      </c>
      <c r="BE28" s="100" t="s">
        <v>3734</v>
      </c>
      <c r="BF28" s="100" t="s">
        <v>4040</v>
      </c>
      <c r="BG28" s="100" t="s">
        <v>4041</v>
      </c>
    </row>
    <row r="29" spans="1:59" s="10" customFormat="1" ht="13.5" x14ac:dyDescent="0.25">
      <c r="A29" s="59">
        <v>28</v>
      </c>
      <c r="B29" s="15" t="s">
        <v>403</v>
      </c>
      <c r="C29" s="12">
        <v>26490</v>
      </c>
      <c r="D29" s="11" t="s">
        <v>40</v>
      </c>
      <c r="E29" s="11" t="s">
        <v>96</v>
      </c>
      <c r="F29" s="11" t="s">
        <v>1859</v>
      </c>
      <c r="G29" s="13" t="s">
        <v>43</v>
      </c>
      <c r="H29" s="11" t="s">
        <v>1948</v>
      </c>
      <c r="I29" s="3" t="s">
        <v>405</v>
      </c>
      <c r="J29" s="3" t="s">
        <v>405</v>
      </c>
      <c r="K29" s="11" t="s">
        <v>1860</v>
      </c>
      <c r="L29" s="4" t="s">
        <v>406</v>
      </c>
      <c r="M29" s="4" t="s">
        <v>407</v>
      </c>
      <c r="N29" s="4" t="s">
        <v>408</v>
      </c>
      <c r="O29" s="26" t="s">
        <v>409</v>
      </c>
      <c r="P29" s="5" t="s">
        <v>60</v>
      </c>
      <c r="Q29" s="1" t="s">
        <v>410</v>
      </c>
      <c r="R29" s="1"/>
      <c r="S29" s="1" t="s">
        <v>411</v>
      </c>
      <c r="T29" s="1"/>
      <c r="U29" s="1"/>
      <c r="V29" s="1" t="s">
        <v>77</v>
      </c>
      <c r="W29" s="1"/>
      <c r="X29" s="1" t="s">
        <v>310</v>
      </c>
      <c r="Y29" s="1" t="s">
        <v>56</v>
      </c>
      <c r="Z29" s="3">
        <v>43724</v>
      </c>
      <c r="AA29" s="3">
        <v>43704</v>
      </c>
      <c r="AB29" s="6"/>
      <c r="AC29" s="1"/>
      <c r="AD29" s="4" t="s">
        <v>412</v>
      </c>
      <c r="AE29" s="2">
        <v>26490</v>
      </c>
      <c r="AF29" s="3" t="s">
        <v>404</v>
      </c>
      <c r="AG29" s="7">
        <v>2186</v>
      </c>
      <c r="AH29" s="7">
        <v>2355</v>
      </c>
      <c r="AI29" s="7">
        <v>2014</v>
      </c>
      <c r="AJ29" s="7">
        <v>6555</v>
      </c>
      <c r="AK29" s="7">
        <v>2</v>
      </c>
      <c r="AL29" s="25" t="s">
        <v>57</v>
      </c>
      <c r="AM29" s="25" t="s">
        <v>58</v>
      </c>
      <c r="AN29" s="25" t="s">
        <v>59</v>
      </c>
      <c r="AO29" s="25" t="s">
        <v>95</v>
      </c>
      <c r="AP29" s="19" t="s">
        <v>60</v>
      </c>
      <c r="AQ29" s="19" t="s">
        <v>1884</v>
      </c>
      <c r="AR29" s="19" t="s">
        <v>1920</v>
      </c>
      <c r="AS29" s="19" t="s">
        <v>60</v>
      </c>
      <c r="AT29" s="19" t="s">
        <v>60</v>
      </c>
      <c r="AU29" s="19" t="s">
        <v>60</v>
      </c>
      <c r="AV29" s="19" t="s">
        <v>60</v>
      </c>
      <c r="AW29" s="19" t="s">
        <v>60</v>
      </c>
      <c r="AX29" s="19" t="s">
        <v>60</v>
      </c>
      <c r="AY29" s="19" t="s">
        <v>1859</v>
      </c>
      <c r="AZ29" s="19" t="s">
        <v>96</v>
      </c>
      <c r="BA29" s="19" t="s">
        <v>2745</v>
      </c>
      <c r="BB29" s="19" t="s">
        <v>2746</v>
      </c>
      <c r="BC29" s="19" t="s">
        <v>2747</v>
      </c>
      <c r="BD29" s="75" t="s">
        <v>1948</v>
      </c>
      <c r="BE29" s="100" t="s">
        <v>60</v>
      </c>
      <c r="BF29" s="100" t="s">
        <v>60</v>
      </c>
      <c r="BG29" s="100" t="s">
        <v>60</v>
      </c>
    </row>
    <row r="30" spans="1:59" s="10" customFormat="1" ht="13.5" x14ac:dyDescent="0.25">
      <c r="A30" s="59">
        <v>85</v>
      </c>
      <c r="B30" s="15" t="s">
        <v>269</v>
      </c>
      <c r="C30" s="12">
        <v>12290</v>
      </c>
      <c r="D30" s="11" t="s">
        <v>40</v>
      </c>
      <c r="E30" s="11" t="s">
        <v>61</v>
      </c>
      <c r="F30" s="11" t="s">
        <v>270</v>
      </c>
      <c r="G30" s="13" t="s">
        <v>43</v>
      </c>
      <c r="H30" s="11" t="s">
        <v>271</v>
      </c>
      <c r="I30" s="3" t="s">
        <v>272</v>
      </c>
      <c r="J30" s="3" t="s">
        <v>272</v>
      </c>
      <c r="K30" s="11" t="s">
        <v>1761</v>
      </c>
      <c r="L30" s="4" t="s">
        <v>273</v>
      </c>
      <c r="M30" s="4" t="s">
        <v>274</v>
      </c>
      <c r="N30" s="4" t="s">
        <v>257</v>
      </c>
      <c r="O30" s="26" t="s">
        <v>275</v>
      </c>
      <c r="P30" s="5" t="s">
        <v>276</v>
      </c>
      <c r="Q30" s="1" t="s">
        <v>277</v>
      </c>
      <c r="R30" s="1" t="s">
        <v>278</v>
      </c>
      <c r="S30" s="1" t="s">
        <v>278</v>
      </c>
      <c r="T30" s="1"/>
      <c r="U30" s="1"/>
      <c r="V30" s="1" t="s">
        <v>279</v>
      </c>
      <c r="W30" s="1"/>
      <c r="X30" s="1" t="s">
        <v>55</v>
      </c>
      <c r="Y30" s="1" t="s">
        <v>56</v>
      </c>
      <c r="Z30" s="3">
        <v>44609</v>
      </c>
      <c r="AA30" s="3">
        <v>44603</v>
      </c>
      <c r="AB30" s="6"/>
      <c r="AC30" s="1"/>
      <c r="AD30" s="4" t="s">
        <v>280</v>
      </c>
      <c r="AE30" s="2">
        <v>12290</v>
      </c>
      <c r="AF30" s="3" t="s">
        <v>271</v>
      </c>
      <c r="AG30" s="7">
        <v>41</v>
      </c>
      <c r="AH30" s="7">
        <v>36</v>
      </c>
      <c r="AI30" s="7">
        <v>35</v>
      </c>
      <c r="AJ30" s="7">
        <v>112</v>
      </c>
      <c r="AK30" s="7"/>
      <c r="AL30" s="25" t="s">
        <v>78</v>
      </c>
      <c r="AM30" s="25" t="s">
        <v>58</v>
      </c>
      <c r="AN30" s="25" t="s">
        <v>59</v>
      </c>
      <c r="AO30" s="25" t="s">
        <v>143</v>
      </c>
      <c r="AP30" s="19" t="s">
        <v>1761</v>
      </c>
      <c r="AQ30" s="19" t="s">
        <v>1869</v>
      </c>
      <c r="AR30" s="19" t="s">
        <v>3419</v>
      </c>
      <c r="AS30" s="19"/>
      <c r="AT30" s="19" t="s">
        <v>2005</v>
      </c>
      <c r="AU30" s="19" t="s">
        <v>2092</v>
      </c>
      <c r="AV30" s="19">
        <v>7753851136</v>
      </c>
      <c r="AW30" s="20">
        <v>46123</v>
      </c>
      <c r="AX30" s="19" t="s">
        <v>1990</v>
      </c>
      <c r="AY30" s="27" t="s">
        <v>270</v>
      </c>
      <c r="AZ30" s="27" t="s">
        <v>61</v>
      </c>
      <c r="BA30" s="19" t="s">
        <v>2437</v>
      </c>
      <c r="BB30" s="19" t="s">
        <v>2438</v>
      </c>
      <c r="BC30" s="19" t="s">
        <v>143</v>
      </c>
      <c r="BD30" s="75" t="s">
        <v>271</v>
      </c>
      <c r="BE30" s="100" t="s">
        <v>3773</v>
      </c>
      <c r="BF30" s="100" t="s">
        <v>4013</v>
      </c>
      <c r="BG30" s="100" t="s">
        <v>4221</v>
      </c>
    </row>
    <row r="31" spans="1:59" s="10" customFormat="1" ht="13.5" x14ac:dyDescent="0.25">
      <c r="A31" s="59">
        <v>160</v>
      </c>
      <c r="B31" s="15" t="s">
        <v>682</v>
      </c>
      <c r="C31" s="12">
        <v>25732</v>
      </c>
      <c r="D31" s="11" t="s">
        <v>103</v>
      </c>
      <c r="E31" s="11" t="s">
        <v>104</v>
      </c>
      <c r="F31" s="11" t="s">
        <v>105</v>
      </c>
      <c r="G31" s="13" t="s">
        <v>185</v>
      </c>
      <c r="H31" s="11" t="s">
        <v>1702</v>
      </c>
      <c r="I31" s="3" t="s">
        <v>684</v>
      </c>
      <c r="J31" s="3" t="s">
        <v>684</v>
      </c>
      <c r="K31" s="11" t="s">
        <v>685</v>
      </c>
      <c r="L31" s="4" t="s">
        <v>686</v>
      </c>
      <c r="M31" s="4" t="s">
        <v>687</v>
      </c>
      <c r="N31" s="4" t="s">
        <v>686</v>
      </c>
      <c r="O31" s="26" t="s">
        <v>688</v>
      </c>
      <c r="P31" s="5" t="s">
        <v>60</v>
      </c>
      <c r="Q31" s="1" t="s">
        <v>689</v>
      </c>
      <c r="R31" s="1"/>
      <c r="S31" s="1" t="s">
        <v>690</v>
      </c>
      <c r="T31" s="1"/>
      <c r="U31" s="1"/>
      <c r="V31" s="1" t="s">
        <v>93</v>
      </c>
      <c r="W31" s="1"/>
      <c r="X31" s="1" t="s">
        <v>310</v>
      </c>
      <c r="Y31" s="1" t="s">
        <v>56</v>
      </c>
      <c r="Z31" s="3">
        <v>44659</v>
      </c>
      <c r="AA31" s="3">
        <v>44659</v>
      </c>
      <c r="AB31" s="6"/>
      <c r="AC31" s="1"/>
      <c r="AD31" s="4" t="s">
        <v>691</v>
      </c>
      <c r="AE31" s="2">
        <v>25732</v>
      </c>
      <c r="AF31" s="3" t="s">
        <v>683</v>
      </c>
      <c r="AG31" s="7">
        <v>1204</v>
      </c>
      <c r="AH31" s="7">
        <v>1174</v>
      </c>
      <c r="AI31" s="7">
        <v>1138</v>
      </c>
      <c r="AJ31" s="7">
        <v>3516</v>
      </c>
      <c r="AK31" s="7"/>
      <c r="AL31" s="25" t="s">
        <v>78</v>
      </c>
      <c r="AM31" s="25" t="s">
        <v>58</v>
      </c>
      <c r="AN31" s="25" t="s">
        <v>59</v>
      </c>
      <c r="AO31" s="25" t="s">
        <v>95</v>
      </c>
      <c r="AP31" s="19" t="s">
        <v>685</v>
      </c>
      <c r="AQ31" s="19" t="s">
        <v>1869</v>
      </c>
      <c r="AR31" s="19" t="s">
        <v>60</v>
      </c>
      <c r="AS31" s="19"/>
      <c r="AT31" s="19" t="s">
        <v>2287</v>
      </c>
      <c r="AU31" s="19" t="s">
        <v>2094</v>
      </c>
      <c r="AV31" s="19">
        <v>8287823681</v>
      </c>
      <c r="AW31" s="20">
        <v>46132</v>
      </c>
      <c r="AX31" s="19" t="s">
        <v>1990</v>
      </c>
      <c r="AY31" s="27" t="s">
        <v>105</v>
      </c>
      <c r="AZ31" s="27" t="s">
        <v>104</v>
      </c>
      <c r="BA31" s="19" t="s">
        <v>2794</v>
      </c>
      <c r="BB31" s="19" t="s">
        <v>2795</v>
      </c>
      <c r="BC31" s="19" t="s">
        <v>2796</v>
      </c>
      <c r="BD31" s="75" t="s">
        <v>1702</v>
      </c>
      <c r="BE31" s="100" t="s">
        <v>3838</v>
      </c>
      <c r="BF31" s="100" t="s">
        <v>4029</v>
      </c>
      <c r="BG31" s="100"/>
    </row>
    <row r="32" spans="1:59" s="10" customFormat="1" ht="13.5" x14ac:dyDescent="0.25">
      <c r="A32" s="59">
        <v>97</v>
      </c>
      <c r="B32" s="15" t="s">
        <v>782</v>
      </c>
      <c r="C32" s="12">
        <v>54117</v>
      </c>
      <c r="D32" s="11" t="s">
        <v>40</v>
      </c>
      <c r="E32" s="11" t="s">
        <v>938</v>
      </c>
      <c r="F32" s="11" t="s">
        <v>385</v>
      </c>
      <c r="G32" s="13" t="s">
        <v>43</v>
      </c>
      <c r="H32" s="11" t="s">
        <v>783</v>
      </c>
      <c r="I32" s="3" t="s">
        <v>784</v>
      </c>
      <c r="J32" s="3" t="s">
        <v>784</v>
      </c>
      <c r="K32" s="11" t="s">
        <v>785</v>
      </c>
      <c r="L32" s="4" t="s">
        <v>786</v>
      </c>
      <c r="M32" s="4" t="s">
        <v>786</v>
      </c>
      <c r="N32" s="4" t="s">
        <v>787</v>
      </c>
      <c r="O32" s="26" t="s">
        <v>788</v>
      </c>
      <c r="P32" s="5" t="s">
        <v>789</v>
      </c>
      <c r="Q32" s="1" t="s">
        <v>790</v>
      </c>
      <c r="R32" s="1"/>
      <c r="S32" s="1" t="s">
        <v>791</v>
      </c>
      <c r="T32" s="1"/>
      <c r="U32" s="1"/>
      <c r="V32" s="1" t="s">
        <v>93</v>
      </c>
      <c r="W32" s="1"/>
      <c r="X32" s="1" t="s">
        <v>55</v>
      </c>
      <c r="Y32" s="1" t="s">
        <v>56</v>
      </c>
      <c r="Z32" s="3">
        <v>44971</v>
      </c>
      <c r="AA32" s="3">
        <v>44965</v>
      </c>
      <c r="AB32" s="6"/>
      <c r="AC32" s="1"/>
      <c r="AD32" s="4"/>
      <c r="AE32" s="2">
        <v>54117</v>
      </c>
      <c r="AF32" s="3" t="s">
        <v>783</v>
      </c>
      <c r="AG32" s="7">
        <v>216</v>
      </c>
      <c r="AH32" s="7">
        <v>207</v>
      </c>
      <c r="AI32" s="7">
        <v>210</v>
      </c>
      <c r="AJ32" s="7">
        <v>633</v>
      </c>
      <c r="AK32" s="7"/>
      <c r="AL32" s="25" t="s">
        <v>78</v>
      </c>
      <c r="AM32" s="25" t="s">
        <v>58</v>
      </c>
      <c r="AN32" s="25" t="s">
        <v>59</v>
      </c>
      <c r="AO32" s="25" t="s">
        <v>143</v>
      </c>
      <c r="AP32" s="19" t="s">
        <v>785</v>
      </c>
      <c r="AQ32" s="19" t="s">
        <v>1869</v>
      </c>
      <c r="AR32" s="19" t="s">
        <v>60</v>
      </c>
      <c r="AS32" s="19"/>
      <c r="AT32" s="19" t="s">
        <v>2047</v>
      </c>
      <c r="AU32" s="19" t="s">
        <v>2097</v>
      </c>
      <c r="AV32" s="19">
        <v>9149204613</v>
      </c>
      <c r="AW32" s="20">
        <v>46133</v>
      </c>
      <c r="AX32" s="19" t="s">
        <v>1990</v>
      </c>
      <c r="AY32" s="27" t="s">
        <v>385</v>
      </c>
      <c r="AZ32" s="27" t="s">
        <v>938</v>
      </c>
      <c r="BA32" s="19" t="s">
        <v>2446</v>
      </c>
      <c r="BB32" s="19" t="s">
        <v>2447</v>
      </c>
      <c r="BC32" s="19" t="s">
        <v>2777</v>
      </c>
      <c r="BD32" s="75" t="s">
        <v>783</v>
      </c>
      <c r="BE32" s="100" t="s">
        <v>3785</v>
      </c>
      <c r="BF32" s="100" t="s">
        <v>4030</v>
      </c>
      <c r="BG32" s="100"/>
    </row>
    <row r="33" spans="1:59" s="10" customFormat="1" ht="13.5" x14ac:dyDescent="0.25">
      <c r="A33" s="59">
        <v>45</v>
      </c>
      <c r="B33" s="15" t="s">
        <v>363</v>
      </c>
      <c r="C33" s="12">
        <v>26517</v>
      </c>
      <c r="D33" s="11" t="s">
        <v>40</v>
      </c>
      <c r="E33" s="11" t="s">
        <v>41</v>
      </c>
      <c r="F33" s="11" t="s">
        <v>992</v>
      </c>
      <c r="G33" s="13" t="s">
        <v>43</v>
      </c>
      <c r="H33" s="11" t="s">
        <v>1940</v>
      </c>
      <c r="I33" s="3" t="s">
        <v>365</v>
      </c>
      <c r="J33" s="3" t="s">
        <v>366</v>
      </c>
      <c r="K33" s="11" t="s">
        <v>1970</v>
      </c>
      <c r="L33" s="4" t="s">
        <v>367</v>
      </c>
      <c r="M33" s="4" t="s">
        <v>368</v>
      </c>
      <c r="N33" s="4" t="s">
        <v>369</v>
      </c>
      <c r="O33" s="26" t="s">
        <v>370</v>
      </c>
      <c r="P33" s="5" t="s">
        <v>60</v>
      </c>
      <c r="Q33" s="1" t="s">
        <v>371</v>
      </c>
      <c r="R33" s="1"/>
      <c r="S33" s="1" t="s">
        <v>372</v>
      </c>
      <c r="T33" s="1"/>
      <c r="U33" s="1"/>
      <c r="V33" s="1" t="s">
        <v>93</v>
      </c>
      <c r="W33" s="1"/>
      <c r="X33" s="1" t="s">
        <v>55</v>
      </c>
      <c r="Y33" s="1" t="s">
        <v>56</v>
      </c>
      <c r="Z33" s="3">
        <v>43579</v>
      </c>
      <c r="AA33" s="3">
        <v>43579</v>
      </c>
      <c r="AB33" s="6"/>
      <c r="AC33" s="1"/>
      <c r="AD33" s="4" t="s">
        <v>373</v>
      </c>
      <c r="AE33" s="2">
        <v>26517</v>
      </c>
      <c r="AF33" s="3" t="s">
        <v>364</v>
      </c>
      <c r="AG33" s="7">
        <v>1051</v>
      </c>
      <c r="AH33" s="7">
        <v>1002</v>
      </c>
      <c r="AI33" s="7">
        <v>925</v>
      </c>
      <c r="AJ33" s="7">
        <v>2978</v>
      </c>
      <c r="AK33" s="7"/>
      <c r="AL33" s="25" t="s">
        <v>78</v>
      </c>
      <c r="AM33" s="25" t="s">
        <v>58</v>
      </c>
      <c r="AN33" s="25" t="s">
        <v>59</v>
      </c>
      <c r="AO33" s="25" t="s">
        <v>95</v>
      </c>
      <c r="AP33" s="19" t="s">
        <v>1970</v>
      </c>
      <c r="AQ33" s="19" t="s">
        <v>1869</v>
      </c>
      <c r="AR33" s="19" t="s">
        <v>60</v>
      </c>
      <c r="AS33" s="19"/>
      <c r="AT33" s="19" t="s">
        <v>2016</v>
      </c>
      <c r="AU33" s="19" t="s">
        <v>2095</v>
      </c>
      <c r="AV33" s="19">
        <v>9582917652</v>
      </c>
      <c r="AW33" s="20">
        <v>46125</v>
      </c>
      <c r="AX33" s="19" t="s">
        <v>1990</v>
      </c>
      <c r="AY33" s="27" t="s">
        <v>992</v>
      </c>
      <c r="AZ33" s="27" t="s">
        <v>41</v>
      </c>
      <c r="BA33" s="19" t="s">
        <v>2399</v>
      </c>
      <c r="BB33" s="19" t="s">
        <v>2400</v>
      </c>
      <c r="BC33" s="19" t="s">
        <v>95</v>
      </c>
      <c r="BD33" s="75" t="s">
        <v>1940</v>
      </c>
      <c r="BE33" s="100" t="s">
        <v>3738</v>
      </c>
      <c r="BF33" s="100" t="s">
        <v>4031</v>
      </c>
      <c r="BG33" s="100"/>
    </row>
    <row r="34" spans="1:59" s="10" customFormat="1" ht="13.5" x14ac:dyDescent="0.25">
      <c r="A34" s="59">
        <v>33</v>
      </c>
      <c r="B34" s="15" t="s">
        <v>60</v>
      </c>
      <c r="C34" s="12">
        <v>67899</v>
      </c>
      <c r="D34" s="11" t="s">
        <v>103</v>
      </c>
      <c r="E34" s="11" t="s">
        <v>465</v>
      </c>
      <c r="F34" s="11" t="s">
        <v>801</v>
      </c>
      <c r="G34" s="13" t="s">
        <v>43</v>
      </c>
      <c r="H34" s="11" t="s">
        <v>802</v>
      </c>
      <c r="I34" s="3" t="s">
        <v>1638</v>
      </c>
      <c r="J34" s="3" t="s">
        <v>1638</v>
      </c>
      <c r="K34" s="11" t="s">
        <v>1891</v>
      </c>
      <c r="L34" s="28" t="s">
        <v>803</v>
      </c>
      <c r="M34" s="28" t="s">
        <v>804</v>
      </c>
      <c r="N34" s="28" t="s">
        <v>803</v>
      </c>
      <c r="O34" s="28" t="s">
        <v>805</v>
      </c>
      <c r="P34" s="5" t="s">
        <v>60</v>
      </c>
      <c r="Q34" s="28" t="s">
        <v>806</v>
      </c>
      <c r="R34" s="28">
        <v>0</v>
      </c>
      <c r="S34" s="28" t="e">
        <v>#N/A</v>
      </c>
      <c r="T34" s="28">
        <v>0</v>
      </c>
      <c r="U34" s="28">
        <v>0</v>
      </c>
      <c r="V34" s="28" t="s">
        <v>93</v>
      </c>
      <c r="W34" s="28">
        <v>0</v>
      </c>
      <c r="X34" s="28" t="s">
        <v>55</v>
      </c>
      <c r="Y34" s="28" t="s">
        <v>56</v>
      </c>
      <c r="Z34" s="28">
        <v>45133</v>
      </c>
      <c r="AA34" s="28">
        <v>45131</v>
      </c>
      <c r="AB34" s="28">
        <v>0</v>
      </c>
      <c r="AC34" s="28">
        <v>0</v>
      </c>
      <c r="AD34" s="28">
        <v>0</v>
      </c>
      <c r="AE34" s="28">
        <v>67899</v>
      </c>
      <c r="AF34" s="28" t="s">
        <v>802</v>
      </c>
      <c r="AG34" s="7">
        <v>449</v>
      </c>
      <c r="AH34" s="7">
        <v>443</v>
      </c>
      <c r="AI34" s="7">
        <v>439</v>
      </c>
      <c r="AJ34" s="7">
        <v>1331</v>
      </c>
      <c r="AK34" s="7"/>
      <c r="AL34" s="25" t="s">
        <v>78</v>
      </c>
      <c r="AM34" s="25" t="s">
        <v>58</v>
      </c>
      <c r="AN34" s="25" t="s">
        <v>59</v>
      </c>
      <c r="AO34" s="25" t="s">
        <v>95</v>
      </c>
      <c r="AP34" s="19" t="s">
        <v>60</v>
      </c>
      <c r="AQ34" s="19" t="s">
        <v>1884</v>
      </c>
      <c r="AR34" s="19" t="s">
        <v>1929</v>
      </c>
      <c r="AS34" s="19" t="s">
        <v>60</v>
      </c>
      <c r="AT34" s="19" t="s">
        <v>60</v>
      </c>
      <c r="AU34" s="19" t="s">
        <v>60</v>
      </c>
      <c r="AV34" s="19" t="s">
        <v>60</v>
      </c>
      <c r="AW34" s="19" t="s">
        <v>60</v>
      </c>
      <c r="AX34" s="19" t="s">
        <v>60</v>
      </c>
      <c r="AY34" s="19" t="s">
        <v>801</v>
      </c>
      <c r="AZ34" s="19" t="s">
        <v>465</v>
      </c>
      <c r="BA34" s="19" t="s">
        <v>2753</v>
      </c>
      <c r="BB34" s="19" t="s">
        <v>2754</v>
      </c>
      <c r="BC34" s="19" t="s">
        <v>2677</v>
      </c>
      <c r="BD34" s="75" t="s">
        <v>802</v>
      </c>
      <c r="BE34" s="100" t="s">
        <v>60</v>
      </c>
      <c r="BF34" s="100" t="s">
        <v>60</v>
      </c>
      <c r="BG34" s="100" t="s">
        <v>60</v>
      </c>
    </row>
    <row r="35" spans="1:59" s="10" customFormat="1" ht="13.5" x14ac:dyDescent="0.25">
      <c r="A35" s="59">
        <v>56</v>
      </c>
      <c r="B35" s="15" t="s">
        <v>363</v>
      </c>
      <c r="C35" s="12">
        <v>26517</v>
      </c>
      <c r="D35" s="11" t="s">
        <v>40</v>
      </c>
      <c r="E35" s="11" t="s">
        <v>41</v>
      </c>
      <c r="F35" s="11" t="s">
        <v>156</v>
      </c>
      <c r="G35" s="13" t="s">
        <v>43</v>
      </c>
      <c r="H35" s="11" t="s">
        <v>1939</v>
      </c>
      <c r="I35" s="3" t="s">
        <v>365</v>
      </c>
      <c r="J35" s="3" t="s">
        <v>366</v>
      </c>
      <c r="K35" s="11" t="s">
        <v>1969</v>
      </c>
      <c r="L35" s="4" t="s">
        <v>367</v>
      </c>
      <c r="M35" s="4" t="s">
        <v>368</v>
      </c>
      <c r="N35" s="4" t="s">
        <v>369</v>
      </c>
      <c r="O35" s="26" t="s">
        <v>370</v>
      </c>
      <c r="P35" s="5" t="s">
        <v>60</v>
      </c>
      <c r="Q35" s="1" t="s">
        <v>371</v>
      </c>
      <c r="R35" s="1"/>
      <c r="S35" s="1" t="s">
        <v>372</v>
      </c>
      <c r="T35" s="1"/>
      <c r="U35" s="1"/>
      <c r="V35" s="1" t="s">
        <v>93</v>
      </c>
      <c r="W35" s="1"/>
      <c r="X35" s="1" t="s">
        <v>55</v>
      </c>
      <c r="Y35" s="1" t="s">
        <v>56</v>
      </c>
      <c r="Z35" s="3">
        <v>43579</v>
      </c>
      <c r="AA35" s="3">
        <v>43579</v>
      </c>
      <c r="AB35" s="6"/>
      <c r="AC35" s="1"/>
      <c r="AD35" s="4" t="s">
        <v>373</v>
      </c>
      <c r="AE35" s="2">
        <v>26517</v>
      </c>
      <c r="AF35" s="3" t="s">
        <v>364</v>
      </c>
      <c r="AG35" s="7">
        <v>1051</v>
      </c>
      <c r="AH35" s="7">
        <v>1002</v>
      </c>
      <c r="AI35" s="7">
        <v>925</v>
      </c>
      <c r="AJ35" s="7">
        <v>2978</v>
      </c>
      <c r="AK35" s="7"/>
      <c r="AL35" s="25" t="s">
        <v>78</v>
      </c>
      <c r="AM35" s="25" t="s">
        <v>58</v>
      </c>
      <c r="AN35" s="25" t="s">
        <v>59</v>
      </c>
      <c r="AO35" s="25" t="s">
        <v>95</v>
      </c>
      <c r="AP35" s="19" t="s">
        <v>1969</v>
      </c>
      <c r="AQ35" s="19" t="s">
        <v>1869</v>
      </c>
      <c r="AR35" s="19" t="s">
        <v>60</v>
      </c>
      <c r="AS35" s="19"/>
      <c r="AT35" s="19" t="s">
        <v>2015</v>
      </c>
      <c r="AU35" s="19" t="s">
        <v>2095</v>
      </c>
      <c r="AV35" s="19">
        <v>9582917652</v>
      </c>
      <c r="AW35" s="20">
        <v>46127</v>
      </c>
      <c r="AX35" s="19" t="s">
        <v>1990</v>
      </c>
      <c r="AY35" s="27" t="s">
        <v>156</v>
      </c>
      <c r="AZ35" s="27" t="s">
        <v>41</v>
      </c>
      <c r="BA35" s="19" t="s">
        <v>2399</v>
      </c>
      <c r="BB35" s="19" t="s">
        <v>2400</v>
      </c>
      <c r="BC35" s="19" t="s">
        <v>95</v>
      </c>
      <c r="BD35" s="75" t="s">
        <v>1939</v>
      </c>
      <c r="BE35" s="100" t="s">
        <v>3747</v>
      </c>
      <c r="BF35" s="100" t="s">
        <v>4033</v>
      </c>
      <c r="BG35" s="100"/>
    </row>
    <row r="36" spans="1:59" s="10" customFormat="1" ht="13.5" x14ac:dyDescent="0.25">
      <c r="A36" s="59">
        <v>61</v>
      </c>
      <c r="B36" s="15" t="s">
        <v>363</v>
      </c>
      <c r="C36" s="12">
        <v>26517</v>
      </c>
      <c r="D36" s="11" t="s">
        <v>40</v>
      </c>
      <c r="E36" s="11" t="s">
        <v>41</v>
      </c>
      <c r="F36" s="11" t="s">
        <v>1603</v>
      </c>
      <c r="G36" s="13" t="s">
        <v>43</v>
      </c>
      <c r="H36" s="11" t="s">
        <v>1938</v>
      </c>
      <c r="I36" s="3" t="s">
        <v>365</v>
      </c>
      <c r="J36" s="3" t="s">
        <v>366</v>
      </c>
      <c r="K36" s="11" t="s">
        <v>1968</v>
      </c>
      <c r="L36" s="4" t="s">
        <v>367</v>
      </c>
      <c r="M36" s="4" t="s">
        <v>368</v>
      </c>
      <c r="N36" s="4" t="s">
        <v>369</v>
      </c>
      <c r="O36" s="26" t="s">
        <v>370</v>
      </c>
      <c r="P36" s="5" t="s">
        <v>60</v>
      </c>
      <c r="Q36" s="1" t="s">
        <v>371</v>
      </c>
      <c r="R36" s="1"/>
      <c r="S36" s="1" t="s">
        <v>372</v>
      </c>
      <c r="T36" s="1"/>
      <c r="U36" s="1"/>
      <c r="V36" s="1" t="s">
        <v>93</v>
      </c>
      <c r="W36" s="1"/>
      <c r="X36" s="1" t="s">
        <v>55</v>
      </c>
      <c r="Y36" s="1" t="s">
        <v>56</v>
      </c>
      <c r="Z36" s="3">
        <v>43579</v>
      </c>
      <c r="AA36" s="3">
        <v>43579</v>
      </c>
      <c r="AB36" s="6"/>
      <c r="AC36" s="1"/>
      <c r="AD36" s="4" t="s">
        <v>373</v>
      </c>
      <c r="AE36" s="2">
        <v>26517</v>
      </c>
      <c r="AF36" s="3" t="s">
        <v>364</v>
      </c>
      <c r="AG36" s="7">
        <v>1051</v>
      </c>
      <c r="AH36" s="7">
        <v>1002</v>
      </c>
      <c r="AI36" s="7">
        <v>925</v>
      </c>
      <c r="AJ36" s="7">
        <v>2978</v>
      </c>
      <c r="AK36" s="7"/>
      <c r="AL36" s="25" t="s">
        <v>78</v>
      </c>
      <c r="AM36" s="25" t="s">
        <v>58</v>
      </c>
      <c r="AN36" s="25" t="s">
        <v>59</v>
      </c>
      <c r="AO36" s="25" t="s">
        <v>95</v>
      </c>
      <c r="AP36" s="19" t="s">
        <v>1968</v>
      </c>
      <c r="AQ36" s="19" t="s">
        <v>1869</v>
      </c>
      <c r="AR36" s="19" t="s">
        <v>60</v>
      </c>
      <c r="AS36" s="19"/>
      <c r="AT36" s="19" t="s">
        <v>2014</v>
      </c>
      <c r="AU36" s="19" t="s">
        <v>2095</v>
      </c>
      <c r="AV36" s="19">
        <v>9582917652</v>
      </c>
      <c r="AW36" s="20">
        <v>46123</v>
      </c>
      <c r="AX36" s="19" t="s">
        <v>1990</v>
      </c>
      <c r="AY36" s="27" t="s">
        <v>1603</v>
      </c>
      <c r="AZ36" s="27" t="s">
        <v>41</v>
      </c>
      <c r="BA36" s="19" t="s">
        <v>2399</v>
      </c>
      <c r="BB36" s="19" t="s">
        <v>2400</v>
      </c>
      <c r="BC36" s="19" t="s">
        <v>95</v>
      </c>
      <c r="BD36" s="75" t="s">
        <v>1938</v>
      </c>
      <c r="BE36" s="100" t="s">
        <v>3751</v>
      </c>
      <c r="BF36" s="100" t="s">
        <v>4034</v>
      </c>
      <c r="BG36" s="100"/>
    </row>
    <row r="37" spans="1:59" s="10" customFormat="1" ht="13.5" x14ac:dyDescent="0.25">
      <c r="A37" s="59">
        <v>183</v>
      </c>
      <c r="B37" s="15" t="s">
        <v>116</v>
      </c>
      <c r="C37" s="12">
        <v>25788</v>
      </c>
      <c r="D37" s="11" t="s">
        <v>103</v>
      </c>
      <c r="E37" s="11" t="s">
        <v>104</v>
      </c>
      <c r="F37" s="11" t="s">
        <v>105</v>
      </c>
      <c r="G37" s="13" t="s">
        <v>63</v>
      </c>
      <c r="H37" s="11" t="s">
        <v>117</v>
      </c>
      <c r="I37" s="3" t="s">
        <v>118</v>
      </c>
      <c r="J37" s="3" t="s">
        <v>118</v>
      </c>
      <c r="K37" s="11" t="s">
        <v>119</v>
      </c>
      <c r="L37" s="4" t="s">
        <v>120</v>
      </c>
      <c r="M37" s="4" t="s">
        <v>121</v>
      </c>
      <c r="N37" s="4" t="s">
        <v>122</v>
      </c>
      <c r="O37" s="26" t="s">
        <v>123</v>
      </c>
      <c r="P37" s="5" t="s">
        <v>60</v>
      </c>
      <c r="Q37" s="1" t="s">
        <v>124</v>
      </c>
      <c r="R37" s="1" t="s">
        <v>125</v>
      </c>
      <c r="S37" s="1" t="s">
        <v>126</v>
      </c>
      <c r="T37" s="1"/>
      <c r="U37" s="1" t="s">
        <v>127</v>
      </c>
      <c r="V37" s="1" t="s">
        <v>93</v>
      </c>
      <c r="W37" s="1" t="s">
        <v>94</v>
      </c>
      <c r="X37" s="1" t="s">
        <v>55</v>
      </c>
      <c r="Y37" s="1" t="s">
        <v>56</v>
      </c>
      <c r="Z37" s="3">
        <v>42588</v>
      </c>
      <c r="AA37" s="3">
        <v>42576</v>
      </c>
      <c r="AB37" s="6"/>
      <c r="AC37" s="1"/>
      <c r="AD37" s="4"/>
      <c r="AE37" s="2">
        <v>25788</v>
      </c>
      <c r="AF37" s="3" t="s">
        <v>117</v>
      </c>
      <c r="AG37" s="7" t="s">
        <v>60</v>
      </c>
      <c r="AH37" s="7" t="s">
        <v>60</v>
      </c>
      <c r="AI37" s="7" t="s">
        <v>60</v>
      </c>
      <c r="AJ37" s="7" t="s">
        <v>60</v>
      </c>
      <c r="AK37" s="7">
        <v>4</v>
      </c>
      <c r="AL37" s="25" t="s">
        <v>70</v>
      </c>
      <c r="AM37" s="25" t="s">
        <v>58</v>
      </c>
      <c r="AN37" s="25" t="s">
        <v>59</v>
      </c>
      <c r="AO37" s="25" t="e">
        <v>#N/A</v>
      </c>
      <c r="AP37" s="19" t="s">
        <v>119</v>
      </c>
      <c r="AQ37" s="19" t="s">
        <v>1869</v>
      </c>
      <c r="AR37" s="19" t="s">
        <v>60</v>
      </c>
      <c r="AS37" s="19"/>
      <c r="AT37" s="19" t="s">
        <v>1997</v>
      </c>
      <c r="AU37" s="19" t="s">
        <v>2091</v>
      </c>
      <c r="AV37" s="19">
        <v>9354241930</v>
      </c>
      <c r="AW37" s="20">
        <v>46119</v>
      </c>
      <c r="AX37" s="19" t="s">
        <v>1990</v>
      </c>
      <c r="AY37" s="27" t="s">
        <v>105</v>
      </c>
      <c r="AZ37" s="27" t="s">
        <v>104</v>
      </c>
      <c r="BA37" s="19" t="s">
        <v>60</v>
      </c>
      <c r="BB37" s="19" t="s">
        <v>2724</v>
      </c>
      <c r="BC37" s="19" t="s">
        <v>2538</v>
      </c>
      <c r="BD37" s="75" t="s">
        <v>117</v>
      </c>
      <c r="BE37" s="100" t="s">
        <v>3860</v>
      </c>
      <c r="BF37" s="100" t="s">
        <v>4216</v>
      </c>
      <c r="BG37" s="100" t="s">
        <v>4217</v>
      </c>
    </row>
    <row r="38" spans="1:59" s="10" customFormat="1" ht="13.5" x14ac:dyDescent="0.25">
      <c r="A38" s="59">
        <v>155</v>
      </c>
      <c r="B38" s="15" t="s">
        <v>451</v>
      </c>
      <c r="C38" s="12">
        <v>25428</v>
      </c>
      <c r="D38" s="11" t="s">
        <v>40</v>
      </c>
      <c r="E38" s="11" t="s">
        <v>199</v>
      </c>
      <c r="F38" s="11" t="s">
        <v>452</v>
      </c>
      <c r="G38" s="13" t="s">
        <v>185</v>
      </c>
      <c r="H38" s="11" t="s">
        <v>453</v>
      </c>
      <c r="I38" s="3" t="s">
        <v>454</v>
      </c>
      <c r="J38" s="3" t="s">
        <v>454</v>
      </c>
      <c r="K38" s="11" t="s">
        <v>455</v>
      </c>
      <c r="L38" s="4" t="s">
        <v>456</v>
      </c>
      <c r="M38" s="4" t="s">
        <v>457</v>
      </c>
      <c r="N38" s="4" t="s">
        <v>458</v>
      </c>
      <c r="O38" s="26" t="s">
        <v>459</v>
      </c>
      <c r="P38" s="5" t="s">
        <v>460</v>
      </c>
      <c r="Q38" s="1" t="s">
        <v>461</v>
      </c>
      <c r="R38" s="1" t="s">
        <v>462</v>
      </c>
      <c r="S38" s="1" t="s">
        <v>463</v>
      </c>
      <c r="T38" s="1"/>
      <c r="U38" s="1"/>
      <c r="V38" s="1" t="s">
        <v>93</v>
      </c>
      <c r="W38" s="1"/>
      <c r="X38" s="1" t="s">
        <v>55</v>
      </c>
      <c r="Y38" s="1" t="s">
        <v>56</v>
      </c>
      <c r="Z38" s="3">
        <v>42147</v>
      </c>
      <c r="AA38" s="3">
        <v>42875</v>
      </c>
      <c r="AB38" s="6"/>
      <c r="AC38" s="1"/>
      <c r="AD38" s="4"/>
      <c r="AE38" s="2">
        <v>25428</v>
      </c>
      <c r="AF38" s="3" t="s">
        <v>453</v>
      </c>
      <c r="AG38" s="7">
        <v>432</v>
      </c>
      <c r="AH38" s="7">
        <v>409</v>
      </c>
      <c r="AI38" s="7">
        <v>393</v>
      </c>
      <c r="AJ38" s="7">
        <v>1234</v>
      </c>
      <c r="AK38" s="7"/>
      <c r="AL38" s="25" t="s">
        <v>57</v>
      </c>
      <c r="AM38" s="25" t="s">
        <v>58</v>
      </c>
      <c r="AN38" s="25" t="s">
        <v>59</v>
      </c>
      <c r="AO38" s="25" t="s">
        <v>95</v>
      </c>
      <c r="AP38" s="19" t="s">
        <v>455</v>
      </c>
      <c r="AQ38" s="19" t="s">
        <v>1869</v>
      </c>
      <c r="AR38" s="19" t="s">
        <v>3415</v>
      </c>
      <c r="AS38" s="19"/>
      <c r="AT38" s="19" t="s">
        <v>2020</v>
      </c>
      <c r="AU38" s="19" t="s">
        <v>2096</v>
      </c>
      <c r="AV38" s="19">
        <v>7688959606</v>
      </c>
      <c r="AW38" s="20">
        <v>46123</v>
      </c>
      <c r="AX38" s="19" t="s">
        <v>1990</v>
      </c>
      <c r="AY38" s="27" t="s">
        <v>452</v>
      </c>
      <c r="AZ38" s="27" t="s">
        <v>199</v>
      </c>
      <c r="BA38" s="19" t="s">
        <v>2700</v>
      </c>
      <c r="BB38" s="19" t="s">
        <v>2701</v>
      </c>
      <c r="BC38" s="19" t="s">
        <v>2789</v>
      </c>
      <c r="BD38" s="75" t="s">
        <v>453</v>
      </c>
      <c r="BE38" s="100" t="s">
        <v>3834</v>
      </c>
      <c r="BF38" s="100" t="s">
        <v>4037</v>
      </c>
      <c r="BG38" s="100"/>
    </row>
    <row r="39" spans="1:59" s="10" customFormat="1" ht="13.5" x14ac:dyDescent="0.25">
      <c r="A39" s="59">
        <v>38</v>
      </c>
      <c r="B39" s="15" t="s">
        <v>60</v>
      </c>
      <c r="C39" s="12">
        <v>348998</v>
      </c>
      <c r="D39" s="11" t="s">
        <v>40</v>
      </c>
      <c r="E39" s="11" t="s">
        <v>129</v>
      </c>
      <c r="F39" s="11" t="s">
        <v>129</v>
      </c>
      <c r="G39" s="13" t="s">
        <v>43</v>
      </c>
      <c r="H39" s="11" t="s">
        <v>71</v>
      </c>
      <c r="I39" s="3" t="s">
        <v>72</v>
      </c>
      <c r="J39" s="3" t="s">
        <v>72</v>
      </c>
      <c r="K39" s="11" t="s">
        <v>1900</v>
      </c>
      <c r="L39" s="4" t="s">
        <v>73</v>
      </c>
      <c r="M39" s="4" t="s">
        <v>73</v>
      </c>
      <c r="N39" s="4">
        <v>9811006913</v>
      </c>
      <c r="O39" s="4" t="s">
        <v>74</v>
      </c>
      <c r="P39" s="5" t="s">
        <v>60</v>
      </c>
      <c r="Q39" s="4" t="s">
        <v>75</v>
      </c>
      <c r="R39" s="4">
        <v>0</v>
      </c>
      <c r="S39" s="4" t="s">
        <v>76</v>
      </c>
      <c r="T39" s="4">
        <v>0</v>
      </c>
      <c r="U39" s="4">
        <v>0</v>
      </c>
      <c r="V39" s="4" t="s">
        <v>77</v>
      </c>
      <c r="W39" s="4">
        <v>0</v>
      </c>
      <c r="X39" s="4" t="s">
        <v>69</v>
      </c>
      <c r="Y39" s="4" t="s">
        <v>56</v>
      </c>
      <c r="Z39" s="4">
        <v>45838</v>
      </c>
      <c r="AA39" s="4">
        <v>45838</v>
      </c>
      <c r="AB39" s="4">
        <v>0</v>
      </c>
      <c r="AC39" s="4">
        <v>0</v>
      </c>
      <c r="AD39" s="4">
        <v>0</v>
      </c>
      <c r="AE39" s="4">
        <v>348998</v>
      </c>
      <c r="AF39" s="4" t="s">
        <v>71</v>
      </c>
      <c r="AG39" s="7">
        <v>172</v>
      </c>
      <c r="AH39" s="7">
        <v>181</v>
      </c>
      <c r="AI39" s="7">
        <v>138</v>
      </c>
      <c r="AJ39" s="7">
        <v>491</v>
      </c>
      <c r="AK39" s="7"/>
      <c r="AL39" s="25" t="s">
        <v>78</v>
      </c>
      <c r="AM39" s="25" t="s">
        <v>58</v>
      </c>
      <c r="AN39" s="25" t="s">
        <v>59</v>
      </c>
      <c r="AO39" s="25" t="s">
        <v>79</v>
      </c>
      <c r="AP39" s="19" t="s">
        <v>60</v>
      </c>
      <c r="AQ39" s="19" t="s">
        <v>1884</v>
      </c>
      <c r="AR39" s="19" t="s">
        <v>1915</v>
      </c>
      <c r="AS39" s="19" t="s">
        <v>60</v>
      </c>
      <c r="AT39" s="19" t="s">
        <v>60</v>
      </c>
      <c r="AU39" s="19" t="s">
        <v>60</v>
      </c>
      <c r="AV39" s="19" t="s">
        <v>60</v>
      </c>
      <c r="AW39" s="19" t="s">
        <v>60</v>
      </c>
      <c r="AX39" s="19" t="s">
        <v>60</v>
      </c>
      <c r="AY39" s="19" t="s">
        <v>129</v>
      </c>
      <c r="AZ39" s="19" t="s">
        <v>129</v>
      </c>
      <c r="BA39" s="19" t="s">
        <v>2391</v>
      </c>
      <c r="BB39" s="19" t="s">
        <v>2690</v>
      </c>
      <c r="BC39" s="19" t="s">
        <v>2392</v>
      </c>
      <c r="BD39" s="75" t="s">
        <v>71</v>
      </c>
      <c r="BE39" s="100" t="s">
        <v>60</v>
      </c>
      <c r="BF39" s="100" t="s">
        <v>60</v>
      </c>
      <c r="BG39" s="100" t="s">
        <v>60</v>
      </c>
    </row>
    <row r="40" spans="1:59" s="10" customFormat="1" ht="13.5" x14ac:dyDescent="0.25">
      <c r="A40" s="59">
        <v>111</v>
      </c>
      <c r="B40" s="15" t="s">
        <v>60</v>
      </c>
      <c r="C40" s="12">
        <v>351036</v>
      </c>
      <c r="D40" s="11" t="s">
        <v>103</v>
      </c>
      <c r="E40" s="11" t="s">
        <v>104</v>
      </c>
      <c r="F40" s="11" t="s">
        <v>1144</v>
      </c>
      <c r="G40" s="13" t="s">
        <v>43</v>
      </c>
      <c r="H40" s="11" t="s">
        <v>1741</v>
      </c>
      <c r="I40" s="3" t="s">
        <v>1146</v>
      </c>
      <c r="J40" s="3" t="s">
        <v>1146</v>
      </c>
      <c r="K40" s="11" t="s">
        <v>1147</v>
      </c>
      <c r="L40" s="4" t="s">
        <v>1148</v>
      </c>
      <c r="M40" s="4" t="s">
        <v>1148</v>
      </c>
      <c r="N40" s="4" t="s">
        <v>1148</v>
      </c>
      <c r="O40" s="26" t="s">
        <v>1149</v>
      </c>
      <c r="P40" s="5" t="s">
        <v>60</v>
      </c>
      <c r="Q40" s="1" t="s">
        <v>1150</v>
      </c>
      <c r="R40" s="1"/>
      <c r="S40" s="1" t="s">
        <v>1151</v>
      </c>
      <c r="T40" s="1"/>
      <c r="U40" s="1"/>
      <c r="V40" s="1"/>
      <c r="W40" s="1"/>
      <c r="X40" s="1" t="s">
        <v>197</v>
      </c>
      <c r="Y40" s="1" t="s">
        <v>56</v>
      </c>
      <c r="Z40" s="3">
        <v>45875</v>
      </c>
      <c r="AA40" s="3">
        <v>45875</v>
      </c>
      <c r="AB40" s="6"/>
      <c r="AC40" s="1"/>
      <c r="AD40" s="4"/>
      <c r="AE40" s="2">
        <v>351036</v>
      </c>
      <c r="AF40" s="3" t="s">
        <v>1145</v>
      </c>
      <c r="AG40" s="7" t="s">
        <v>60</v>
      </c>
      <c r="AH40" s="7" t="s">
        <v>60</v>
      </c>
      <c r="AI40" s="7" t="s">
        <v>60</v>
      </c>
      <c r="AJ40" s="7" t="s">
        <v>60</v>
      </c>
      <c r="AK40" s="7">
        <v>2</v>
      </c>
      <c r="AL40" s="25" t="s">
        <v>70</v>
      </c>
      <c r="AM40" s="25" t="s">
        <v>58</v>
      </c>
      <c r="AN40" s="25" t="s">
        <v>59</v>
      </c>
      <c r="AO40" s="25" t="e">
        <v>#N/A</v>
      </c>
      <c r="AP40" s="19" t="s">
        <v>1147</v>
      </c>
      <c r="AQ40" s="19" t="s">
        <v>1869</v>
      </c>
      <c r="AR40" s="19" t="s">
        <v>60</v>
      </c>
      <c r="AS40" s="19"/>
      <c r="AT40" s="19" t="s">
        <v>2309</v>
      </c>
      <c r="AU40" s="19" t="s">
        <v>2094</v>
      </c>
      <c r="AV40" s="19">
        <v>8287823681</v>
      </c>
      <c r="AW40" s="20">
        <v>46120</v>
      </c>
      <c r="AX40" s="19" t="s">
        <v>1990</v>
      </c>
      <c r="AY40" s="27" t="s">
        <v>1144</v>
      </c>
      <c r="AZ40" s="27" t="s">
        <v>104</v>
      </c>
      <c r="BA40" s="19" t="s">
        <v>60</v>
      </c>
      <c r="BB40" s="19" t="s">
        <v>2537</v>
      </c>
      <c r="BC40" s="19" t="s">
        <v>2538</v>
      </c>
      <c r="BD40" s="75" t="s">
        <v>1741</v>
      </c>
      <c r="BE40" s="100" t="s">
        <v>3798</v>
      </c>
      <c r="BF40" s="100" t="s">
        <v>4126</v>
      </c>
      <c r="BG40" s="100" t="s">
        <v>4127</v>
      </c>
    </row>
    <row r="41" spans="1:59" s="10" customFormat="1" ht="13.5" x14ac:dyDescent="0.25">
      <c r="A41" s="59">
        <v>102</v>
      </c>
      <c r="B41" s="15">
        <v>83886</v>
      </c>
      <c r="C41" s="12">
        <v>83886</v>
      </c>
      <c r="D41" s="11" t="s">
        <v>103</v>
      </c>
      <c r="E41" s="11" t="s">
        <v>104</v>
      </c>
      <c r="F41" s="11" t="s">
        <v>105</v>
      </c>
      <c r="G41" s="13" t="s">
        <v>43</v>
      </c>
      <c r="H41" s="11" t="s">
        <v>1639</v>
      </c>
      <c r="I41" s="3" t="s">
        <v>1639</v>
      </c>
      <c r="J41" s="3" t="s">
        <v>1639</v>
      </c>
      <c r="K41" s="11" t="s">
        <v>1789</v>
      </c>
      <c r="L41" s="4" t="s">
        <v>819</v>
      </c>
      <c r="M41" s="4" t="s">
        <v>820</v>
      </c>
      <c r="N41" s="4" t="s">
        <v>819</v>
      </c>
      <c r="O41" s="26" t="s">
        <v>821</v>
      </c>
      <c r="P41" s="5" t="s">
        <v>60</v>
      </c>
      <c r="Q41" s="1" t="s">
        <v>822</v>
      </c>
      <c r="R41" s="1"/>
      <c r="S41" s="1" t="s">
        <v>823</v>
      </c>
      <c r="T41" s="1"/>
      <c r="U41" s="1"/>
      <c r="V41" s="1" t="s">
        <v>93</v>
      </c>
      <c r="W41" s="1"/>
      <c r="X41" s="1" t="s">
        <v>55</v>
      </c>
      <c r="Y41" s="1" t="s">
        <v>56</v>
      </c>
      <c r="Z41" s="3">
        <v>45188</v>
      </c>
      <c r="AA41" s="3">
        <v>45182</v>
      </c>
      <c r="AB41" s="6"/>
      <c r="AC41" s="1"/>
      <c r="AD41" s="4"/>
      <c r="AE41" s="2">
        <v>83886</v>
      </c>
      <c r="AF41" s="3" t="s">
        <v>818</v>
      </c>
      <c r="AG41" s="7">
        <v>834</v>
      </c>
      <c r="AH41" s="7">
        <v>823</v>
      </c>
      <c r="AI41" s="7">
        <v>818</v>
      </c>
      <c r="AJ41" s="7">
        <v>2475</v>
      </c>
      <c r="AK41" s="7">
        <v>2</v>
      </c>
      <c r="AL41" s="25" t="s">
        <v>57</v>
      </c>
      <c r="AM41" s="25" t="s">
        <v>58</v>
      </c>
      <c r="AN41" s="25" t="s">
        <v>59</v>
      </c>
      <c r="AO41" s="25" t="s">
        <v>95</v>
      </c>
      <c r="AP41" s="19" t="s">
        <v>1789</v>
      </c>
      <c r="AQ41" s="19" t="s">
        <v>1869</v>
      </c>
      <c r="AR41" s="19" t="s">
        <v>60</v>
      </c>
      <c r="AS41" s="19"/>
      <c r="AT41" s="19" t="s">
        <v>2291</v>
      </c>
      <c r="AU41" s="19" t="s">
        <v>2091</v>
      </c>
      <c r="AV41" s="19">
        <v>9354241930</v>
      </c>
      <c r="AW41" s="20">
        <v>46120</v>
      </c>
      <c r="AX41" s="19" t="s">
        <v>1990</v>
      </c>
      <c r="AY41" s="27" t="s">
        <v>105</v>
      </c>
      <c r="AZ41" s="27" t="s">
        <v>104</v>
      </c>
      <c r="BA41" s="19" t="s">
        <v>2455</v>
      </c>
      <c r="BB41" s="19" t="s">
        <v>2456</v>
      </c>
      <c r="BC41" s="19" t="s">
        <v>2807</v>
      </c>
      <c r="BD41" s="75" t="s">
        <v>1639</v>
      </c>
      <c r="BE41" s="100" t="s">
        <v>3790</v>
      </c>
      <c r="BF41" s="100" t="s">
        <v>4015</v>
      </c>
      <c r="BG41" s="100" t="s">
        <v>4016</v>
      </c>
    </row>
    <row r="42" spans="1:59" s="10" customFormat="1" ht="13.5" x14ac:dyDescent="0.25">
      <c r="A42" s="59">
        <v>149</v>
      </c>
      <c r="B42" s="15" t="s">
        <v>862</v>
      </c>
      <c r="C42" s="12">
        <v>24898</v>
      </c>
      <c r="D42" s="11" t="s">
        <v>103</v>
      </c>
      <c r="E42" s="11" t="s">
        <v>104</v>
      </c>
      <c r="F42" s="11" t="s">
        <v>105</v>
      </c>
      <c r="G42" s="13" t="s">
        <v>352</v>
      </c>
      <c r="H42" s="11" t="s">
        <v>1713</v>
      </c>
      <c r="I42" s="3" t="s">
        <v>1645</v>
      </c>
      <c r="J42" s="3" t="s">
        <v>1645</v>
      </c>
      <c r="K42" s="11" t="s">
        <v>1796</v>
      </c>
      <c r="L42" s="4" t="s">
        <v>864</v>
      </c>
      <c r="M42" s="4" t="s">
        <v>864</v>
      </c>
      <c r="N42" s="4" t="s">
        <v>864</v>
      </c>
      <c r="O42" s="26" t="s">
        <v>865</v>
      </c>
      <c r="P42" s="5" t="s">
        <v>60</v>
      </c>
      <c r="Q42" s="1" t="s">
        <v>866</v>
      </c>
      <c r="R42" s="1"/>
      <c r="S42" s="1" t="s">
        <v>60</v>
      </c>
      <c r="T42" s="1"/>
      <c r="U42" s="1"/>
      <c r="V42" s="1"/>
      <c r="W42" s="1"/>
      <c r="X42" s="1" t="s">
        <v>55</v>
      </c>
      <c r="Y42" s="1" t="s">
        <v>56</v>
      </c>
      <c r="Z42" s="3">
        <v>45372</v>
      </c>
      <c r="AA42" s="3">
        <v>45370</v>
      </c>
      <c r="AB42" s="6"/>
      <c r="AC42" s="1"/>
      <c r="AD42" s="4" t="s">
        <v>867</v>
      </c>
      <c r="AE42" s="2">
        <v>24898</v>
      </c>
      <c r="AF42" s="3" t="s">
        <v>863</v>
      </c>
      <c r="AG42" s="7">
        <v>157</v>
      </c>
      <c r="AH42" s="7">
        <v>183</v>
      </c>
      <c r="AI42" s="7">
        <v>130</v>
      </c>
      <c r="AJ42" s="7">
        <v>470</v>
      </c>
      <c r="AK42" s="7"/>
      <c r="AL42" s="25" t="s">
        <v>78</v>
      </c>
      <c r="AM42" s="25" t="s">
        <v>58</v>
      </c>
      <c r="AN42" s="25" t="s">
        <v>59</v>
      </c>
      <c r="AO42" s="25" t="s">
        <v>95</v>
      </c>
      <c r="AP42" s="19" t="s">
        <v>1796</v>
      </c>
      <c r="AQ42" s="19" t="s">
        <v>1869</v>
      </c>
      <c r="AR42" s="19" t="s">
        <v>60</v>
      </c>
      <c r="AS42" s="19"/>
      <c r="AT42" s="19" t="s">
        <v>2053</v>
      </c>
      <c r="AU42" s="19" t="s">
        <v>2091</v>
      </c>
      <c r="AV42" s="19">
        <v>9354241930</v>
      </c>
      <c r="AW42" s="20">
        <v>46120</v>
      </c>
      <c r="AX42" s="19" t="s">
        <v>1990</v>
      </c>
      <c r="AY42" s="27" t="s">
        <v>105</v>
      </c>
      <c r="AZ42" s="27" t="s">
        <v>104</v>
      </c>
      <c r="BA42" s="19" t="s">
        <v>2513</v>
      </c>
      <c r="BB42" s="19" t="s">
        <v>2514</v>
      </c>
      <c r="BC42" s="19" t="s">
        <v>95</v>
      </c>
      <c r="BD42" s="75" t="s">
        <v>1713</v>
      </c>
      <c r="BE42" s="100" t="s">
        <v>3828</v>
      </c>
      <c r="BF42" s="100" t="s">
        <v>4042</v>
      </c>
      <c r="BG42" s="100"/>
    </row>
    <row r="43" spans="1:59" s="10" customFormat="1" ht="13.5" x14ac:dyDescent="0.25">
      <c r="A43" s="59">
        <v>36</v>
      </c>
      <c r="B43" s="15" t="s">
        <v>60</v>
      </c>
      <c r="C43" s="12">
        <v>346995</v>
      </c>
      <c r="D43" s="11" t="s">
        <v>40</v>
      </c>
      <c r="E43" s="11" t="s">
        <v>129</v>
      </c>
      <c r="F43" s="11" t="s">
        <v>129</v>
      </c>
      <c r="G43" s="13" t="s">
        <v>43</v>
      </c>
      <c r="H43" s="11" t="s">
        <v>1960</v>
      </c>
      <c r="I43" s="3" t="s">
        <v>1907</v>
      </c>
      <c r="J43" s="3" t="s">
        <v>1907</v>
      </c>
      <c r="K43" s="11" t="s">
        <v>1961</v>
      </c>
      <c r="L43" s="4" t="s">
        <v>60</v>
      </c>
      <c r="M43" s="4" t="s">
        <v>60</v>
      </c>
      <c r="N43" s="4" t="s">
        <v>60</v>
      </c>
      <c r="O43" s="4" t="s">
        <v>60</v>
      </c>
      <c r="P43" s="4" t="s">
        <v>60</v>
      </c>
      <c r="Q43" s="4" t="s">
        <v>60</v>
      </c>
      <c r="R43" s="4" t="s">
        <v>60</v>
      </c>
      <c r="S43" s="4" t="s">
        <v>60</v>
      </c>
      <c r="T43" s="4" t="s">
        <v>60</v>
      </c>
      <c r="U43" s="4" t="s">
        <v>60</v>
      </c>
      <c r="V43" s="4" t="s">
        <v>60</v>
      </c>
      <c r="W43" s="4" t="s">
        <v>60</v>
      </c>
      <c r="X43" s="4" t="s">
        <v>60</v>
      </c>
      <c r="Y43" s="4" t="s">
        <v>60</v>
      </c>
      <c r="Z43" s="4" t="s">
        <v>60</v>
      </c>
      <c r="AA43" s="4" t="s">
        <v>60</v>
      </c>
      <c r="AB43" s="4" t="s">
        <v>60</v>
      </c>
      <c r="AC43" s="4" t="s">
        <v>60</v>
      </c>
      <c r="AD43" s="4" t="s">
        <v>60</v>
      </c>
      <c r="AE43" s="2">
        <v>346995</v>
      </c>
      <c r="AF43" s="2" t="s">
        <v>1870</v>
      </c>
      <c r="AG43" s="7" t="s">
        <v>60</v>
      </c>
      <c r="AH43" s="7" t="s">
        <v>60</v>
      </c>
      <c r="AI43" s="7" t="s">
        <v>60</v>
      </c>
      <c r="AJ43" s="7" t="s">
        <v>60</v>
      </c>
      <c r="AK43" s="7"/>
      <c r="AL43" s="25" t="s">
        <v>70</v>
      </c>
      <c r="AM43" s="25" t="s">
        <v>58</v>
      </c>
      <c r="AN43" s="25" t="s">
        <v>59</v>
      </c>
      <c r="AO43" s="25" t="e">
        <v>#N/A</v>
      </c>
      <c r="AP43" s="19" t="s">
        <v>1961</v>
      </c>
      <c r="AQ43" s="19" t="s">
        <v>1869</v>
      </c>
      <c r="AR43" s="19" t="s">
        <v>60</v>
      </c>
      <c r="AS43" s="19"/>
      <c r="AT43" s="19" t="s">
        <v>1907</v>
      </c>
      <c r="AU43" s="19" t="s">
        <v>2090</v>
      </c>
      <c r="AV43" s="19">
        <v>9354183359</v>
      </c>
      <c r="AW43" s="20">
        <v>46130</v>
      </c>
      <c r="AX43" s="19" t="s">
        <v>1990</v>
      </c>
      <c r="AY43" s="27" t="s">
        <v>129</v>
      </c>
      <c r="AZ43" s="27" t="s">
        <v>129</v>
      </c>
      <c r="BA43" s="19" t="s">
        <v>60</v>
      </c>
      <c r="BB43" s="19" t="s">
        <v>2524</v>
      </c>
      <c r="BC43" s="19" t="s">
        <v>143</v>
      </c>
      <c r="BD43" s="75" t="s">
        <v>1960</v>
      </c>
      <c r="BE43" s="100" t="s">
        <v>3731</v>
      </c>
      <c r="BF43" s="100" t="s">
        <v>4035</v>
      </c>
      <c r="BG43" s="100" t="s">
        <v>4036</v>
      </c>
    </row>
    <row r="44" spans="1:59" s="10" customFormat="1" ht="13.5" x14ac:dyDescent="0.25">
      <c r="A44" s="59">
        <v>137</v>
      </c>
      <c r="B44" s="15" t="s">
        <v>592</v>
      </c>
      <c r="C44" s="12">
        <v>12568</v>
      </c>
      <c r="D44" s="11" t="s">
        <v>40</v>
      </c>
      <c r="E44" s="11" t="s">
        <v>61</v>
      </c>
      <c r="F44" s="11" t="s">
        <v>593</v>
      </c>
      <c r="G44" s="13" t="s">
        <v>352</v>
      </c>
      <c r="H44" s="11" t="s">
        <v>594</v>
      </c>
      <c r="I44" s="3" t="s">
        <v>595</v>
      </c>
      <c r="J44" s="3" t="s">
        <v>595</v>
      </c>
      <c r="K44" s="11" t="s">
        <v>1777</v>
      </c>
      <c r="L44" s="4" t="s">
        <v>596</v>
      </c>
      <c r="M44" s="4" t="s">
        <v>597</v>
      </c>
      <c r="N44" s="4" t="s">
        <v>598</v>
      </c>
      <c r="O44" s="26" t="s">
        <v>599</v>
      </c>
      <c r="P44" s="5" t="s">
        <v>600</v>
      </c>
      <c r="Q44" s="1" t="s">
        <v>601</v>
      </c>
      <c r="R44" s="1" t="s">
        <v>602</v>
      </c>
      <c r="S44" s="1" t="s">
        <v>602</v>
      </c>
      <c r="T44" s="1" t="s">
        <v>603</v>
      </c>
      <c r="U44" s="1" t="s">
        <v>604</v>
      </c>
      <c r="V44" s="1"/>
      <c r="W44" s="1"/>
      <c r="X44" s="1" t="s">
        <v>69</v>
      </c>
      <c r="Y44" s="1" t="s">
        <v>56</v>
      </c>
      <c r="Z44" s="3">
        <v>44429</v>
      </c>
      <c r="AA44" s="3">
        <v>44413</v>
      </c>
      <c r="AB44" s="6"/>
      <c r="AC44" s="1"/>
      <c r="AD44" s="4"/>
      <c r="AE44" s="2">
        <v>12568</v>
      </c>
      <c r="AF44" s="3" t="s">
        <v>594</v>
      </c>
      <c r="AG44" s="7">
        <v>59</v>
      </c>
      <c r="AH44" s="7">
        <v>60</v>
      </c>
      <c r="AI44" s="7">
        <v>0</v>
      </c>
      <c r="AJ44" s="7">
        <v>119</v>
      </c>
      <c r="AK44" s="7"/>
      <c r="AL44" s="25" t="s">
        <v>78</v>
      </c>
      <c r="AM44" s="25" t="s">
        <v>58</v>
      </c>
      <c r="AN44" s="25" t="s">
        <v>59</v>
      </c>
      <c r="AO44" s="25" t="s">
        <v>60</v>
      </c>
      <c r="AP44" s="19" t="s">
        <v>1777</v>
      </c>
      <c r="AQ44" s="19" t="s">
        <v>1869</v>
      </c>
      <c r="AR44" s="19" t="s">
        <v>60</v>
      </c>
      <c r="AS44" s="19"/>
      <c r="AT44" s="19" t="s">
        <v>2033</v>
      </c>
      <c r="AU44" s="19" t="s">
        <v>2092</v>
      </c>
      <c r="AV44" s="19">
        <v>7753851136</v>
      </c>
      <c r="AW44" s="20">
        <v>46127</v>
      </c>
      <c r="AX44" s="19" t="s">
        <v>1990</v>
      </c>
      <c r="AY44" s="27" t="s">
        <v>593</v>
      </c>
      <c r="AZ44" s="27" t="s">
        <v>61</v>
      </c>
      <c r="BA44" s="19" t="s">
        <v>2500</v>
      </c>
      <c r="BB44" s="19" t="s">
        <v>2501</v>
      </c>
      <c r="BC44" s="19" t="s">
        <v>579</v>
      </c>
      <c r="BD44" s="75" t="s">
        <v>594</v>
      </c>
      <c r="BE44" s="100" t="s">
        <v>3819</v>
      </c>
      <c r="BF44" s="100" t="s">
        <v>4045</v>
      </c>
      <c r="BG44" s="100"/>
    </row>
    <row r="45" spans="1:59" s="10" customFormat="1" ht="13.5" x14ac:dyDescent="0.25">
      <c r="A45" s="59">
        <v>44</v>
      </c>
      <c r="B45" s="15" t="s">
        <v>323</v>
      </c>
      <c r="C45" s="12">
        <v>26018</v>
      </c>
      <c r="D45" s="11" t="s">
        <v>103</v>
      </c>
      <c r="E45" s="11" t="s">
        <v>237</v>
      </c>
      <c r="F45" s="11" t="s">
        <v>226</v>
      </c>
      <c r="G45" s="13" t="s">
        <v>43</v>
      </c>
      <c r="H45" s="11" t="s">
        <v>324</v>
      </c>
      <c r="I45" s="3" t="s">
        <v>325</v>
      </c>
      <c r="J45" s="3" t="s">
        <v>325</v>
      </c>
      <c r="K45" s="11" t="s">
        <v>1967</v>
      </c>
      <c r="L45" s="4" t="s">
        <v>326</v>
      </c>
      <c r="M45" s="4" t="s">
        <v>327</v>
      </c>
      <c r="N45" s="4" t="s">
        <v>328</v>
      </c>
      <c r="O45" s="26" t="s">
        <v>329</v>
      </c>
      <c r="P45" s="5" t="s">
        <v>330</v>
      </c>
      <c r="Q45" s="1" t="s">
        <v>331</v>
      </c>
      <c r="R45" s="1"/>
      <c r="S45" s="1" t="s">
        <v>332</v>
      </c>
      <c r="T45" s="1"/>
      <c r="U45" s="1"/>
      <c r="V45" s="1" t="s">
        <v>93</v>
      </c>
      <c r="W45" s="1"/>
      <c r="X45" s="1" t="s">
        <v>55</v>
      </c>
      <c r="Y45" s="1" t="s">
        <v>56</v>
      </c>
      <c r="Z45" s="3">
        <v>43297</v>
      </c>
      <c r="AA45" s="3">
        <v>43297</v>
      </c>
      <c r="AB45" s="6"/>
      <c r="AC45" s="1"/>
      <c r="AD45" s="4" t="s">
        <v>333</v>
      </c>
      <c r="AE45" s="2">
        <v>26018</v>
      </c>
      <c r="AF45" s="3" t="s">
        <v>324</v>
      </c>
      <c r="AG45" s="7">
        <v>1762</v>
      </c>
      <c r="AH45" s="7">
        <v>1483</v>
      </c>
      <c r="AI45" s="7">
        <v>1338</v>
      </c>
      <c r="AJ45" s="7">
        <v>4583</v>
      </c>
      <c r="AK45" s="7">
        <v>5</v>
      </c>
      <c r="AL45" s="25" t="s">
        <v>57</v>
      </c>
      <c r="AM45" s="25" t="s">
        <v>58</v>
      </c>
      <c r="AN45" s="25" t="s">
        <v>59</v>
      </c>
      <c r="AO45" s="25" t="s">
        <v>322</v>
      </c>
      <c r="AP45" s="19" t="s">
        <v>60</v>
      </c>
      <c r="AQ45" s="19" t="s">
        <v>1884</v>
      </c>
      <c r="AR45" s="19" t="s">
        <v>1910</v>
      </c>
      <c r="AS45" s="19" t="s">
        <v>60</v>
      </c>
      <c r="AT45" s="19" t="s">
        <v>60</v>
      </c>
      <c r="AU45" s="19" t="s">
        <v>60</v>
      </c>
      <c r="AV45" s="19" t="s">
        <v>60</v>
      </c>
      <c r="AW45" s="19" t="s">
        <v>60</v>
      </c>
      <c r="AX45" s="19" t="s">
        <v>60</v>
      </c>
      <c r="AY45" s="19" t="s">
        <v>226</v>
      </c>
      <c r="AZ45" s="19" t="s">
        <v>237</v>
      </c>
      <c r="BA45" s="19" t="s">
        <v>2733</v>
      </c>
      <c r="BB45" s="19" t="s">
        <v>2734</v>
      </c>
      <c r="BC45" s="19" t="s">
        <v>2680</v>
      </c>
      <c r="BD45" s="75" t="s">
        <v>324</v>
      </c>
      <c r="BE45" s="100" t="s">
        <v>60</v>
      </c>
      <c r="BF45" s="100" t="s">
        <v>60</v>
      </c>
      <c r="BG45" s="100" t="s">
        <v>60</v>
      </c>
    </row>
    <row r="46" spans="1:59" s="10" customFormat="1" ht="13.5" x14ac:dyDescent="0.25">
      <c r="A46" s="59">
        <v>112</v>
      </c>
      <c r="B46" s="15" t="s">
        <v>1275</v>
      </c>
      <c r="C46" s="12">
        <v>26219</v>
      </c>
      <c r="D46" s="11" t="s">
        <v>103</v>
      </c>
      <c r="E46" s="11" t="s">
        <v>968</v>
      </c>
      <c r="F46" s="11" t="s">
        <v>414</v>
      </c>
      <c r="G46" s="13" t="s">
        <v>352</v>
      </c>
      <c r="H46" s="11" t="s">
        <v>1950</v>
      </c>
      <c r="I46" s="3" t="s">
        <v>1277</v>
      </c>
      <c r="J46" s="3" t="s">
        <v>1277</v>
      </c>
      <c r="K46" s="11" t="s">
        <v>1882</v>
      </c>
      <c r="L46" s="4" t="s">
        <v>775</v>
      </c>
      <c r="M46" s="4" t="s">
        <v>1278</v>
      </c>
      <c r="N46" s="4" t="s">
        <v>1279</v>
      </c>
      <c r="O46" s="26" t="s">
        <v>1280</v>
      </c>
      <c r="P46" s="5" t="s">
        <v>1281</v>
      </c>
      <c r="Q46" s="1" t="s">
        <v>1282</v>
      </c>
      <c r="R46" s="1"/>
      <c r="S46" s="1" t="s">
        <v>1283</v>
      </c>
      <c r="T46" s="1"/>
      <c r="U46" s="1"/>
      <c r="V46" s="1"/>
      <c r="W46" s="1"/>
      <c r="X46" s="1" t="s">
        <v>55</v>
      </c>
      <c r="Y46" s="1" t="s">
        <v>56</v>
      </c>
      <c r="Z46" s="3">
        <v>43432</v>
      </c>
      <c r="AA46" s="3">
        <v>43430</v>
      </c>
      <c r="AB46" s="6"/>
      <c r="AC46" s="1"/>
      <c r="AD46" s="4"/>
      <c r="AE46" s="2">
        <v>26219</v>
      </c>
      <c r="AF46" s="3" t="s">
        <v>1276</v>
      </c>
      <c r="AG46" s="7">
        <v>1784</v>
      </c>
      <c r="AH46" s="7">
        <v>1635</v>
      </c>
      <c r="AI46" s="7">
        <v>1588</v>
      </c>
      <c r="AJ46" s="7">
        <v>5007</v>
      </c>
      <c r="AK46" s="7"/>
      <c r="AL46" s="25" t="s">
        <v>78</v>
      </c>
      <c r="AM46" s="25" t="s">
        <v>58</v>
      </c>
      <c r="AN46" s="25" t="s">
        <v>59</v>
      </c>
      <c r="AO46" s="25" t="s">
        <v>60</v>
      </c>
      <c r="AP46" s="19" t="s">
        <v>1882</v>
      </c>
      <c r="AQ46" s="19" t="s">
        <v>1869</v>
      </c>
      <c r="AR46" s="19" t="s">
        <v>60</v>
      </c>
      <c r="AS46" s="19"/>
      <c r="AT46" s="19" t="s">
        <v>2089</v>
      </c>
      <c r="AU46" s="19" t="s">
        <v>2091</v>
      </c>
      <c r="AV46" s="19">
        <v>9354241930</v>
      </c>
      <c r="AW46" s="20">
        <v>46133</v>
      </c>
      <c r="AX46" s="19" t="s">
        <v>1990</v>
      </c>
      <c r="AY46" s="27" t="s">
        <v>414</v>
      </c>
      <c r="AZ46" s="27" t="s">
        <v>968</v>
      </c>
      <c r="BA46" s="19" t="s">
        <v>2691</v>
      </c>
      <c r="BB46" s="19" t="s">
        <v>2692</v>
      </c>
      <c r="BC46" s="19" t="s">
        <v>2779</v>
      </c>
      <c r="BD46" s="75" t="s">
        <v>1950</v>
      </c>
      <c r="BE46" s="100" t="s">
        <v>3799</v>
      </c>
      <c r="BF46" s="100" t="s">
        <v>4046</v>
      </c>
      <c r="BG46" s="100"/>
    </row>
    <row r="47" spans="1:59" s="10" customFormat="1" ht="13.5" x14ac:dyDescent="0.25">
      <c r="A47" s="59">
        <v>46</v>
      </c>
      <c r="B47" s="15" t="s">
        <v>60</v>
      </c>
      <c r="C47" s="12">
        <v>351001</v>
      </c>
      <c r="D47" s="11" t="s">
        <v>40</v>
      </c>
      <c r="E47" s="11" t="s">
        <v>41</v>
      </c>
      <c r="F47" s="11" t="s">
        <v>992</v>
      </c>
      <c r="G47" s="13" t="s">
        <v>43</v>
      </c>
      <c r="H47" s="11" t="s">
        <v>1740</v>
      </c>
      <c r="I47" s="3" t="s">
        <v>1678</v>
      </c>
      <c r="J47" s="3" t="s">
        <v>1678</v>
      </c>
      <c r="K47" s="11" t="s">
        <v>1828</v>
      </c>
      <c r="L47" s="4">
        <v>9876123500</v>
      </c>
      <c r="M47" s="4">
        <v>9876123500</v>
      </c>
      <c r="N47" s="4">
        <v>9876123500</v>
      </c>
      <c r="O47" s="26" t="s">
        <v>1131</v>
      </c>
      <c r="P47" s="5" t="s">
        <v>60</v>
      </c>
      <c r="Q47" s="1" t="s">
        <v>1132</v>
      </c>
      <c r="R47" s="1"/>
      <c r="S47" s="1" t="s">
        <v>1133</v>
      </c>
      <c r="T47" s="1"/>
      <c r="U47" s="1"/>
      <c r="V47" s="1" t="s">
        <v>1134</v>
      </c>
      <c r="W47" s="1"/>
      <c r="X47" s="1" t="s">
        <v>69</v>
      </c>
      <c r="Y47" s="1" t="s">
        <v>56</v>
      </c>
      <c r="Z47" s="3">
        <v>45839</v>
      </c>
      <c r="AA47" s="3">
        <v>45839</v>
      </c>
      <c r="AB47" s="6"/>
      <c r="AC47" s="1"/>
      <c r="AD47" s="4"/>
      <c r="AE47" s="2">
        <v>351001</v>
      </c>
      <c r="AF47" s="3" t="s">
        <v>1130</v>
      </c>
      <c r="AG47" s="7" t="s">
        <v>60</v>
      </c>
      <c r="AH47" s="7" t="s">
        <v>60</v>
      </c>
      <c r="AI47" s="7" t="s">
        <v>60</v>
      </c>
      <c r="AJ47" s="7" t="s">
        <v>60</v>
      </c>
      <c r="AK47" s="7"/>
      <c r="AL47" s="25" t="s">
        <v>70</v>
      </c>
      <c r="AM47" s="25" t="s">
        <v>58</v>
      </c>
      <c r="AN47" s="25" t="s">
        <v>59</v>
      </c>
      <c r="AO47" s="25" t="e">
        <v>#N/A</v>
      </c>
      <c r="AP47" s="19" t="s">
        <v>60</v>
      </c>
      <c r="AQ47" s="19" t="s">
        <v>1884</v>
      </c>
      <c r="AR47" s="19" t="s">
        <v>1868</v>
      </c>
      <c r="AS47" s="19" t="s">
        <v>60</v>
      </c>
      <c r="AT47" s="19" t="s">
        <v>60</v>
      </c>
      <c r="AU47" s="19" t="s">
        <v>60</v>
      </c>
      <c r="AV47" s="19" t="s">
        <v>60</v>
      </c>
      <c r="AW47" s="19" t="s">
        <v>60</v>
      </c>
      <c r="AX47" s="19" t="s">
        <v>60</v>
      </c>
      <c r="AY47" s="19" t="s">
        <v>992</v>
      </c>
      <c r="AZ47" s="19" t="s">
        <v>41</v>
      </c>
      <c r="BA47" s="19" t="s">
        <v>60</v>
      </c>
      <c r="BB47" s="19" t="s">
        <v>60</v>
      </c>
      <c r="BC47" s="19" t="s">
        <v>60</v>
      </c>
      <c r="BD47" s="75" t="s">
        <v>1740</v>
      </c>
      <c r="BE47" s="100" t="s">
        <v>60</v>
      </c>
      <c r="BF47" s="100" t="s">
        <v>60</v>
      </c>
      <c r="BG47" s="100" t="s">
        <v>60</v>
      </c>
    </row>
    <row r="48" spans="1:59" s="10" customFormat="1" ht="13.5" x14ac:dyDescent="0.25">
      <c r="A48" s="59">
        <v>11</v>
      </c>
      <c r="B48" s="15" t="s">
        <v>428</v>
      </c>
      <c r="C48" s="12">
        <v>26323</v>
      </c>
      <c r="D48" s="11" t="s">
        <v>40</v>
      </c>
      <c r="E48" s="11" t="s">
        <v>129</v>
      </c>
      <c r="F48" s="11" t="s">
        <v>129</v>
      </c>
      <c r="G48" s="13" t="s">
        <v>43</v>
      </c>
      <c r="H48" s="11" t="s">
        <v>429</v>
      </c>
      <c r="I48" s="3" t="s">
        <v>430</v>
      </c>
      <c r="J48" s="3" t="s">
        <v>431</v>
      </c>
      <c r="K48" s="11" t="s">
        <v>1764</v>
      </c>
      <c r="L48" s="4" t="s">
        <v>432</v>
      </c>
      <c r="M48" s="4" t="s">
        <v>433</v>
      </c>
      <c r="N48" s="4" t="s">
        <v>434</v>
      </c>
      <c r="O48" s="26" t="s">
        <v>435</v>
      </c>
      <c r="P48" s="5" t="s">
        <v>60</v>
      </c>
      <c r="Q48" s="1" t="s">
        <v>436</v>
      </c>
      <c r="R48" s="1"/>
      <c r="S48" s="1" t="s">
        <v>437</v>
      </c>
      <c r="T48" s="1"/>
      <c r="U48" s="1"/>
      <c r="V48" s="1" t="s">
        <v>93</v>
      </c>
      <c r="W48" s="1"/>
      <c r="X48" s="1" t="s">
        <v>55</v>
      </c>
      <c r="Y48" s="1" t="s">
        <v>56</v>
      </c>
      <c r="Z48" s="3">
        <v>43829</v>
      </c>
      <c r="AA48" s="3">
        <v>43829</v>
      </c>
      <c r="AB48" s="6"/>
      <c r="AC48" s="1"/>
      <c r="AD48" s="4"/>
      <c r="AE48" s="2">
        <v>26323</v>
      </c>
      <c r="AF48" s="3" t="s">
        <v>429</v>
      </c>
      <c r="AG48" s="7">
        <v>573</v>
      </c>
      <c r="AH48" s="7">
        <v>542</v>
      </c>
      <c r="AI48" s="7">
        <v>489</v>
      </c>
      <c r="AJ48" s="7">
        <v>1604</v>
      </c>
      <c r="AK48" s="7">
        <v>43</v>
      </c>
      <c r="AL48" s="25" t="s">
        <v>57</v>
      </c>
      <c r="AM48" s="25" t="s">
        <v>58</v>
      </c>
      <c r="AN48" s="25" t="s">
        <v>59</v>
      </c>
      <c r="AO48" s="25" t="s">
        <v>60</v>
      </c>
      <c r="AP48" s="19" t="s">
        <v>1764</v>
      </c>
      <c r="AQ48" s="19" t="s">
        <v>1869</v>
      </c>
      <c r="AR48" s="19" t="s">
        <v>60</v>
      </c>
      <c r="AS48" s="19"/>
      <c r="AT48" s="19" t="s">
        <v>430</v>
      </c>
      <c r="AU48" s="19" t="s">
        <v>2095</v>
      </c>
      <c r="AV48" s="19">
        <v>9582917652</v>
      </c>
      <c r="AW48" s="20">
        <v>46134</v>
      </c>
      <c r="AX48" s="19" t="s">
        <v>1990</v>
      </c>
      <c r="AY48" s="27" t="s">
        <v>129</v>
      </c>
      <c r="AZ48" s="27" t="s">
        <v>129</v>
      </c>
      <c r="BA48" s="19" t="s">
        <v>2365</v>
      </c>
      <c r="BB48" s="19" t="s">
        <v>2366</v>
      </c>
      <c r="BC48" s="19" t="s">
        <v>2676</v>
      </c>
      <c r="BD48" s="75" t="s">
        <v>429</v>
      </c>
      <c r="BE48" s="100" t="s">
        <v>3710</v>
      </c>
      <c r="BF48" s="100" t="s">
        <v>4022</v>
      </c>
      <c r="BG48" s="100" t="s">
        <v>4023</v>
      </c>
    </row>
    <row r="49" spans="1:59" s="10" customFormat="1" ht="13.5" x14ac:dyDescent="0.25">
      <c r="A49" s="59">
        <v>81</v>
      </c>
      <c r="B49" s="15" t="s">
        <v>60</v>
      </c>
      <c r="C49" s="12">
        <v>282016</v>
      </c>
      <c r="D49" s="11" t="s">
        <v>40</v>
      </c>
      <c r="E49" s="11" t="s">
        <v>61</v>
      </c>
      <c r="F49" s="11" t="s">
        <v>889</v>
      </c>
      <c r="G49" s="13" t="s">
        <v>43</v>
      </c>
      <c r="H49" s="11" t="s">
        <v>1952</v>
      </c>
      <c r="I49" s="3" t="s">
        <v>1649</v>
      </c>
      <c r="J49" s="3" t="s">
        <v>1649</v>
      </c>
      <c r="K49" s="11" t="s">
        <v>1800</v>
      </c>
      <c r="L49" s="4">
        <v>9889577777</v>
      </c>
      <c r="M49" s="4">
        <v>9889577777</v>
      </c>
      <c r="N49" s="4">
        <v>9889577777</v>
      </c>
      <c r="O49" s="26" t="s">
        <v>891</v>
      </c>
      <c r="P49" s="5" t="s">
        <v>60</v>
      </c>
      <c r="Q49" s="1" t="s">
        <v>892</v>
      </c>
      <c r="R49" s="1"/>
      <c r="S49" s="1" t="s">
        <v>893</v>
      </c>
      <c r="T49" s="1"/>
      <c r="U49" s="1"/>
      <c r="V49" s="1" t="s">
        <v>93</v>
      </c>
      <c r="W49" s="1"/>
      <c r="X49" s="1" t="s">
        <v>55</v>
      </c>
      <c r="Y49" s="1" t="s">
        <v>56</v>
      </c>
      <c r="Z49" s="3">
        <v>45555</v>
      </c>
      <c r="AA49" s="3">
        <v>45554</v>
      </c>
      <c r="AB49" s="6"/>
      <c r="AC49" s="1"/>
      <c r="AD49" s="4"/>
      <c r="AE49" s="2">
        <v>282016</v>
      </c>
      <c r="AF49" s="3" t="s">
        <v>890</v>
      </c>
      <c r="AG49" s="7">
        <v>104</v>
      </c>
      <c r="AH49" s="7">
        <v>262</v>
      </c>
      <c r="AI49" s="7">
        <v>201</v>
      </c>
      <c r="AJ49" s="7">
        <v>567</v>
      </c>
      <c r="AK49" s="7"/>
      <c r="AL49" s="25" t="s">
        <v>78</v>
      </c>
      <c r="AM49" s="25" t="s">
        <v>58</v>
      </c>
      <c r="AN49" s="25" t="s">
        <v>59</v>
      </c>
      <c r="AO49" s="25" t="s">
        <v>300</v>
      </c>
      <c r="AP49" s="19" t="s">
        <v>1800</v>
      </c>
      <c r="AQ49" s="19" t="s">
        <v>1869</v>
      </c>
      <c r="AR49" s="19" t="s">
        <v>60</v>
      </c>
      <c r="AS49" s="19"/>
      <c r="AT49" s="19" t="s">
        <v>2296</v>
      </c>
      <c r="AU49" s="19" t="s">
        <v>2092</v>
      </c>
      <c r="AV49" s="19">
        <v>7753851136</v>
      </c>
      <c r="AW49" s="20">
        <v>46122</v>
      </c>
      <c r="AX49" s="19" t="s">
        <v>1990</v>
      </c>
      <c r="AY49" s="27" t="s">
        <v>889</v>
      </c>
      <c r="AZ49" s="27" t="s">
        <v>61</v>
      </c>
      <c r="BA49" s="19" t="s">
        <v>2367</v>
      </c>
      <c r="BB49" s="19" t="s">
        <v>2368</v>
      </c>
      <c r="BC49" s="19" t="s">
        <v>2799</v>
      </c>
      <c r="BD49" s="75" t="s">
        <v>1952</v>
      </c>
      <c r="BE49" s="100" t="s">
        <v>3769</v>
      </c>
      <c r="BF49" s="100" t="s">
        <v>4049</v>
      </c>
      <c r="BG49" s="100"/>
    </row>
    <row r="50" spans="1:59" s="10" customFormat="1" ht="13.5" x14ac:dyDescent="0.25">
      <c r="A50" s="59">
        <v>14</v>
      </c>
      <c r="B50" s="15" t="s">
        <v>60</v>
      </c>
      <c r="C50" s="12">
        <v>282016</v>
      </c>
      <c r="D50" s="11" t="s">
        <v>40</v>
      </c>
      <c r="E50" s="11" t="s">
        <v>129</v>
      </c>
      <c r="F50" s="11" t="s">
        <v>129</v>
      </c>
      <c r="G50" s="13" t="s">
        <v>43</v>
      </c>
      <c r="H50" s="11" t="s">
        <v>1953</v>
      </c>
      <c r="I50" s="3" t="s">
        <v>1649</v>
      </c>
      <c r="J50" s="3" t="s">
        <v>1649</v>
      </c>
      <c r="K50" s="11" t="s">
        <v>1880</v>
      </c>
      <c r="L50" s="28">
        <v>9889577777</v>
      </c>
      <c r="M50" s="28">
        <v>9889577777</v>
      </c>
      <c r="N50" s="28">
        <v>9889577777</v>
      </c>
      <c r="O50" s="28" t="s">
        <v>891</v>
      </c>
      <c r="P50" s="5" t="s">
        <v>60</v>
      </c>
      <c r="Q50" s="28" t="s">
        <v>892</v>
      </c>
      <c r="R50" s="28">
        <v>0</v>
      </c>
      <c r="S50" s="28" t="e">
        <v>#N/A</v>
      </c>
      <c r="T50" s="28">
        <v>0</v>
      </c>
      <c r="U50" s="28">
        <v>0</v>
      </c>
      <c r="V50" s="28" t="s">
        <v>93</v>
      </c>
      <c r="W50" s="28">
        <v>0</v>
      </c>
      <c r="X50" s="28" t="s">
        <v>55</v>
      </c>
      <c r="Y50" s="28" t="s">
        <v>56</v>
      </c>
      <c r="Z50" s="28">
        <v>45555</v>
      </c>
      <c r="AA50" s="28">
        <v>45554</v>
      </c>
      <c r="AB50" s="28">
        <v>0</v>
      </c>
      <c r="AC50" s="28">
        <v>0</v>
      </c>
      <c r="AD50" s="28">
        <v>0</v>
      </c>
      <c r="AE50" s="28">
        <v>282016</v>
      </c>
      <c r="AF50" s="28" t="s">
        <v>890</v>
      </c>
      <c r="AG50" s="7">
        <v>104</v>
      </c>
      <c r="AH50" s="7">
        <v>262</v>
      </c>
      <c r="AI50" s="7">
        <v>201</v>
      </c>
      <c r="AJ50" s="7">
        <v>567</v>
      </c>
      <c r="AK50" s="7"/>
      <c r="AL50" s="25" t="s">
        <v>78</v>
      </c>
      <c r="AM50" s="25" t="s">
        <v>58</v>
      </c>
      <c r="AN50" s="25" t="s">
        <v>59</v>
      </c>
      <c r="AO50" s="25" t="s">
        <v>300</v>
      </c>
      <c r="AP50" s="19" t="s">
        <v>1880</v>
      </c>
      <c r="AQ50" s="19" t="s">
        <v>1869</v>
      </c>
      <c r="AR50" s="19" t="s">
        <v>60</v>
      </c>
      <c r="AS50" s="19"/>
      <c r="AT50" s="19" t="s">
        <v>2056</v>
      </c>
      <c r="AU50" s="19" t="s">
        <v>2097</v>
      </c>
      <c r="AV50" s="19">
        <v>9149204613</v>
      </c>
      <c r="AW50" s="20">
        <v>46135</v>
      </c>
      <c r="AX50" s="19" t="s">
        <v>1990</v>
      </c>
      <c r="AY50" s="27" t="s">
        <v>129</v>
      </c>
      <c r="AZ50" s="27" t="s">
        <v>129</v>
      </c>
      <c r="BA50" s="19" t="s">
        <v>2367</v>
      </c>
      <c r="BB50" s="19" t="s">
        <v>2368</v>
      </c>
      <c r="BC50" s="19" t="s">
        <v>2799</v>
      </c>
      <c r="BD50" s="75" t="s">
        <v>1953</v>
      </c>
      <c r="BE50" s="100" t="s">
        <v>3713</v>
      </c>
      <c r="BF50" s="100" t="s">
        <v>4050</v>
      </c>
      <c r="BG50" s="100"/>
    </row>
    <row r="51" spans="1:59" s="10" customFormat="1" ht="13.5" x14ac:dyDescent="0.25">
      <c r="A51" s="59">
        <v>167</v>
      </c>
      <c r="B51" s="15" t="s">
        <v>60</v>
      </c>
      <c r="C51" s="12">
        <v>220977</v>
      </c>
      <c r="D51" s="11" t="s">
        <v>40</v>
      </c>
      <c r="E51" s="11" t="s">
        <v>96</v>
      </c>
      <c r="F51" s="11" t="s">
        <v>1024</v>
      </c>
      <c r="G51" s="13" t="s">
        <v>63</v>
      </c>
      <c r="H51" s="11" t="s">
        <v>1733</v>
      </c>
      <c r="I51" s="3" t="s">
        <v>1668</v>
      </c>
      <c r="J51" s="3" t="s">
        <v>1668</v>
      </c>
      <c r="K51" s="11" t="s">
        <v>1817</v>
      </c>
      <c r="L51" s="4">
        <v>9811981900</v>
      </c>
      <c r="M51" s="4">
        <v>9811981900</v>
      </c>
      <c r="N51" s="4">
        <v>9811981900</v>
      </c>
      <c r="O51" s="26" t="s">
        <v>1026</v>
      </c>
      <c r="P51" s="5" t="s">
        <v>60</v>
      </c>
      <c r="Q51" s="1" t="s">
        <v>1027</v>
      </c>
      <c r="R51" s="1"/>
      <c r="S51" s="1" t="s">
        <v>1028</v>
      </c>
      <c r="T51" s="1"/>
      <c r="U51" s="1"/>
      <c r="V51" s="1" t="s">
        <v>93</v>
      </c>
      <c r="W51" s="1"/>
      <c r="X51" s="1" t="s">
        <v>835</v>
      </c>
      <c r="Y51" s="1" t="s">
        <v>56</v>
      </c>
      <c r="Z51" s="3">
        <v>45703</v>
      </c>
      <c r="AA51" s="3">
        <v>45702</v>
      </c>
      <c r="AB51" s="6"/>
      <c r="AC51" s="1"/>
      <c r="AD51" s="4"/>
      <c r="AE51" s="2">
        <v>220977</v>
      </c>
      <c r="AF51" s="3" t="s">
        <v>1025</v>
      </c>
      <c r="AG51" s="7">
        <v>15</v>
      </c>
      <c r="AH51" s="7">
        <v>13</v>
      </c>
      <c r="AI51" s="7">
        <v>0</v>
      </c>
      <c r="AJ51" s="7">
        <v>28</v>
      </c>
      <c r="AK51" s="7"/>
      <c r="AL51" s="25" t="s">
        <v>78</v>
      </c>
      <c r="AM51" s="25" t="s">
        <v>58</v>
      </c>
      <c r="AN51" s="25" t="s">
        <v>59</v>
      </c>
      <c r="AO51" s="25" t="s">
        <v>60</v>
      </c>
      <c r="AP51" s="19" t="s">
        <v>1817</v>
      </c>
      <c r="AQ51" s="19" t="s">
        <v>1869</v>
      </c>
      <c r="AR51" s="19" t="s">
        <v>60</v>
      </c>
      <c r="AS51" s="19"/>
      <c r="AT51" s="19" t="s">
        <v>2304</v>
      </c>
      <c r="AU51" s="19" t="s">
        <v>2094</v>
      </c>
      <c r="AV51" s="19">
        <v>8287823681</v>
      </c>
      <c r="AW51" s="20">
        <v>46136</v>
      </c>
      <c r="AX51" s="19" t="s">
        <v>1990</v>
      </c>
      <c r="AY51" s="27" t="s">
        <v>1024</v>
      </c>
      <c r="AZ51" s="27" t="s">
        <v>96</v>
      </c>
      <c r="BA51" s="19" t="s">
        <v>60</v>
      </c>
      <c r="BB51" s="19" t="s">
        <v>60</v>
      </c>
      <c r="BC51" s="19" t="s">
        <v>2575</v>
      </c>
      <c r="BD51" s="75" t="s">
        <v>1733</v>
      </c>
      <c r="BE51" s="100" t="s">
        <v>3845</v>
      </c>
      <c r="BF51" s="100" t="s">
        <v>4051</v>
      </c>
      <c r="BG51" s="100"/>
    </row>
    <row r="52" spans="1:59" s="10" customFormat="1" ht="13.5" x14ac:dyDescent="0.25">
      <c r="A52" s="59">
        <v>99</v>
      </c>
      <c r="B52" s="15" t="s">
        <v>653</v>
      </c>
      <c r="C52" s="12">
        <v>12552</v>
      </c>
      <c r="D52" s="11" t="s">
        <v>40</v>
      </c>
      <c r="E52" s="11" t="s">
        <v>61</v>
      </c>
      <c r="F52" s="11" t="s">
        <v>654</v>
      </c>
      <c r="G52" s="13" t="s">
        <v>43</v>
      </c>
      <c r="H52" s="11" t="s">
        <v>1700</v>
      </c>
      <c r="I52" s="3" t="s">
        <v>656</v>
      </c>
      <c r="J52" s="3" t="s">
        <v>657</v>
      </c>
      <c r="K52" s="11" t="s">
        <v>658</v>
      </c>
      <c r="L52" s="4" t="s">
        <v>659</v>
      </c>
      <c r="M52" s="4" t="s">
        <v>660</v>
      </c>
      <c r="N52" s="4" t="s">
        <v>661</v>
      </c>
      <c r="O52" s="26" t="s">
        <v>662</v>
      </c>
      <c r="P52" s="5" t="s">
        <v>663</v>
      </c>
      <c r="Q52" s="1" t="s">
        <v>664</v>
      </c>
      <c r="R52" s="1"/>
      <c r="S52" s="1" t="s">
        <v>665</v>
      </c>
      <c r="T52" s="1"/>
      <c r="U52" s="1"/>
      <c r="V52" s="1" t="s">
        <v>154</v>
      </c>
      <c r="W52" s="1"/>
      <c r="X52" s="1" t="s">
        <v>310</v>
      </c>
      <c r="Y52" s="1" t="s">
        <v>56</v>
      </c>
      <c r="Z52" s="3">
        <v>44561</v>
      </c>
      <c r="AA52" s="3">
        <v>44560</v>
      </c>
      <c r="AB52" s="6"/>
      <c r="AC52" s="1"/>
      <c r="AD52" s="4"/>
      <c r="AE52" s="2">
        <v>12552</v>
      </c>
      <c r="AF52" s="3" t="s">
        <v>655</v>
      </c>
      <c r="AG52" s="7">
        <v>282</v>
      </c>
      <c r="AH52" s="7">
        <v>296</v>
      </c>
      <c r="AI52" s="7">
        <v>308</v>
      </c>
      <c r="AJ52" s="7">
        <v>886</v>
      </c>
      <c r="AK52" s="7"/>
      <c r="AL52" s="25" t="s">
        <v>78</v>
      </c>
      <c r="AM52" s="25" t="s">
        <v>58</v>
      </c>
      <c r="AN52" s="25" t="s">
        <v>59</v>
      </c>
      <c r="AO52" s="25" t="s">
        <v>143</v>
      </c>
      <c r="AP52" s="19" t="s">
        <v>658</v>
      </c>
      <c r="AQ52" s="19" t="s">
        <v>1869</v>
      </c>
      <c r="AR52" s="19" t="s">
        <v>60</v>
      </c>
      <c r="AS52" s="19"/>
      <c r="AT52" s="19" t="s">
        <v>2038</v>
      </c>
      <c r="AU52" s="19" t="s">
        <v>2097</v>
      </c>
      <c r="AV52" s="19">
        <v>9149204613</v>
      </c>
      <c r="AW52" s="20">
        <v>46130</v>
      </c>
      <c r="AX52" s="19" t="s">
        <v>1990</v>
      </c>
      <c r="AY52" s="27" t="s">
        <v>654</v>
      </c>
      <c r="AZ52" s="27" t="s">
        <v>61</v>
      </c>
      <c r="BA52" s="19" t="s">
        <v>2450</v>
      </c>
      <c r="BB52" s="19" t="s">
        <v>2451</v>
      </c>
      <c r="BC52" s="19" t="s">
        <v>2778</v>
      </c>
      <c r="BD52" s="75" t="s">
        <v>1700</v>
      </c>
      <c r="BE52" s="100" t="s">
        <v>3787</v>
      </c>
      <c r="BF52" s="100" t="s">
        <v>4052</v>
      </c>
      <c r="BG52" s="100"/>
    </row>
    <row r="53" spans="1:59" s="10" customFormat="1" ht="13.5" x14ac:dyDescent="0.25">
      <c r="A53" s="59">
        <v>95</v>
      </c>
      <c r="B53" s="15" t="s">
        <v>60</v>
      </c>
      <c r="C53" s="12">
        <v>345011</v>
      </c>
      <c r="D53" s="11" t="s">
        <v>40</v>
      </c>
      <c r="E53" s="11" t="s">
        <v>61</v>
      </c>
      <c r="F53" s="11" t="s">
        <v>986</v>
      </c>
      <c r="G53" s="13" t="s">
        <v>43</v>
      </c>
      <c r="H53" s="11" t="s">
        <v>1067</v>
      </c>
      <c r="I53" s="3" t="s">
        <v>1675</v>
      </c>
      <c r="J53" s="3" t="s">
        <v>1675</v>
      </c>
      <c r="K53" s="11" t="s">
        <v>1978</v>
      </c>
      <c r="L53" s="4" t="s">
        <v>1068</v>
      </c>
      <c r="M53" s="4" t="s">
        <v>1068</v>
      </c>
      <c r="N53" s="4" t="s">
        <v>1068</v>
      </c>
      <c r="O53" s="26" t="s">
        <v>1069</v>
      </c>
      <c r="P53" s="5" t="s">
        <v>1070</v>
      </c>
      <c r="Q53" s="1" t="s">
        <v>1071</v>
      </c>
      <c r="R53" s="1"/>
      <c r="S53" s="1" t="s">
        <v>1072</v>
      </c>
      <c r="T53" s="1"/>
      <c r="U53" s="1"/>
      <c r="V53" s="1" t="s">
        <v>898</v>
      </c>
      <c r="W53" s="1"/>
      <c r="X53" s="1" t="s">
        <v>55</v>
      </c>
      <c r="Y53" s="1" t="s">
        <v>56</v>
      </c>
      <c r="Z53" s="3">
        <v>45834</v>
      </c>
      <c r="AA53" s="3">
        <v>45834</v>
      </c>
      <c r="AB53" s="6"/>
      <c r="AC53" s="1"/>
      <c r="AD53" s="4"/>
      <c r="AE53" s="2">
        <v>345011</v>
      </c>
      <c r="AF53" s="3" t="s">
        <v>1067</v>
      </c>
      <c r="AG53" s="7" t="s">
        <v>60</v>
      </c>
      <c r="AH53" s="7" t="s">
        <v>60</v>
      </c>
      <c r="AI53" s="7" t="s">
        <v>60</v>
      </c>
      <c r="AJ53" s="7" t="s">
        <v>60</v>
      </c>
      <c r="AK53" s="7">
        <v>1</v>
      </c>
      <c r="AL53" s="25" t="s">
        <v>70</v>
      </c>
      <c r="AM53" s="25" t="s">
        <v>58</v>
      </c>
      <c r="AN53" s="25" t="s">
        <v>59</v>
      </c>
      <c r="AO53" s="25" t="e">
        <v>#N/A</v>
      </c>
      <c r="AP53" s="19" t="s">
        <v>1978</v>
      </c>
      <c r="AQ53" s="19" t="s">
        <v>1869</v>
      </c>
      <c r="AR53" s="19" t="s">
        <v>60</v>
      </c>
      <c r="AS53" s="19"/>
      <c r="AT53" s="19" t="s">
        <v>2073</v>
      </c>
      <c r="AU53" s="19" t="s">
        <v>2092</v>
      </c>
      <c r="AV53" s="19">
        <v>7753851136</v>
      </c>
      <c r="AW53" s="20">
        <v>46120</v>
      </c>
      <c r="AX53" s="19" t="s">
        <v>1990</v>
      </c>
      <c r="AY53" s="27" t="s">
        <v>986</v>
      </c>
      <c r="AZ53" s="27" t="s">
        <v>61</v>
      </c>
      <c r="BA53" s="19" t="s">
        <v>60</v>
      </c>
      <c r="BB53" s="19" t="s">
        <v>2534</v>
      </c>
      <c r="BC53" s="19" t="s">
        <v>2535</v>
      </c>
      <c r="BD53" s="75" t="s">
        <v>1067</v>
      </c>
      <c r="BE53" s="100" t="s">
        <v>3783</v>
      </c>
      <c r="BF53" s="100" t="s">
        <v>4108</v>
      </c>
      <c r="BG53" s="100" t="s">
        <v>4109</v>
      </c>
    </row>
    <row r="54" spans="1:59" s="10" customFormat="1" ht="13.5" x14ac:dyDescent="0.25">
      <c r="A54" s="59">
        <v>114</v>
      </c>
      <c r="B54" s="15" t="s">
        <v>391</v>
      </c>
      <c r="C54" s="12">
        <v>26111</v>
      </c>
      <c r="D54" s="11" t="s">
        <v>40</v>
      </c>
      <c r="E54" s="11" t="s">
        <v>129</v>
      </c>
      <c r="F54" s="11" t="s">
        <v>129</v>
      </c>
      <c r="G54" s="13" t="s">
        <v>352</v>
      </c>
      <c r="H54" s="11" t="s">
        <v>1955</v>
      </c>
      <c r="I54" s="3" t="s">
        <v>393</v>
      </c>
      <c r="J54" s="3" t="s">
        <v>394</v>
      </c>
      <c r="K54" s="11" t="s">
        <v>1923</v>
      </c>
      <c r="L54" s="4" t="s">
        <v>395</v>
      </c>
      <c r="M54" s="4" t="s">
        <v>396</v>
      </c>
      <c r="N54" s="4" t="s">
        <v>397</v>
      </c>
      <c r="O54" s="4" t="s">
        <v>398</v>
      </c>
      <c r="P54" s="5" t="s">
        <v>60</v>
      </c>
      <c r="Q54" s="4" t="s">
        <v>399</v>
      </c>
      <c r="R54" s="4">
        <v>0</v>
      </c>
      <c r="S54" s="4" t="s">
        <v>400</v>
      </c>
      <c r="T54" s="4">
        <v>0</v>
      </c>
      <c r="U54" s="4">
        <v>0</v>
      </c>
      <c r="V54" s="4">
        <v>0</v>
      </c>
      <c r="W54" s="4">
        <v>0</v>
      </c>
      <c r="X54" s="4" t="s">
        <v>55</v>
      </c>
      <c r="Y54" s="4" t="s">
        <v>56</v>
      </c>
      <c r="Z54" s="4">
        <v>43788</v>
      </c>
      <c r="AA54" s="4">
        <v>40131</v>
      </c>
      <c r="AB54" s="4">
        <v>0</v>
      </c>
      <c r="AC54" s="4">
        <v>0</v>
      </c>
      <c r="AD54" s="4" t="s">
        <v>401</v>
      </c>
      <c r="AE54" s="4">
        <v>26111</v>
      </c>
      <c r="AF54" s="4" t="s">
        <v>392</v>
      </c>
      <c r="AG54" s="7">
        <v>371</v>
      </c>
      <c r="AH54" s="7">
        <v>421</v>
      </c>
      <c r="AI54" s="7">
        <v>529</v>
      </c>
      <c r="AJ54" s="7">
        <v>1321</v>
      </c>
      <c r="AK54" s="7"/>
      <c r="AL54" s="25" t="s">
        <v>78</v>
      </c>
      <c r="AM54" s="25" t="s">
        <v>58</v>
      </c>
      <c r="AN54" s="25" t="s">
        <v>59</v>
      </c>
      <c r="AO54" s="25" t="s">
        <v>402</v>
      </c>
      <c r="AP54" s="19" t="s">
        <v>1923</v>
      </c>
      <c r="AQ54" s="19" t="s">
        <v>1869</v>
      </c>
      <c r="AR54" s="19" t="s">
        <v>60</v>
      </c>
      <c r="AS54" s="19"/>
      <c r="AT54" s="19" t="s">
        <v>2279</v>
      </c>
      <c r="AU54" s="19" t="s">
        <v>2346</v>
      </c>
      <c r="AV54" s="19">
        <v>9217935065</v>
      </c>
      <c r="AW54" s="20">
        <v>46135</v>
      </c>
      <c r="AX54" s="19" t="s">
        <v>1990</v>
      </c>
      <c r="AY54" s="27" t="s">
        <v>129</v>
      </c>
      <c r="AZ54" s="27" t="s">
        <v>129</v>
      </c>
      <c r="BA54" s="19" t="s">
        <v>2470</v>
      </c>
      <c r="BB54" s="19" t="s">
        <v>2471</v>
      </c>
      <c r="BC54" s="19" t="s">
        <v>402</v>
      </c>
      <c r="BD54" s="75" t="s">
        <v>1955</v>
      </c>
      <c r="BE54" s="100" t="s">
        <v>3801</v>
      </c>
      <c r="BF54" s="100" t="s">
        <v>4055</v>
      </c>
      <c r="BG54" s="100"/>
    </row>
    <row r="55" spans="1:59" s="10" customFormat="1" ht="13.5" x14ac:dyDescent="0.25">
      <c r="A55" s="59">
        <v>115</v>
      </c>
      <c r="B55" s="15" t="s">
        <v>391</v>
      </c>
      <c r="C55" s="12">
        <v>26111</v>
      </c>
      <c r="D55" s="11" t="s">
        <v>40</v>
      </c>
      <c r="E55" s="11" t="s">
        <v>129</v>
      </c>
      <c r="F55" s="11" t="s">
        <v>129</v>
      </c>
      <c r="G55" s="13" t="s">
        <v>352</v>
      </c>
      <c r="H55" s="11" t="s">
        <v>1954</v>
      </c>
      <c r="I55" s="3" t="s">
        <v>393</v>
      </c>
      <c r="J55" s="3" t="s">
        <v>394</v>
      </c>
      <c r="K55" s="11" t="s">
        <v>1924</v>
      </c>
      <c r="L55" s="4" t="s">
        <v>395</v>
      </c>
      <c r="M55" s="4" t="s">
        <v>396</v>
      </c>
      <c r="N55" s="4" t="s">
        <v>397</v>
      </c>
      <c r="O55" s="26" t="s">
        <v>398</v>
      </c>
      <c r="P55" s="5" t="s">
        <v>60</v>
      </c>
      <c r="Q55" s="1" t="s">
        <v>399</v>
      </c>
      <c r="R55" s="1"/>
      <c r="S55" s="1" t="s">
        <v>400</v>
      </c>
      <c r="T55" s="1"/>
      <c r="U55" s="1"/>
      <c r="V55" s="1"/>
      <c r="W55" s="1"/>
      <c r="X55" s="1" t="s">
        <v>55</v>
      </c>
      <c r="Y55" s="1" t="s">
        <v>56</v>
      </c>
      <c r="Z55" s="3">
        <v>43788</v>
      </c>
      <c r="AA55" s="3">
        <v>40131</v>
      </c>
      <c r="AB55" s="6"/>
      <c r="AC55" s="1"/>
      <c r="AD55" s="4" t="s">
        <v>401</v>
      </c>
      <c r="AE55" s="2">
        <v>26111</v>
      </c>
      <c r="AF55" s="3" t="s">
        <v>392</v>
      </c>
      <c r="AG55" s="7">
        <v>371</v>
      </c>
      <c r="AH55" s="7">
        <v>421</v>
      </c>
      <c r="AI55" s="7">
        <v>529</v>
      </c>
      <c r="AJ55" s="7">
        <v>1321</v>
      </c>
      <c r="AK55" s="7"/>
      <c r="AL55" s="25" t="s">
        <v>78</v>
      </c>
      <c r="AM55" s="25" t="s">
        <v>58</v>
      </c>
      <c r="AN55" s="25" t="s">
        <v>59</v>
      </c>
      <c r="AO55" s="25" t="s">
        <v>402</v>
      </c>
      <c r="AP55" s="19" t="s">
        <v>1924</v>
      </c>
      <c r="AQ55" s="19" t="s">
        <v>1869</v>
      </c>
      <c r="AR55" s="19" t="s">
        <v>60</v>
      </c>
      <c r="AS55" s="19"/>
      <c r="AT55" s="19" t="s">
        <v>2018</v>
      </c>
      <c r="AU55" s="19" t="s">
        <v>2346</v>
      </c>
      <c r="AV55" s="19">
        <v>9217935065</v>
      </c>
      <c r="AW55" s="20">
        <v>46134</v>
      </c>
      <c r="AX55" s="19" t="s">
        <v>1990</v>
      </c>
      <c r="AY55" s="27" t="s">
        <v>129</v>
      </c>
      <c r="AZ55" s="27" t="s">
        <v>129</v>
      </c>
      <c r="BA55" s="19" t="s">
        <v>2470</v>
      </c>
      <c r="BB55" s="19" t="s">
        <v>2471</v>
      </c>
      <c r="BC55" s="19" t="s">
        <v>402</v>
      </c>
      <c r="BD55" s="75" t="s">
        <v>1954</v>
      </c>
      <c r="BE55" s="100" t="s">
        <v>3802</v>
      </c>
      <c r="BF55" s="100" t="s">
        <v>4056</v>
      </c>
      <c r="BG55" s="100"/>
    </row>
    <row r="56" spans="1:59" s="10" customFormat="1" ht="13.5" x14ac:dyDescent="0.25">
      <c r="A56" s="59">
        <v>55</v>
      </c>
      <c r="B56" s="15" t="s">
        <v>630</v>
      </c>
      <c r="C56" s="12">
        <v>24712</v>
      </c>
      <c r="D56" s="11" t="s">
        <v>40</v>
      </c>
      <c r="E56" s="11" t="s">
        <v>41</v>
      </c>
      <c r="F56" s="11" t="s">
        <v>631</v>
      </c>
      <c r="G56" s="13" t="s">
        <v>43</v>
      </c>
      <c r="H56" s="11" t="s">
        <v>632</v>
      </c>
      <c r="I56" s="3" t="s">
        <v>633</v>
      </c>
      <c r="J56" s="3" t="s">
        <v>633</v>
      </c>
      <c r="K56" s="11" t="s">
        <v>1889</v>
      </c>
      <c r="L56" s="4" t="s">
        <v>634</v>
      </c>
      <c r="M56" s="4" t="s">
        <v>635</v>
      </c>
      <c r="N56" s="4" t="s">
        <v>636</v>
      </c>
      <c r="O56" s="26" t="s">
        <v>637</v>
      </c>
      <c r="P56" s="5" t="s">
        <v>638</v>
      </c>
      <c r="Q56" s="1" t="s">
        <v>639</v>
      </c>
      <c r="R56" s="1" t="s">
        <v>60</v>
      </c>
      <c r="S56" s="1" t="s">
        <v>640</v>
      </c>
      <c r="T56" s="1"/>
      <c r="U56" s="1"/>
      <c r="V56" s="1" t="s">
        <v>93</v>
      </c>
      <c r="W56" s="1"/>
      <c r="X56" s="1" t="s">
        <v>69</v>
      </c>
      <c r="Y56" s="1" t="s">
        <v>56</v>
      </c>
      <c r="Z56" s="3">
        <v>44482</v>
      </c>
      <c r="AA56" s="3">
        <v>44480</v>
      </c>
      <c r="AB56" s="6"/>
      <c r="AC56" s="1"/>
      <c r="AD56" s="4"/>
      <c r="AE56" s="2">
        <v>24712</v>
      </c>
      <c r="AF56" s="3" t="s">
        <v>632</v>
      </c>
      <c r="AG56" s="7">
        <v>751</v>
      </c>
      <c r="AH56" s="7">
        <v>744</v>
      </c>
      <c r="AI56" s="7">
        <v>652</v>
      </c>
      <c r="AJ56" s="7">
        <v>2147</v>
      </c>
      <c r="AK56" s="7"/>
      <c r="AL56" s="25" t="s">
        <v>78</v>
      </c>
      <c r="AM56" s="25" t="s">
        <v>58</v>
      </c>
      <c r="AN56" s="25" t="s">
        <v>59</v>
      </c>
      <c r="AO56" s="25" t="s">
        <v>95</v>
      </c>
      <c r="AP56" s="19" t="s">
        <v>60</v>
      </c>
      <c r="AQ56" s="19" t="s">
        <v>1884</v>
      </c>
      <c r="AR56" s="19" t="s">
        <v>1928</v>
      </c>
      <c r="AS56" s="19" t="s">
        <v>60</v>
      </c>
      <c r="AT56" s="19" t="s">
        <v>60</v>
      </c>
      <c r="AU56" s="19" t="s">
        <v>60</v>
      </c>
      <c r="AV56" s="19" t="s">
        <v>60</v>
      </c>
      <c r="AW56" s="19" t="s">
        <v>60</v>
      </c>
      <c r="AX56" s="19" t="s">
        <v>60</v>
      </c>
      <c r="AY56" s="19" t="s">
        <v>631</v>
      </c>
      <c r="AZ56" s="19" t="s">
        <v>41</v>
      </c>
      <c r="BA56" s="19" t="s">
        <v>2411</v>
      </c>
      <c r="BB56" s="19" t="s">
        <v>2412</v>
      </c>
      <c r="BC56" s="19" t="s">
        <v>2757</v>
      </c>
      <c r="BD56" s="75" t="s">
        <v>632</v>
      </c>
      <c r="BE56" s="100" t="s">
        <v>60</v>
      </c>
      <c r="BF56" s="100" t="s">
        <v>60</v>
      </c>
      <c r="BG56" s="100" t="s">
        <v>60</v>
      </c>
    </row>
    <row r="57" spans="1:59" s="10" customFormat="1" ht="13.5" x14ac:dyDescent="0.25">
      <c r="A57" s="59">
        <v>3</v>
      </c>
      <c r="B57" s="15" t="s">
        <v>1847</v>
      </c>
      <c r="C57" s="12">
        <v>306987</v>
      </c>
      <c r="D57" s="11" t="s">
        <v>103</v>
      </c>
      <c r="E57" s="11" t="s">
        <v>767</v>
      </c>
      <c r="F57" s="11" t="s">
        <v>768</v>
      </c>
      <c r="G57" s="13" t="s">
        <v>43</v>
      </c>
      <c r="H57" s="11" t="s">
        <v>1721</v>
      </c>
      <c r="I57" s="3" t="s">
        <v>1655</v>
      </c>
      <c r="J57" s="3" t="s">
        <v>1655</v>
      </c>
      <c r="K57" s="11" t="s">
        <v>1806</v>
      </c>
      <c r="L57" s="4">
        <v>9650501568</v>
      </c>
      <c r="M57" s="4">
        <v>9650501568</v>
      </c>
      <c r="N57" s="4">
        <v>9650501568</v>
      </c>
      <c r="O57" s="26" t="s">
        <v>945</v>
      </c>
      <c r="P57" s="5" t="s">
        <v>60</v>
      </c>
      <c r="Q57" s="1" t="s">
        <v>946</v>
      </c>
      <c r="R57" s="1"/>
      <c r="S57" s="1" t="s">
        <v>947</v>
      </c>
      <c r="T57" s="1"/>
      <c r="U57" s="1"/>
      <c r="V57" s="1"/>
      <c r="W57" s="1"/>
      <c r="X57" s="1" t="s">
        <v>69</v>
      </c>
      <c r="Y57" s="1" t="s">
        <v>56</v>
      </c>
      <c r="Z57" s="3">
        <v>45659</v>
      </c>
      <c r="AA57" s="3">
        <v>45656</v>
      </c>
      <c r="AB57" s="6"/>
      <c r="AC57" s="1"/>
      <c r="AD57" s="4" t="s">
        <v>587</v>
      </c>
      <c r="AE57" s="2">
        <v>306987</v>
      </c>
      <c r="AF57" s="3" t="s">
        <v>944</v>
      </c>
      <c r="AG57" s="7">
        <v>1292</v>
      </c>
      <c r="AH57" s="7">
        <v>1292</v>
      </c>
      <c r="AI57" s="7">
        <v>1145</v>
      </c>
      <c r="AJ57" s="7">
        <v>3729</v>
      </c>
      <c r="AK57" s="7"/>
      <c r="AL57" s="25" t="s">
        <v>78</v>
      </c>
      <c r="AM57" s="25" t="s">
        <v>58</v>
      </c>
      <c r="AN57" s="25" t="s">
        <v>59</v>
      </c>
      <c r="AO57" s="25" t="s">
        <v>60</v>
      </c>
      <c r="AP57" s="19" t="s">
        <v>1806</v>
      </c>
      <c r="AQ57" s="19" t="s">
        <v>1869</v>
      </c>
      <c r="AR57" s="19" t="s">
        <v>60</v>
      </c>
      <c r="AS57" s="19"/>
      <c r="AT57" s="19" t="s">
        <v>2060</v>
      </c>
      <c r="AU57" s="19" t="s">
        <v>2094</v>
      </c>
      <c r="AV57" s="19">
        <v>8287823681</v>
      </c>
      <c r="AW57" s="20">
        <v>46129</v>
      </c>
      <c r="AX57" s="19" t="s">
        <v>1990</v>
      </c>
      <c r="AY57" s="27" t="s">
        <v>768</v>
      </c>
      <c r="AZ57" s="27" t="s">
        <v>767</v>
      </c>
      <c r="BA57" s="19" t="s">
        <v>2362</v>
      </c>
      <c r="BB57" s="19" t="s">
        <v>2708</v>
      </c>
      <c r="BC57" s="19" t="s">
        <v>579</v>
      </c>
      <c r="BD57" s="75" t="s">
        <v>1721</v>
      </c>
      <c r="BE57" s="100" t="s">
        <v>3703</v>
      </c>
      <c r="BF57" s="100" t="s">
        <v>4058</v>
      </c>
      <c r="BG57" s="100"/>
    </row>
    <row r="58" spans="1:59" s="10" customFormat="1" ht="13.5" x14ac:dyDescent="0.25">
      <c r="A58" s="59">
        <v>57</v>
      </c>
      <c r="B58" s="15" t="s">
        <v>60</v>
      </c>
      <c r="C58" s="12">
        <v>12611</v>
      </c>
      <c r="D58" s="11" t="s">
        <v>40</v>
      </c>
      <c r="E58" s="11" t="s">
        <v>41</v>
      </c>
      <c r="F58" s="11" t="s">
        <v>156</v>
      </c>
      <c r="G58" s="13" t="s">
        <v>43</v>
      </c>
      <c r="H58" s="11" t="s">
        <v>933</v>
      </c>
      <c r="I58" s="3" t="s">
        <v>1653</v>
      </c>
      <c r="J58" s="3" t="s">
        <v>1653</v>
      </c>
      <c r="K58" s="11" t="s">
        <v>1804</v>
      </c>
      <c r="L58" s="4">
        <v>9914500602</v>
      </c>
      <c r="M58" s="4">
        <v>9914500602</v>
      </c>
      <c r="N58" s="4">
        <v>9914500602</v>
      </c>
      <c r="O58" s="26" t="s">
        <v>934</v>
      </c>
      <c r="P58" s="5" t="s">
        <v>60</v>
      </c>
      <c r="Q58" s="1" t="s">
        <v>935</v>
      </c>
      <c r="R58" s="1"/>
      <c r="S58" s="1" t="s">
        <v>936</v>
      </c>
      <c r="T58" s="1"/>
      <c r="U58" s="1"/>
      <c r="V58" s="1" t="s">
        <v>236</v>
      </c>
      <c r="W58" s="1"/>
      <c r="X58" s="1" t="s">
        <v>55</v>
      </c>
      <c r="Y58" s="1" t="s">
        <v>56</v>
      </c>
      <c r="Z58" s="3">
        <v>45722</v>
      </c>
      <c r="AA58" s="3">
        <v>45722</v>
      </c>
      <c r="AB58" s="6"/>
      <c r="AC58" s="1"/>
      <c r="AD58" s="4" t="s">
        <v>937</v>
      </c>
      <c r="AE58" s="2">
        <v>12611</v>
      </c>
      <c r="AF58" s="3" t="s">
        <v>933</v>
      </c>
      <c r="AG58" s="7">
        <v>0</v>
      </c>
      <c r="AH58" s="7">
        <v>2</v>
      </c>
      <c r="AI58" s="7">
        <v>0</v>
      </c>
      <c r="AJ58" s="7">
        <v>2</v>
      </c>
      <c r="AK58" s="7"/>
      <c r="AL58" s="25" t="s">
        <v>78</v>
      </c>
      <c r="AM58" s="25" t="s">
        <v>58</v>
      </c>
      <c r="AN58" s="25" t="s">
        <v>59</v>
      </c>
      <c r="AO58" s="25" t="s">
        <v>707</v>
      </c>
      <c r="AP58" s="19" t="s">
        <v>60</v>
      </c>
      <c r="AQ58" s="19" t="s">
        <v>1884</v>
      </c>
      <c r="AR58" s="19" t="s">
        <v>1865</v>
      </c>
      <c r="AS58" s="19" t="s">
        <v>60</v>
      </c>
      <c r="AT58" s="19" t="s">
        <v>60</v>
      </c>
      <c r="AU58" s="19" t="s">
        <v>60</v>
      </c>
      <c r="AV58" s="19" t="s">
        <v>60</v>
      </c>
      <c r="AW58" s="19" t="s">
        <v>60</v>
      </c>
      <c r="AX58" s="19" t="s">
        <v>60</v>
      </c>
      <c r="AY58" s="19" t="s">
        <v>156</v>
      </c>
      <c r="AZ58" s="19" t="s">
        <v>41</v>
      </c>
      <c r="BA58" s="19" t="s">
        <v>2413</v>
      </c>
      <c r="BB58" s="19" t="s">
        <v>2414</v>
      </c>
      <c r="BC58" s="19"/>
      <c r="BD58" s="75" t="s">
        <v>933</v>
      </c>
      <c r="BE58" s="100" t="s">
        <v>60</v>
      </c>
      <c r="BF58" s="100" t="s">
        <v>60</v>
      </c>
      <c r="BG58" s="100" t="s">
        <v>60</v>
      </c>
    </row>
    <row r="59" spans="1:59" s="10" customFormat="1" ht="13.5" x14ac:dyDescent="0.25">
      <c r="A59" s="59">
        <v>103</v>
      </c>
      <c r="B59" s="15" t="s">
        <v>259</v>
      </c>
      <c r="C59" s="12">
        <v>25877</v>
      </c>
      <c r="D59" s="11" t="s">
        <v>103</v>
      </c>
      <c r="E59" s="11" t="s">
        <v>104</v>
      </c>
      <c r="F59" s="11" t="s">
        <v>105</v>
      </c>
      <c r="G59" s="13" t="s">
        <v>43</v>
      </c>
      <c r="H59" s="11" t="s">
        <v>260</v>
      </c>
      <c r="I59" s="3" t="s">
        <v>261</v>
      </c>
      <c r="J59" s="3" t="s">
        <v>261</v>
      </c>
      <c r="K59" s="11" t="s">
        <v>262</v>
      </c>
      <c r="L59" s="4" t="s">
        <v>263</v>
      </c>
      <c r="M59" s="4" t="s">
        <v>264</v>
      </c>
      <c r="N59" s="4" t="s">
        <v>263</v>
      </c>
      <c r="O59" s="26" t="s">
        <v>265</v>
      </c>
      <c r="P59" s="5" t="s">
        <v>60</v>
      </c>
      <c r="Q59" s="1" t="s">
        <v>266</v>
      </c>
      <c r="R59" s="1" t="s">
        <v>267</v>
      </c>
      <c r="S59" s="1" t="s">
        <v>268</v>
      </c>
      <c r="T59" s="1"/>
      <c r="U59" s="1"/>
      <c r="V59" s="1" t="s">
        <v>93</v>
      </c>
      <c r="W59" s="1"/>
      <c r="X59" s="1" t="s">
        <v>55</v>
      </c>
      <c r="Y59" s="1" t="s">
        <v>56</v>
      </c>
      <c r="Z59" s="3">
        <v>42993</v>
      </c>
      <c r="AA59" s="3">
        <v>42990</v>
      </c>
      <c r="AB59" s="6"/>
      <c r="AC59" s="1"/>
      <c r="AD59" s="4"/>
      <c r="AE59" s="2">
        <v>25877</v>
      </c>
      <c r="AF59" s="3" t="s">
        <v>260</v>
      </c>
      <c r="AG59" s="7">
        <v>616</v>
      </c>
      <c r="AH59" s="7">
        <v>625</v>
      </c>
      <c r="AI59" s="7">
        <v>608</v>
      </c>
      <c r="AJ59" s="7">
        <v>1849</v>
      </c>
      <c r="AK59" s="7">
        <v>2</v>
      </c>
      <c r="AL59" s="25" t="s">
        <v>57</v>
      </c>
      <c r="AM59" s="25" t="s">
        <v>58</v>
      </c>
      <c r="AN59" s="25" t="s">
        <v>59</v>
      </c>
      <c r="AO59" s="25" t="s">
        <v>60</v>
      </c>
      <c r="AP59" s="19" t="s">
        <v>262</v>
      </c>
      <c r="AQ59" s="19" t="s">
        <v>1869</v>
      </c>
      <c r="AR59" s="19" t="s">
        <v>60</v>
      </c>
      <c r="AS59" s="19"/>
      <c r="AT59" s="19" t="s">
        <v>2004</v>
      </c>
      <c r="AU59" s="19" t="s">
        <v>2091</v>
      </c>
      <c r="AV59" s="19">
        <v>9354241930</v>
      </c>
      <c r="AW59" s="20">
        <v>46119</v>
      </c>
      <c r="AX59" s="19" t="s">
        <v>1990</v>
      </c>
      <c r="AY59" s="27" t="s">
        <v>105</v>
      </c>
      <c r="AZ59" s="27" t="s">
        <v>104</v>
      </c>
      <c r="BA59" s="19" t="s">
        <v>2457</v>
      </c>
      <c r="BB59" s="19" t="s">
        <v>2458</v>
      </c>
      <c r="BC59" s="19" t="s">
        <v>579</v>
      </c>
      <c r="BD59" s="75" t="s">
        <v>260</v>
      </c>
      <c r="BE59" s="100" t="s">
        <v>3791</v>
      </c>
      <c r="BF59" s="100" t="s">
        <v>4027</v>
      </c>
      <c r="BG59" s="100" t="s">
        <v>4028</v>
      </c>
    </row>
    <row r="60" spans="1:59" s="10" customFormat="1" ht="13.5" x14ac:dyDescent="0.25">
      <c r="A60" s="59">
        <v>96</v>
      </c>
      <c r="B60" s="15" t="s">
        <v>60</v>
      </c>
      <c r="C60" s="12">
        <v>323996</v>
      </c>
      <c r="D60" s="11" t="s">
        <v>40</v>
      </c>
      <c r="E60" s="11" t="s">
        <v>938</v>
      </c>
      <c r="F60" s="11" t="s">
        <v>385</v>
      </c>
      <c r="G60" s="13" t="s">
        <v>43</v>
      </c>
      <c r="H60" s="11" t="s">
        <v>1694</v>
      </c>
      <c r="I60" s="3" t="s">
        <v>1625</v>
      </c>
      <c r="J60" s="3" t="s">
        <v>1625</v>
      </c>
      <c r="K60" s="11" t="s">
        <v>1763</v>
      </c>
      <c r="L60" s="4">
        <v>7895100604</v>
      </c>
      <c r="M60" s="4">
        <v>7895100604</v>
      </c>
      <c r="N60" s="4">
        <v>7895100604</v>
      </c>
      <c r="O60" s="26" t="s">
        <v>387</v>
      </c>
      <c r="P60" s="5" t="s">
        <v>60</v>
      </c>
      <c r="Q60" s="1" t="s">
        <v>388</v>
      </c>
      <c r="R60" s="1"/>
      <c r="S60" s="1" t="s">
        <v>389</v>
      </c>
      <c r="T60" s="1"/>
      <c r="U60" s="1"/>
      <c r="V60" s="1" t="s">
        <v>93</v>
      </c>
      <c r="W60" s="1"/>
      <c r="X60" s="1" t="s">
        <v>55</v>
      </c>
      <c r="Y60" s="1" t="s">
        <v>56</v>
      </c>
      <c r="Z60" s="3">
        <v>45791</v>
      </c>
      <c r="AA60" s="3">
        <v>45786</v>
      </c>
      <c r="AB60" s="6"/>
      <c r="AC60" s="1"/>
      <c r="AD60" s="4" t="s">
        <v>390</v>
      </c>
      <c r="AE60" s="2">
        <v>323996</v>
      </c>
      <c r="AF60" s="3" t="s">
        <v>386</v>
      </c>
      <c r="AG60" s="7" t="s">
        <v>60</v>
      </c>
      <c r="AH60" s="7" t="s">
        <v>60</v>
      </c>
      <c r="AI60" s="7" t="s">
        <v>60</v>
      </c>
      <c r="AJ60" s="7" t="s">
        <v>60</v>
      </c>
      <c r="AK60" s="7"/>
      <c r="AL60" s="25" t="s">
        <v>70</v>
      </c>
      <c r="AM60" s="25" t="s">
        <v>58</v>
      </c>
      <c r="AN60" s="25" t="s">
        <v>59</v>
      </c>
      <c r="AO60" s="25" t="e">
        <v>#N/A</v>
      </c>
      <c r="AP60" s="19" t="s">
        <v>1763</v>
      </c>
      <c r="AQ60" s="19" t="s">
        <v>1869</v>
      </c>
      <c r="AR60" s="19" t="s">
        <v>60</v>
      </c>
      <c r="AS60" s="19"/>
      <c r="AT60" s="19" t="s">
        <v>2017</v>
      </c>
      <c r="AU60" s="19" t="s">
        <v>2097</v>
      </c>
      <c r="AV60" s="19">
        <v>9149204613</v>
      </c>
      <c r="AW60" s="20">
        <v>46133</v>
      </c>
      <c r="AX60" s="19" t="s">
        <v>1990</v>
      </c>
      <c r="AY60" s="27" t="s">
        <v>385</v>
      </c>
      <c r="AZ60" s="27" t="s">
        <v>938</v>
      </c>
      <c r="BA60" s="19" t="s">
        <v>60</v>
      </c>
      <c r="BB60" s="19" t="s">
        <v>2536</v>
      </c>
      <c r="BC60" s="19" t="s">
        <v>60</v>
      </c>
      <c r="BD60" s="75" t="s">
        <v>1694</v>
      </c>
      <c r="BE60" s="100" t="s">
        <v>3784</v>
      </c>
      <c r="BF60" s="100" t="s">
        <v>4110</v>
      </c>
      <c r="BG60" s="100" t="s">
        <v>4111</v>
      </c>
    </row>
    <row r="61" spans="1:59" s="10" customFormat="1" ht="13.5" x14ac:dyDescent="0.25">
      <c r="A61" s="59">
        <v>30</v>
      </c>
      <c r="B61" s="15" t="s">
        <v>323</v>
      </c>
      <c r="C61" s="12">
        <v>26018</v>
      </c>
      <c r="D61" s="11" t="s">
        <v>103</v>
      </c>
      <c r="E61" s="11" t="s">
        <v>465</v>
      </c>
      <c r="F61" s="11" t="s">
        <v>801</v>
      </c>
      <c r="G61" s="13" t="s">
        <v>43</v>
      </c>
      <c r="H61" s="11" t="s">
        <v>324</v>
      </c>
      <c r="I61" s="3" t="s">
        <v>325</v>
      </c>
      <c r="J61" s="3" t="s">
        <v>325</v>
      </c>
      <c r="K61" s="11" t="s">
        <v>1857</v>
      </c>
      <c r="L61" s="4" t="s">
        <v>326</v>
      </c>
      <c r="M61" s="4" t="s">
        <v>327</v>
      </c>
      <c r="N61" s="4" t="s">
        <v>328</v>
      </c>
      <c r="O61" s="26" t="s">
        <v>329</v>
      </c>
      <c r="P61" s="5" t="s">
        <v>330</v>
      </c>
      <c r="Q61" s="1" t="s">
        <v>331</v>
      </c>
      <c r="R61" s="1"/>
      <c r="S61" s="1" t="s">
        <v>332</v>
      </c>
      <c r="T61" s="1"/>
      <c r="U61" s="1"/>
      <c r="V61" s="1" t="s">
        <v>93</v>
      </c>
      <c r="W61" s="1"/>
      <c r="X61" s="1" t="s">
        <v>55</v>
      </c>
      <c r="Y61" s="1" t="s">
        <v>56</v>
      </c>
      <c r="Z61" s="3">
        <v>43297</v>
      </c>
      <c r="AA61" s="3">
        <v>43297</v>
      </c>
      <c r="AB61" s="6"/>
      <c r="AC61" s="1"/>
      <c r="AD61" s="4" t="s">
        <v>333</v>
      </c>
      <c r="AE61" s="2">
        <v>26018</v>
      </c>
      <c r="AF61" s="3" t="s">
        <v>324</v>
      </c>
      <c r="AG61" s="7">
        <v>1762</v>
      </c>
      <c r="AH61" s="7">
        <v>1483</v>
      </c>
      <c r="AI61" s="7">
        <v>1338</v>
      </c>
      <c r="AJ61" s="7">
        <v>4583</v>
      </c>
      <c r="AK61" s="7">
        <v>5</v>
      </c>
      <c r="AL61" s="25" t="s">
        <v>57</v>
      </c>
      <c r="AM61" s="25" t="s">
        <v>58</v>
      </c>
      <c r="AN61" s="25" t="s">
        <v>59</v>
      </c>
      <c r="AO61" s="25" t="s">
        <v>322</v>
      </c>
      <c r="AP61" s="19" t="s">
        <v>1857</v>
      </c>
      <c r="AQ61" s="19" t="s">
        <v>1869</v>
      </c>
      <c r="AR61" s="19" t="s">
        <v>60</v>
      </c>
      <c r="AS61" s="19"/>
      <c r="AT61" s="19" t="s">
        <v>2277</v>
      </c>
      <c r="AU61" s="19" t="s">
        <v>2091</v>
      </c>
      <c r="AV61" s="19">
        <v>9354241930</v>
      </c>
      <c r="AW61" s="20">
        <v>46128</v>
      </c>
      <c r="AX61" s="19" t="s">
        <v>1990</v>
      </c>
      <c r="AY61" s="27" t="s">
        <v>801</v>
      </c>
      <c r="AZ61" s="27" t="s">
        <v>465</v>
      </c>
      <c r="BA61" s="19" t="s">
        <v>2733</v>
      </c>
      <c r="BB61" s="19" t="s">
        <v>2734</v>
      </c>
      <c r="BC61" s="19" t="s">
        <v>2680</v>
      </c>
      <c r="BD61" s="75" t="s">
        <v>324</v>
      </c>
      <c r="BE61" s="100" t="s">
        <v>3726</v>
      </c>
      <c r="BF61" s="100" t="s">
        <v>4038</v>
      </c>
      <c r="BG61" s="100" t="s">
        <v>4039</v>
      </c>
    </row>
    <row r="62" spans="1:59" s="10" customFormat="1" ht="13.5" x14ac:dyDescent="0.25">
      <c r="A62" s="59">
        <v>136</v>
      </c>
      <c r="B62" s="15" t="s">
        <v>539</v>
      </c>
      <c r="C62" s="12">
        <v>12488</v>
      </c>
      <c r="D62" s="11" t="s">
        <v>40</v>
      </c>
      <c r="E62" s="11" t="s">
        <v>199</v>
      </c>
      <c r="F62" s="11" t="s">
        <v>540</v>
      </c>
      <c r="G62" s="13" t="s">
        <v>352</v>
      </c>
      <c r="H62" s="11" t="s">
        <v>541</v>
      </c>
      <c r="I62" s="3" t="s">
        <v>542</v>
      </c>
      <c r="J62" s="3" t="s">
        <v>542</v>
      </c>
      <c r="K62" s="11" t="s">
        <v>1772</v>
      </c>
      <c r="L62" s="4" t="s">
        <v>543</v>
      </c>
      <c r="M62" s="4" t="s">
        <v>544</v>
      </c>
      <c r="N62" s="4" t="s">
        <v>543</v>
      </c>
      <c r="O62" s="26" t="s">
        <v>545</v>
      </c>
      <c r="P62" s="5" t="s">
        <v>546</v>
      </c>
      <c r="Q62" s="1" t="s">
        <v>547</v>
      </c>
      <c r="R62" s="1"/>
      <c r="S62" s="1" t="s">
        <v>548</v>
      </c>
      <c r="T62" s="1"/>
      <c r="U62" s="1"/>
      <c r="V62" s="1"/>
      <c r="W62" s="1"/>
      <c r="X62" s="1" t="s">
        <v>55</v>
      </c>
      <c r="Y62" s="1" t="s">
        <v>56</v>
      </c>
      <c r="Z62" s="3">
        <v>44659</v>
      </c>
      <c r="AA62" s="3">
        <v>44652</v>
      </c>
      <c r="AB62" s="6"/>
      <c r="AC62" s="1"/>
      <c r="AD62" s="4"/>
      <c r="AE62" s="2">
        <v>12488</v>
      </c>
      <c r="AF62" s="3" t="s">
        <v>541</v>
      </c>
      <c r="AG62" s="7">
        <v>49</v>
      </c>
      <c r="AH62" s="7">
        <v>48</v>
      </c>
      <c r="AI62" s="7">
        <v>48</v>
      </c>
      <c r="AJ62" s="7">
        <v>145</v>
      </c>
      <c r="AK62" s="7"/>
      <c r="AL62" s="25" t="s">
        <v>78</v>
      </c>
      <c r="AM62" s="25" t="s">
        <v>58</v>
      </c>
      <c r="AN62" s="25" t="s">
        <v>59</v>
      </c>
      <c r="AO62" s="25" t="s">
        <v>549</v>
      </c>
      <c r="AP62" s="19" t="s">
        <v>1772</v>
      </c>
      <c r="AQ62" s="19" t="s">
        <v>1869</v>
      </c>
      <c r="AR62" s="19" t="s">
        <v>60</v>
      </c>
      <c r="AS62" s="19"/>
      <c r="AT62" s="19" t="s">
        <v>2028</v>
      </c>
      <c r="AU62" s="19" t="s">
        <v>2092</v>
      </c>
      <c r="AV62" s="19">
        <v>7753851136</v>
      </c>
      <c r="AW62" s="20">
        <v>46132</v>
      </c>
      <c r="AX62" s="19" t="s">
        <v>1990</v>
      </c>
      <c r="AY62" s="27" t="s">
        <v>540</v>
      </c>
      <c r="AZ62" s="27" t="s">
        <v>199</v>
      </c>
      <c r="BA62" s="19" t="s">
        <v>2497</v>
      </c>
      <c r="BB62" s="19" t="s">
        <v>2498</v>
      </c>
      <c r="BC62" s="19" t="s">
        <v>2499</v>
      </c>
      <c r="BD62" s="75" t="s">
        <v>541</v>
      </c>
      <c r="BE62" s="100" t="s">
        <v>3818</v>
      </c>
      <c r="BF62" s="100" t="s">
        <v>4065</v>
      </c>
      <c r="BG62" s="100"/>
    </row>
    <row r="63" spans="1:59" s="10" customFormat="1" ht="13.5" x14ac:dyDescent="0.25">
      <c r="A63" s="59">
        <v>169</v>
      </c>
      <c r="B63" s="15" t="s">
        <v>60</v>
      </c>
      <c r="C63" s="12">
        <v>309992</v>
      </c>
      <c r="D63" s="11" t="s">
        <v>103</v>
      </c>
      <c r="E63" s="11" t="s">
        <v>465</v>
      </c>
      <c r="F63" s="11" t="s">
        <v>466</v>
      </c>
      <c r="G63" s="13" t="s">
        <v>63</v>
      </c>
      <c r="H63" s="11" t="s">
        <v>1727</v>
      </c>
      <c r="I63" s="3" t="s">
        <v>1661</v>
      </c>
      <c r="J63" s="3" t="s">
        <v>1661</v>
      </c>
      <c r="K63" s="11" t="s">
        <v>1812</v>
      </c>
      <c r="L63" s="4">
        <v>7549171717</v>
      </c>
      <c r="M63" s="4">
        <v>7549171717</v>
      </c>
      <c r="N63" s="4">
        <v>7549171717</v>
      </c>
      <c r="O63" s="26" t="s">
        <v>974</v>
      </c>
      <c r="P63" s="5" t="s">
        <v>60</v>
      </c>
      <c r="Q63" s="1" t="s">
        <v>975</v>
      </c>
      <c r="R63" s="1"/>
      <c r="S63" s="1" t="s">
        <v>976</v>
      </c>
      <c r="T63" s="1"/>
      <c r="U63" s="1"/>
      <c r="V63" s="1" t="s">
        <v>977</v>
      </c>
      <c r="W63" s="1"/>
      <c r="X63" s="1" t="s">
        <v>55</v>
      </c>
      <c r="Y63" s="1" t="s">
        <v>56</v>
      </c>
      <c r="Z63" s="3">
        <v>45636</v>
      </c>
      <c r="AA63" s="3">
        <v>45631</v>
      </c>
      <c r="AB63" s="6"/>
      <c r="AC63" s="1"/>
      <c r="AD63" s="4" t="s">
        <v>587</v>
      </c>
      <c r="AE63" s="2">
        <v>309992</v>
      </c>
      <c r="AF63" s="3" t="s">
        <v>973</v>
      </c>
      <c r="AG63" s="7" t="s">
        <v>60</v>
      </c>
      <c r="AH63" s="7" t="s">
        <v>60</v>
      </c>
      <c r="AI63" s="7" t="s">
        <v>60</v>
      </c>
      <c r="AJ63" s="7" t="s">
        <v>60</v>
      </c>
      <c r="AK63" s="7">
        <v>2</v>
      </c>
      <c r="AL63" s="25" t="s">
        <v>70</v>
      </c>
      <c r="AM63" s="25" t="s">
        <v>58</v>
      </c>
      <c r="AN63" s="25" t="s">
        <v>59</v>
      </c>
      <c r="AO63" s="25" t="e">
        <v>#N/A</v>
      </c>
      <c r="AP63" s="19" t="s">
        <v>1812</v>
      </c>
      <c r="AQ63" s="19" t="s">
        <v>1869</v>
      </c>
      <c r="AR63" s="19" t="s">
        <v>60</v>
      </c>
      <c r="AS63" s="19"/>
      <c r="AT63" s="19" t="s">
        <v>2063</v>
      </c>
      <c r="AU63" s="19" t="s">
        <v>2091</v>
      </c>
      <c r="AV63" s="19">
        <v>9354241930</v>
      </c>
      <c r="AW63" s="20">
        <v>46130</v>
      </c>
      <c r="AX63" s="19" t="s">
        <v>1990</v>
      </c>
      <c r="AY63" s="27" t="s">
        <v>466</v>
      </c>
      <c r="AZ63" s="27" t="s">
        <v>465</v>
      </c>
      <c r="BA63" s="19" t="s">
        <v>60</v>
      </c>
      <c r="BB63" s="19" t="s">
        <v>2546</v>
      </c>
      <c r="BC63" s="19" t="s">
        <v>2538</v>
      </c>
      <c r="BD63" s="75" t="s">
        <v>1727</v>
      </c>
      <c r="BE63" s="100" t="s">
        <v>3847</v>
      </c>
      <c r="BF63" s="100" t="s">
        <v>4190</v>
      </c>
      <c r="BG63" s="100" t="s">
        <v>4191</v>
      </c>
    </row>
    <row r="64" spans="1:59" s="10" customFormat="1" ht="13.5" x14ac:dyDescent="0.25">
      <c r="A64" s="59">
        <v>63</v>
      </c>
      <c r="B64" s="15" t="s">
        <v>374</v>
      </c>
      <c r="C64" s="12">
        <v>26539</v>
      </c>
      <c r="D64" s="11" t="s">
        <v>40</v>
      </c>
      <c r="E64" s="11" t="s">
        <v>199</v>
      </c>
      <c r="F64" s="11" t="s">
        <v>1552</v>
      </c>
      <c r="G64" s="13" t="s">
        <v>43</v>
      </c>
      <c r="H64" s="11" t="s">
        <v>1944</v>
      </c>
      <c r="I64" s="3" t="s">
        <v>376</v>
      </c>
      <c r="J64" s="3" t="s">
        <v>377</v>
      </c>
      <c r="K64" s="11" t="s">
        <v>1858</v>
      </c>
      <c r="L64" s="4" t="s">
        <v>378</v>
      </c>
      <c r="M64" s="4" t="s">
        <v>379</v>
      </c>
      <c r="N64" s="4" t="s">
        <v>380</v>
      </c>
      <c r="O64" s="26" t="s">
        <v>381</v>
      </c>
      <c r="P64" s="5" t="s">
        <v>60</v>
      </c>
      <c r="Q64" s="1" t="s">
        <v>382</v>
      </c>
      <c r="R64" s="1"/>
      <c r="S64" s="1" t="s">
        <v>383</v>
      </c>
      <c r="T64" s="1"/>
      <c r="U64" s="1"/>
      <c r="V64" s="1" t="s">
        <v>93</v>
      </c>
      <c r="W64" s="1"/>
      <c r="X64" s="1" t="s">
        <v>55</v>
      </c>
      <c r="Y64" s="1" t="s">
        <v>56</v>
      </c>
      <c r="Z64" s="3">
        <v>43615</v>
      </c>
      <c r="AA64" s="3">
        <v>43613</v>
      </c>
      <c r="AB64" s="6"/>
      <c r="AC64" s="1"/>
      <c r="AD64" s="4" t="s">
        <v>384</v>
      </c>
      <c r="AE64" s="2">
        <v>26539</v>
      </c>
      <c r="AF64" s="3" t="s">
        <v>375</v>
      </c>
      <c r="AG64" s="7">
        <v>595</v>
      </c>
      <c r="AH64" s="7">
        <v>685</v>
      </c>
      <c r="AI64" s="7">
        <v>753</v>
      </c>
      <c r="AJ64" s="7">
        <v>2033</v>
      </c>
      <c r="AK64" s="7">
        <v>1</v>
      </c>
      <c r="AL64" s="25" t="s">
        <v>57</v>
      </c>
      <c r="AM64" s="25" t="s">
        <v>58</v>
      </c>
      <c r="AN64" s="25" t="s">
        <v>59</v>
      </c>
      <c r="AO64" s="25" t="s">
        <v>95</v>
      </c>
      <c r="AP64" s="19" t="s">
        <v>60</v>
      </c>
      <c r="AQ64" s="19" t="s">
        <v>1884</v>
      </c>
      <c r="AR64" s="19" t="s">
        <v>1914</v>
      </c>
      <c r="AS64" s="19" t="s">
        <v>60</v>
      </c>
      <c r="AT64" s="19" t="s">
        <v>60</v>
      </c>
      <c r="AU64" s="19" t="s">
        <v>60</v>
      </c>
      <c r="AV64" s="19" t="s">
        <v>60</v>
      </c>
      <c r="AW64" s="19" t="s">
        <v>60</v>
      </c>
      <c r="AX64" s="19" t="s">
        <v>60</v>
      </c>
      <c r="AY64" s="19" t="s">
        <v>1552</v>
      </c>
      <c r="AZ64" s="19" t="s">
        <v>199</v>
      </c>
      <c r="BA64" s="19" t="s">
        <v>2420</v>
      </c>
      <c r="BB64" s="19" t="s">
        <v>2421</v>
      </c>
      <c r="BC64" s="19" t="s">
        <v>2757</v>
      </c>
      <c r="BD64" s="75" t="s">
        <v>1944</v>
      </c>
      <c r="BE64" s="100" t="s">
        <v>60</v>
      </c>
      <c r="BF64" s="100" t="s">
        <v>60</v>
      </c>
      <c r="BG64" s="100" t="s">
        <v>60</v>
      </c>
    </row>
    <row r="65" spans="1:59" s="10" customFormat="1" ht="13.5" x14ac:dyDescent="0.25">
      <c r="A65" s="59">
        <v>120</v>
      </c>
      <c r="B65" s="15" t="s">
        <v>60</v>
      </c>
      <c r="C65" s="12">
        <v>71934</v>
      </c>
      <c r="D65" s="11" t="s">
        <v>40</v>
      </c>
      <c r="E65" s="11" t="s">
        <v>129</v>
      </c>
      <c r="F65" s="11" t="s">
        <v>129</v>
      </c>
      <c r="G65" s="13" t="s">
        <v>352</v>
      </c>
      <c r="H65" s="11" t="s">
        <v>1754</v>
      </c>
      <c r="I65" s="3" t="s">
        <v>1687</v>
      </c>
      <c r="J65" s="3" t="s">
        <v>1687</v>
      </c>
      <c r="K65" s="11" t="s">
        <v>1840</v>
      </c>
      <c r="L65" s="4">
        <v>9389213520</v>
      </c>
      <c r="M65" s="4">
        <v>9389213520</v>
      </c>
      <c r="N65" s="4">
        <v>9389213520</v>
      </c>
      <c r="O65" s="26" t="s">
        <v>1265</v>
      </c>
      <c r="P65" s="5" t="s">
        <v>60</v>
      </c>
      <c r="Q65" s="1" t="s">
        <v>1266</v>
      </c>
      <c r="R65" s="1"/>
      <c r="S65" s="1" t="s">
        <v>1267</v>
      </c>
      <c r="T65" s="1"/>
      <c r="U65" s="1"/>
      <c r="V65" s="1"/>
      <c r="W65" s="1"/>
      <c r="X65" s="1" t="s">
        <v>55</v>
      </c>
      <c r="Y65" s="1" t="s">
        <v>56</v>
      </c>
      <c r="Z65" s="3">
        <v>45965</v>
      </c>
      <c r="AA65" s="3">
        <v>45965</v>
      </c>
      <c r="AB65" s="6"/>
      <c r="AC65" s="1"/>
      <c r="AD65" s="4" t="s">
        <v>1268</v>
      </c>
      <c r="AE65" s="2">
        <v>71934</v>
      </c>
      <c r="AF65" s="3" t="s">
        <v>1264</v>
      </c>
      <c r="AG65" s="7">
        <v>0</v>
      </c>
      <c r="AH65" s="7">
        <v>269</v>
      </c>
      <c r="AI65" s="7">
        <v>97</v>
      </c>
      <c r="AJ65" s="7">
        <v>366</v>
      </c>
      <c r="AK65" s="7"/>
      <c r="AL65" s="25" t="s">
        <v>78</v>
      </c>
      <c r="AM65" s="25" t="s">
        <v>58</v>
      </c>
      <c r="AN65" s="25" t="s">
        <v>59</v>
      </c>
      <c r="AO65" s="25" t="s">
        <v>60</v>
      </c>
      <c r="AP65" s="19" t="s">
        <v>1840</v>
      </c>
      <c r="AQ65" s="19" t="s">
        <v>1869</v>
      </c>
      <c r="AR65" s="19" t="s">
        <v>60</v>
      </c>
      <c r="AS65" s="19"/>
      <c r="AT65" s="19" t="s">
        <v>2320</v>
      </c>
      <c r="AU65" s="19" t="s">
        <v>2346</v>
      </c>
      <c r="AV65" s="19">
        <v>9217935065</v>
      </c>
      <c r="AW65" s="20">
        <v>46119</v>
      </c>
      <c r="AX65" s="19" t="s">
        <v>1990</v>
      </c>
      <c r="AY65" s="27" t="s">
        <v>129</v>
      </c>
      <c r="AZ65" s="27" t="s">
        <v>129</v>
      </c>
      <c r="BA65" s="19" t="s">
        <v>2475</v>
      </c>
      <c r="BB65" s="19" t="s">
        <v>2476</v>
      </c>
      <c r="BC65" s="19" t="s">
        <v>579</v>
      </c>
      <c r="BD65" s="75" t="s">
        <v>1754</v>
      </c>
      <c r="BE65" s="100" t="s">
        <v>3806</v>
      </c>
      <c r="BF65" s="100" t="s">
        <v>4068</v>
      </c>
      <c r="BG65" s="100"/>
    </row>
    <row r="66" spans="1:59" s="10" customFormat="1" ht="13.5" x14ac:dyDescent="0.25">
      <c r="A66" s="59">
        <v>13</v>
      </c>
      <c r="B66" s="15" t="s">
        <v>403</v>
      </c>
      <c r="C66" s="12">
        <v>26490</v>
      </c>
      <c r="D66" s="11" t="s">
        <v>40</v>
      </c>
      <c r="E66" s="11" t="s">
        <v>129</v>
      </c>
      <c r="F66" s="11" t="s">
        <v>129</v>
      </c>
      <c r="G66" s="13" t="s">
        <v>43</v>
      </c>
      <c r="H66" s="11" t="s">
        <v>1949</v>
      </c>
      <c r="I66" s="3" t="s">
        <v>405</v>
      </c>
      <c r="J66" s="3" t="s">
        <v>405</v>
      </c>
      <c r="K66" s="11" t="s">
        <v>1972</v>
      </c>
      <c r="L66" s="4" t="s">
        <v>406</v>
      </c>
      <c r="M66" s="4" t="s">
        <v>407</v>
      </c>
      <c r="N66" s="4" t="s">
        <v>408</v>
      </c>
      <c r="O66" s="4" t="s">
        <v>409</v>
      </c>
      <c r="P66" s="5" t="s">
        <v>60</v>
      </c>
      <c r="Q66" s="4" t="s">
        <v>410</v>
      </c>
      <c r="R66" s="4">
        <v>0</v>
      </c>
      <c r="S66" s="4" t="s">
        <v>411</v>
      </c>
      <c r="T66" s="4">
        <v>0</v>
      </c>
      <c r="U66" s="4">
        <v>0</v>
      </c>
      <c r="V66" s="4" t="s">
        <v>77</v>
      </c>
      <c r="W66" s="4">
        <v>0</v>
      </c>
      <c r="X66" s="4" t="s">
        <v>310</v>
      </c>
      <c r="Y66" s="4" t="s">
        <v>56</v>
      </c>
      <c r="Z66" s="4">
        <v>43724</v>
      </c>
      <c r="AA66" s="4">
        <v>43704</v>
      </c>
      <c r="AB66" s="4">
        <v>0</v>
      </c>
      <c r="AC66" s="4">
        <v>0</v>
      </c>
      <c r="AD66" s="4" t="s">
        <v>412</v>
      </c>
      <c r="AE66" s="4">
        <v>26490</v>
      </c>
      <c r="AF66" s="4" t="s">
        <v>404</v>
      </c>
      <c r="AG66" s="7">
        <v>2186</v>
      </c>
      <c r="AH66" s="7">
        <v>2355</v>
      </c>
      <c r="AI66" s="7">
        <v>2014</v>
      </c>
      <c r="AJ66" s="7">
        <v>6555</v>
      </c>
      <c r="AK66" s="7">
        <v>2</v>
      </c>
      <c r="AL66" s="25" t="s">
        <v>57</v>
      </c>
      <c r="AM66" s="25" t="s">
        <v>58</v>
      </c>
      <c r="AN66" s="25" t="s">
        <v>59</v>
      </c>
      <c r="AO66" s="25" t="s">
        <v>95</v>
      </c>
      <c r="AP66" s="19" t="s">
        <v>1972</v>
      </c>
      <c r="AQ66" s="19" t="s">
        <v>1869</v>
      </c>
      <c r="AR66" s="19" t="s">
        <v>60</v>
      </c>
      <c r="AS66" s="19"/>
      <c r="AT66" s="19" t="s">
        <v>2280</v>
      </c>
      <c r="AU66" s="19" t="s">
        <v>2346</v>
      </c>
      <c r="AV66" s="19">
        <v>9217935065</v>
      </c>
      <c r="AW66" s="20">
        <v>46132</v>
      </c>
      <c r="AX66" s="19" t="s">
        <v>1990</v>
      </c>
      <c r="AY66" s="27" t="s">
        <v>129</v>
      </c>
      <c r="AZ66" s="27" t="s">
        <v>129</v>
      </c>
      <c r="BA66" s="19" t="s">
        <v>2745</v>
      </c>
      <c r="BB66" s="19" t="s">
        <v>2746</v>
      </c>
      <c r="BC66" s="19" t="s">
        <v>2747</v>
      </c>
      <c r="BD66" s="75" t="s">
        <v>1949</v>
      </c>
      <c r="BE66" s="100" t="s">
        <v>3712</v>
      </c>
      <c r="BF66" s="100" t="s">
        <v>4043</v>
      </c>
      <c r="BG66" s="100" t="s">
        <v>4044</v>
      </c>
    </row>
    <row r="67" spans="1:59" s="10" customFormat="1" ht="13.5" x14ac:dyDescent="0.25">
      <c r="A67" s="59">
        <v>66</v>
      </c>
      <c r="B67" s="15" t="s">
        <v>374</v>
      </c>
      <c r="C67" s="12">
        <v>26539</v>
      </c>
      <c r="D67" s="11" t="s">
        <v>40</v>
      </c>
      <c r="E67" s="11" t="s">
        <v>199</v>
      </c>
      <c r="F67" s="11" t="s">
        <v>214</v>
      </c>
      <c r="G67" s="13" t="s">
        <v>43</v>
      </c>
      <c r="H67" s="11" t="s">
        <v>1945</v>
      </c>
      <c r="I67" s="3" t="s">
        <v>376</v>
      </c>
      <c r="J67" s="3" t="s">
        <v>377</v>
      </c>
      <c r="K67" s="11" t="s">
        <v>1971</v>
      </c>
      <c r="L67" s="4" t="s">
        <v>378</v>
      </c>
      <c r="M67" s="4" t="s">
        <v>379</v>
      </c>
      <c r="N67" s="4" t="s">
        <v>380</v>
      </c>
      <c r="O67" s="4" t="s">
        <v>381</v>
      </c>
      <c r="P67" s="5" t="s">
        <v>60</v>
      </c>
      <c r="Q67" s="4" t="s">
        <v>382</v>
      </c>
      <c r="R67" s="4">
        <v>0</v>
      </c>
      <c r="S67" s="4" t="s">
        <v>383</v>
      </c>
      <c r="T67" s="4">
        <v>0</v>
      </c>
      <c r="U67" s="4">
        <v>0</v>
      </c>
      <c r="V67" s="4" t="s">
        <v>93</v>
      </c>
      <c r="W67" s="4">
        <v>0</v>
      </c>
      <c r="X67" s="4" t="s">
        <v>55</v>
      </c>
      <c r="Y67" s="4" t="s">
        <v>56</v>
      </c>
      <c r="Z67" s="4">
        <v>43615</v>
      </c>
      <c r="AA67" s="4">
        <v>43613</v>
      </c>
      <c r="AB67" s="4">
        <v>0</v>
      </c>
      <c r="AC67" s="4">
        <v>0</v>
      </c>
      <c r="AD67" s="4" t="s">
        <v>384</v>
      </c>
      <c r="AE67" s="4">
        <v>26539</v>
      </c>
      <c r="AF67" s="4" t="s">
        <v>375</v>
      </c>
      <c r="AG67" s="7">
        <v>595</v>
      </c>
      <c r="AH67" s="7">
        <v>685</v>
      </c>
      <c r="AI67" s="7">
        <v>753</v>
      </c>
      <c r="AJ67" s="7">
        <v>2033</v>
      </c>
      <c r="AK67" s="7">
        <v>1</v>
      </c>
      <c r="AL67" s="25" t="s">
        <v>57</v>
      </c>
      <c r="AM67" s="25" t="s">
        <v>58</v>
      </c>
      <c r="AN67" s="25" t="s">
        <v>59</v>
      </c>
      <c r="AO67" s="25" t="s">
        <v>95</v>
      </c>
      <c r="AP67" s="19" t="s">
        <v>60</v>
      </c>
      <c r="AQ67" s="19" t="s">
        <v>1884</v>
      </c>
      <c r="AR67" s="19" t="s">
        <v>1913</v>
      </c>
      <c r="AS67" s="19" t="s">
        <v>60</v>
      </c>
      <c r="AT67" s="19" t="s">
        <v>60</v>
      </c>
      <c r="AU67" s="19" t="s">
        <v>60</v>
      </c>
      <c r="AV67" s="19" t="s">
        <v>60</v>
      </c>
      <c r="AW67" s="19" t="s">
        <v>60</v>
      </c>
      <c r="AX67" s="19" t="s">
        <v>60</v>
      </c>
      <c r="AY67" s="19" t="s">
        <v>214</v>
      </c>
      <c r="AZ67" s="19" t="s">
        <v>199</v>
      </c>
      <c r="BA67" s="19" t="s">
        <v>2420</v>
      </c>
      <c r="BB67" s="19" t="s">
        <v>2421</v>
      </c>
      <c r="BC67" s="19" t="s">
        <v>2757</v>
      </c>
      <c r="BD67" s="75" t="s">
        <v>1945</v>
      </c>
      <c r="BE67" s="100" t="s">
        <v>60</v>
      </c>
      <c r="BF67" s="100" t="s">
        <v>60</v>
      </c>
      <c r="BG67" s="100" t="s">
        <v>60</v>
      </c>
    </row>
    <row r="68" spans="1:59" s="10" customFormat="1" ht="13.5" x14ac:dyDescent="0.25">
      <c r="A68" s="59">
        <v>138</v>
      </c>
      <c r="B68" s="15" t="s">
        <v>60</v>
      </c>
      <c r="C68" s="12">
        <v>189971</v>
      </c>
      <c r="D68" s="11" t="s">
        <v>40</v>
      </c>
      <c r="E68" s="11" t="s">
        <v>61</v>
      </c>
      <c r="F68" s="11" t="s">
        <v>593</v>
      </c>
      <c r="G68" s="13" t="s">
        <v>352</v>
      </c>
      <c r="H68" s="11" t="s">
        <v>605</v>
      </c>
      <c r="I68" s="3" t="s">
        <v>1630</v>
      </c>
      <c r="J68" s="3" t="s">
        <v>1630</v>
      </c>
      <c r="K68" s="11" t="s">
        <v>1778</v>
      </c>
      <c r="L68" s="4">
        <v>7017936633</v>
      </c>
      <c r="M68" s="4">
        <v>7017936633</v>
      </c>
      <c r="N68" s="4">
        <v>7017936633</v>
      </c>
      <c r="O68" s="26" t="s">
        <v>606</v>
      </c>
      <c r="P68" s="5" t="s">
        <v>60</v>
      </c>
      <c r="Q68" s="1" t="s">
        <v>607</v>
      </c>
      <c r="R68" s="1"/>
      <c r="S68" s="1" t="s">
        <v>608</v>
      </c>
      <c r="T68" s="1"/>
      <c r="U68" s="1"/>
      <c r="V68" s="1"/>
      <c r="W68" s="1"/>
      <c r="X68" s="1" t="s">
        <v>55</v>
      </c>
      <c r="Y68" s="1" t="s">
        <v>56</v>
      </c>
      <c r="Z68" s="3">
        <v>45448</v>
      </c>
      <c r="AA68" s="3">
        <v>45443</v>
      </c>
      <c r="AB68" s="6"/>
      <c r="AC68" s="1"/>
      <c r="AD68" s="4"/>
      <c r="AE68" s="2">
        <v>189971</v>
      </c>
      <c r="AF68" s="3" t="s">
        <v>605</v>
      </c>
      <c r="AG68" s="7">
        <v>47</v>
      </c>
      <c r="AH68" s="7">
        <v>45</v>
      </c>
      <c r="AI68" s="7">
        <v>292</v>
      </c>
      <c r="AJ68" s="7">
        <v>384</v>
      </c>
      <c r="AK68" s="7"/>
      <c r="AL68" s="25" t="s">
        <v>78</v>
      </c>
      <c r="AM68" s="25" t="s">
        <v>58</v>
      </c>
      <c r="AN68" s="25" t="s">
        <v>59</v>
      </c>
      <c r="AO68" s="25" t="s">
        <v>60</v>
      </c>
      <c r="AP68" s="19" t="s">
        <v>1778</v>
      </c>
      <c r="AQ68" s="19" t="s">
        <v>1869</v>
      </c>
      <c r="AR68" s="19" t="s">
        <v>60</v>
      </c>
      <c r="AS68" s="19"/>
      <c r="AT68" s="19" t="s">
        <v>2034</v>
      </c>
      <c r="AU68" s="19" t="s">
        <v>2092</v>
      </c>
      <c r="AV68" s="19">
        <v>7753851136</v>
      </c>
      <c r="AW68" s="20">
        <v>46128</v>
      </c>
      <c r="AX68" s="19" t="s">
        <v>1990</v>
      </c>
      <c r="AY68" s="27" t="s">
        <v>593</v>
      </c>
      <c r="AZ68" s="27" t="s">
        <v>61</v>
      </c>
      <c r="BA68" s="19" t="s">
        <v>2695</v>
      </c>
      <c r="BB68" s="19" t="s">
        <v>2696</v>
      </c>
      <c r="BC68" s="19" t="s">
        <v>579</v>
      </c>
      <c r="BD68" s="75" t="s">
        <v>605</v>
      </c>
      <c r="BE68" s="100" t="s">
        <v>3820</v>
      </c>
      <c r="BF68" s="100" t="s">
        <v>4071</v>
      </c>
      <c r="BG68" s="100"/>
    </row>
    <row r="69" spans="1:59" s="10" customFormat="1" ht="13.5" x14ac:dyDescent="0.25">
      <c r="A69" s="59">
        <v>166</v>
      </c>
      <c r="B69" s="15" t="s">
        <v>60</v>
      </c>
      <c r="C69" s="12">
        <v>313994</v>
      </c>
      <c r="D69" s="11" t="s">
        <v>40</v>
      </c>
      <c r="E69" s="11" t="s">
        <v>61</v>
      </c>
      <c r="F69" s="11" t="s">
        <v>2819</v>
      </c>
      <c r="G69" s="13" t="s">
        <v>63</v>
      </c>
      <c r="H69" s="11" t="s">
        <v>1723</v>
      </c>
      <c r="I69" s="3" t="s">
        <v>1657</v>
      </c>
      <c r="J69" s="3" t="s">
        <v>1657</v>
      </c>
      <c r="K69" s="11" t="s">
        <v>1808</v>
      </c>
      <c r="L69" s="4">
        <v>9536352000</v>
      </c>
      <c r="M69" s="4">
        <v>9536352000</v>
      </c>
      <c r="N69" s="4">
        <v>9536352000</v>
      </c>
      <c r="O69" s="26" t="s">
        <v>956</v>
      </c>
      <c r="P69" s="5" t="s">
        <v>60</v>
      </c>
      <c r="Q69" s="1" t="s">
        <v>957</v>
      </c>
      <c r="R69" s="1"/>
      <c r="S69" s="1" t="s">
        <v>958</v>
      </c>
      <c r="T69" s="1"/>
      <c r="U69" s="1"/>
      <c r="V69" s="1" t="s">
        <v>93</v>
      </c>
      <c r="W69" s="1"/>
      <c r="X69" s="1" t="s">
        <v>55</v>
      </c>
      <c r="Y69" s="1" t="s">
        <v>56</v>
      </c>
      <c r="Z69" s="3">
        <v>45680</v>
      </c>
      <c r="AA69" s="3">
        <v>45679</v>
      </c>
      <c r="AB69" s="6"/>
      <c r="AC69" s="1"/>
      <c r="AD69" s="4" t="s">
        <v>587</v>
      </c>
      <c r="AE69" s="2">
        <v>313994</v>
      </c>
      <c r="AF69" s="3" t="s">
        <v>955</v>
      </c>
      <c r="AG69" s="7" t="s">
        <v>60</v>
      </c>
      <c r="AH69" s="7" t="s">
        <v>60</v>
      </c>
      <c r="AI69" s="7" t="s">
        <v>60</v>
      </c>
      <c r="AJ69" s="7" t="s">
        <v>60</v>
      </c>
      <c r="AK69" s="7">
        <v>2</v>
      </c>
      <c r="AL69" s="25" t="s">
        <v>70</v>
      </c>
      <c r="AM69" s="25" t="s">
        <v>58</v>
      </c>
      <c r="AN69" s="25" t="s">
        <v>59</v>
      </c>
      <c r="AO69" s="25" t="e">
        <v>#N/A</v>
      </c>
      <c r="AP69" s="19" t="s">
        <v>1808</v>
      </c>
      <c r="AQ69" s="19" t="s">
        <v>1869</v>
      </c>
      <c r="AR69" s="19" t="s">
        <v>60</v>
      </c>
      <c r="AS69" s="19"/>
      <c r="AT69" s="19" t="s">
        <v>2300</v>
      </c>
      <c r="AU69" s="19" t="s">
        <v>2092</v>
      </c>
      <c r="AV69" s="19">
        <v>7753851136</v>
      </c>
      <c r="AW69" s="20">
        <v>46126</v>
      </c>
      <c r="AX69" s="19" t="s">
        <v>1990</v>
      </c>
      <c r="AY69" s="27" t="s">
        <v>2819</v>
      </c>
      <c r="AZ69" s="27" t="s">
        <v>61</v>
      </c>
      <c r="BA69" s="19" t="s">
        <v>60</v>
      </c>
      <c r="BB69" s="19" t="s">
        <v>2543</v>
      </c>
      <c r="BC69" s="19" t="s">
        <v>2544</v>
      </c>
      <c r="BD69" s="75" t="s">
        <v>1723</v>
      </c>
      <c r="BE69" s="100" t="s">
        <v>3844</v>
      </c>
      <c r="BF69" s="100" t="s">
        <v>4185</v>
      </c>
      <c r="BG69" s="100" t="s">
        <v>4186</v>
      </c>
    </row>
    <row r="70" spans="1:59" s="10" customFormat="1" ht="13.5" x14ac:dyDescent="0.25">
      <c r="A70" s="59">
        <v>49</v>
      </c>
      <c r="B70" s="15" t="s">
        <v>516</v>
      </c>
      <c r="C70" s="12">
        <v>53931</v>
      </c>
      <c r="D70" s="11" t="s">
        <v>40</v>
      </c>
      <c r="E70" s="11" t="s">
        <v>41</v>
      </c>
      <c r="F70" s="11" t="s">
        <v>42</v>
      </c>
      <c r="G70" s="13" t="s">
        <v>43</v>
      </c>
      <c r="H70" s="11" t="s">
        <v>517</v>
      </c>
      <c r="I70" s="3" t="s">
        <v>1626</v>
      </c>
      <c r="J70" s="3" t="s">
        <v>1626</v>
      </c>
      <c r="K70" s="11" t="s">
        <v>1769</v>
      </c>
      <c r="L70" s="4" t="s">
        <v>518</v>
      </c>
      <c r="M70" s="4" t="s">
        <v>518</v>
      </c>
      <c r="N70" s="4" t="s">
        <v>519</v>
      </c>
      <c r="O70" s="26" t="s">
        <v>520</v>
      </c>
      <c r="P70" s="5" t="s">
        <v>520</v>
      </c>
      <c r="Q70" s="1" t="s">
        <v>521</v>
      </c>
      <c r="R70" s="1" t="s">
        <v>60</v>
      </c>
      <c r="S70" s="1" t="s">
        <v>522</v>
      </c>
      <c r="T70" s="1"/>
      <c r="U70" s="1"/>
      <c r="V70" s="1" t="s">
        <v>224</v>
      </c>
      <c r="W70" s="1"/>
      <c r="X70" s="1" t="s">
        <v>55</v>
      </c>
      <c r="Y70" s="1" t="s">
        <v>56</v>
      </c>
      <c r="Z70" s="3">
        <v>44811</v>
      </c>
      <c r="AA70" s="3">
        <v>44809</v>
      </c>
      <c r="AB70" s="6"/>
      <c r="AC70" s="1"/>
      <c r="AD70" s="4"/>
      <c r="AE70" s="2">
        <v>53931</v>
      </c>
      <c r="AF70" s="3" t="s">
        <v>517</v>
      </c>
      <c r="AG70" s="7">
        <v>715</v>
      </c>
      <c r="AH70" s="7">
        <v>753</v>
      </c>
      <c r="AI70" s="7">
        <v>807</v>
      </c>
      <c r="AJ70" s="7">
        <v>2275</v>
      </c>
      <c r="AK70" s="7">
        <v>1</v>
      </c>
      <c r="AL70" s="25" t="s">
        <v>57</v>
      </c>
      <c r="AM70" s="25" t="s">
        <v>58</v>
      </c>
      <c r="AN70" s="25" t="s">
        <v>59</v>
      </c>
      <c r="AO70" s="25" t="s">
        <v>95</v>
      </c>
      <c r="AP70" s="19" t="s">
        <v>2024</v>
      </c>
      <c r="AQ70" s="19" t="s">
        <v>1869</v>
      </c>
      <c r="AR70" s="19" t="s">
        <v>60</v>
      </c>
      <c r="AS70" s="19"/>
      <c r="AT70" s="19" t="s">
        <v>2025</v>
      </c>
      <c r="AU70" s="19" t="s">
        <v>2093</v>
      </c>
      <c r="AV70" s="19">
        <v>9990034588</v>
      </c>
      <c r="AW70" s="20">
        <v>46123</v>
      </c>
      <c r="AX70" s="19" t="s">
        <v>1990</v>
      </c>
      <c r="AY70" s="27" t="s">
        <v>42</v>
      </c>
      <c r="AZ70" s="27" t="s">
        <v>41</v>
      </c>
      <c r="BA70" s="19" t="s">
        <v>2402</v>
      </c>
      <c r="BB70" s="19" t="s">
        <v>2403</v>
      </c>
      <c r="BC70" s="19" t="s">
        <v>2792</v>
      </c>
      <c r="BD70" s="75" t="s">
        <v>517</v>
      </c>
      <c r="BE70" s="100" t="s">
        <v>3741</v>
      </c>
      <c r="BF70" s="100" t="s">
        <v>4053</v>
      </c>
      <c r="BG70" s="100" t="s">
        <v>4054</v>
      </c>
    </row>
    <row r="71" spans="1:59" s="10" customFormat="1" ht="13.5" x14ac:dyDescent="0.25">
      <c r="A71" s="59">
        <v>141</v>
      </c>
      <c r="B71" s="15" t="s">
        <v>1849</v>
      </c>
      <c r="C71" s="12">
        <v>310994</v>
      </c>
      <c r="D71" s="11" t="s">
        <v>40</v>
      </c>
      <c r="E71" s="11" t="s">
        <v>129</v>
      </c>
      <c r="F71" s="11" t="s">
        <v>129</v>
      </c>
      <c r="G71" s="13" t="s">
        <v>352</v>
      </c>
      <c r="H71" s="11" t="s">
        <v>1732</v>
      </c>
      <c r="I71" s="3" t="s">
        <v>1666</v>
      </c>
      <c r="J71" s="3" t="s">
        <v>1666</v>
      </c>
      <c r="K71" s="11" t="s">
        <v>1975</v>
      </c>
      <c r="L71" s="4">
        <v>9899429228</v>
      </c>
      <c r="M71" s="4">
        <v>9899429228</v>
      </c>
      <c r="N71" s="4">
        <v>9899429228</v>
      </c>
      <c r="O71" s="26" t="s">
        <v>1000</v>
      </c>
      <c r="P71" s="5" t="s">
        <v>60</v>
      </c>
      <c r="Q71" s="1" t="s">
        <v>1001</v>
      </c>
      <c r="R71" s="1"/>
      <c r="S71" s="1" t="s">
        <v>1002</v>
      </c>
      <c r="T71" s="1"/>
      <c r="U71" s="1"/>
      <c r="V71" s="1"/>
      <c r="W71" s="1"/>
      <c r="X71" s="1" t="s">
        <v>55</v>
      </c>
      <c r="Y71" s="1" t="s">
        <v>56</v>
      </c>
      <c r="Z71" s="3">
        <v>45681</v>
      </c>
      <c r="AA71" s="3">
        <v>45679</v>
      </c>
      <c r="AB71" s="6"/>
      <c r="AC71" s="1"/>
      <c r="AD71" s="4"/>
      <c r="AE71" s="2">
        <v>310994</v>
      </c>
      <c r="AF71" s="3" t="s">
        <v>999</v>
      </c>
      <c r="AG71" s="7">
        <v>452</v>
      </c>
      <c r="AH71" s="7">
        <v>361</v>
      </c>
      <c r="AI71" s="7">
        <v>573</v>
      </c>
      <c r="AJ71" s="7">
        <v>1386</v>
      </c>
      <c r="AK71" s="7"/>
      <c r="AL71" s="25" t="s">
        <v>78</v>
      </c>
      <c r="AM71" s="25" t="s">
        <v>58</v>
      </c>
      <c r="AN71" s="25" t="s">
        <v>59</v>
      </c>
      <c r="AO71" s="25" t="s">
        <v>60</v>
      </c>
      <c r="AP71" s="19" t="s">
        <v>1975</v>
      </c>
      <c r="AQ71" s="19" t="s">
        <v>1869</v>
      </c>
      <c r="AR71" s="19" t="s">
        <v>60</v>
      </c>
      <c r="AS71" s="19"/>
      <c r="AT71" s="19" t="s">
        <v>2065</v>
      </c>
      <c r="AU71" s="19" t="s">
        <v>2346</v>
      </c>
      <c r="AV71" s="19">
        <v>9217935065</v>
      </c>
      <c r="AW71" s="20">
        <v>46119</v>
      </c>
      <c r="AX71" s="19" t="s">
        <v>1990</v>
      </c>
      <c r="AY71" s="27" t="s">
        <v>129</v>
      </c>
      <c r="AZ71" s="27" t="s">
        <v>129</v>
      </c>
      <c r="BA71" s="19" t="s">
        <v>2504</v>
      </c>
      <c r="BB71" s="19" t="s">
        <v>2505</v>
      </c>
      <c r="BC71" s="19" t="s">
        <v>60</v>
      </c>
      <c r="BD71" s="75" t="s">
        <v>1732</v>
      </c>
      <c r="BE71" s="100" t="s">
        <v>3823</v>
      </c>
      <c r="BF71" s="100" t="s">
        <v>4076</v>
      </c>
      <c r="BG71" s="100"/>
    </row>
    <row r="72" spans="1:59" s="10" customFormat="1" ht="13.5" x14ac:dyDescent="0.25">
      <c r="A72" s="59">
        <v>78</v>
      </c>
      <c r="B72" s="15" t="s">
        <v>60</v>
      </c>
      <c r="C72" s="12">
        <v>318996</v>
      </c>
      <c r="D72" s="11" t="s">
        <v>40</v>
      </c>
      <c r="E72" s="11" t="s">
        <v>199</v>
      </c>
      <c r="F72" s="11" t="s">
        <v>1047</v>
      </c>
      <c r="G72" s="13" t="s">
        <v>43</v>
      </c>
      <c r="H72" s="11" t="s">
        <v>1048</v>
      </c>
      <c r="I72" s="3" t="s">
        <v>1048</v>
      </c>
      <c r="J72" s="3" t="s">
        <v>1048</v>
      </c>
      <c r="K72" s="11" t="s">
        <v>1820</v>
      </c>
      <c r="L72" s="4">
        <v>9414037234</v>
      </c>
      <c r="M72" s="4">
        <v>9414037234</v>
      </c>
      <c r="N72" s="4">
        <v>9414037234</v>
      </c>
      <c r="O72" s="26" t="s">
        <v>1049</v>
      </c>
      <c r="P72" s="5" t="s">
        <v>60</v>
      </c>
      <c r="Q72" s="1" t="s">
        <v>1050</v>
      </c>
      <c r="R72" s="1"/>
      <c r="S72" s="1" t="s">
        <v>1051</v>
      </c>
      <c r="T72" s="1"/>
      <c r="U72" s="1"/>
      <c r="V72" s="1" t="s">
        <v>93</v>
      </c>
      <c r="W72" s="1"/>
      <c r="X72" s="1" t="s">
        <v>55</v>
      </c>
      <c r="Y72" s="1" t="s">
        <v>56</v>
      </c>
      <c r="Z72" s="3">
        <v>45719</v>
      </c>
      <c r="AA72" s="3">
        <v>45715</v>
      </c>
      <c r="AB72" s="6"/>
      <c r="AC72" s="1"/>
      <c r="AD72" s="4"/>
      <c r="AE72" s="2">
        <v>318996</v>
      </c>
      <c r="AF72" s="3" t="s">
        <v>1048</v>
      </c>
      <c r="AG72" s="7" t="s">
        <v>60</v>
      </c>
      <c r="AH72" s="7" t="s">
        <v>60</v>
      </c>
      <c r="AI72" s="7" t="s">
        <v>60</v>
      </c>
      <c r="AJ72" s="7" t="s">
        <v>60</v>
      </c>
      <c r="AK72" s="7">
        <v>4</v>
      </c>
      <c r="AL72" s="25" t="s">
        <v>70</v>
      </c>
      <c r="AM72" s="25" t="s">
        <v>58</v>
      </c>
      <c r="AN72" s="25" t="s">
        <v>59</v>
      </c>
      <c r="AO72" s="25" t="e">
        <v>#N/A</v>
      </c>
      <c r="AP72" s="19" t="s">
        <v>1820</v>
      </c>
      <c r="AQ72" s="19" t="s">
        <v>1869</v>
      </c>
      <c r="AR72" s="19" t="s">
        <v>60</v>
      </c>
      <c r="AS72" s="19"/>
      <c r="AT72" s="19" t="s">
        <v>2070</v>
      </c>
      <c r="AU72" s="19" t="s">
        <v>2096</v>
      </c>
      <c r="AV72" s="19">
        <v>7688959606</v>
      </c>
      <c r="AW72" s="20">
        <v>46118</v>
      </c>
      <c r="AX72" s="19" t="s">
        <v>1990</v>
      </c>
      <c r="AY72" s="27" t="s">
        <v>1047</v>
      </c>
      <c r="AZ72" s="27" t="s">
        <v>199</v>
      </c>
      <c r="BA72" s="19" t="s">
        <v>60</v>
      </c>
      <c r="BB72" s="19" t="s">
        <v>2529</v>
      </c>
      <c r="BC72" s="19" t="s">
        <v>2530</v>
      </c>
      <c r="BD72" s="75" t="s">
        <v>1048</v>
      </c>
      <c r="BE72" s="100" t="s">
        <v>3766</v>
      </c>
      <c r="BF72" s="100" t="s">
        <v>4087</v>
      </c>
      <c r="BG72" s="100" t="s">
        <v>4088</v>
      </c>
    </row>
    <row r="73" spans="1:59" s="10" customFormat="1" ht="13.5" x14ac:dyDescent="0.25">
      <c r="A73" s="59">
        <v>62</v>
      </c>
      <c r="B73" s="15" t="s">
        <v>60</v>
      </c>
      <c r="C73" s="12">
        <v>310988</v>
      </c>
      <c r="D73" s="11" t="s">
        <v>40</v>
      </c>
      <c r="E73" s="11" t="s">
        <v>199</v>
      </c>
      <c r="F73" s="11" t="s">
        <v>452</v>
      </c>
      <c r="G73" s="13" t="s">
        <v>43</v>
      </c>
      <c r="H73" s="11" t="s">
        <v>533</v>
      </c>
      <c r="I73" s="3" t="s">
        <v>1627</v>
      </c>
      <c r="J73" s="3" t="s">
        <v>1627</v>
      </c>
      <c r="K73" s="11" t="s">
        <v>1771</v>
      </c>
      <c r="L73" s="4">
        <v>9829383528</v>
      </c>
      <c r="M73" s="4">
        <v>9829383528</v>
      </c>
      <c r="N73" s="4">
        <v>9829383528</v>
      </c>
      <c r="O73" s="26" t="s">
        <v>534</v>
      </c>
      <c r="P73" s="5" t="s">
        <v>60</v>
      </c>
      <c r="Q73" s="1" t="s">
        <v>535</v>
      </c>
      <c r="R73" s="1"/>
      <c r="S73" s="1" t="s">
        <v>536</v>
      </c>
      <c r="T73" s="1"/>
      <c r="U73" s="1"/>
      <c r="V73" s="1" t="s">
        <v>93</v>
      </c>
      <c r="W73" s="1"/>
      <c r="X73" s="1" t="s">
        <v>197</v>
      </c>
      <c r="Y73" s="1" t="s">
        <v>56</v>
      </c>
      <c r="Z73" s="3">
        <v>45688</v>
      </c>
      <c r="AA73" s="3">
        <v>45685</v>
      </c>
      <c r="AB73" s="6"/>
      <c r="AC73" s="1"/>
      <c r="AD73" s="4" t="s">
        <v>537</v>
      </c>
      <c r="AE73" s="2">
        <v>310988</v>
      </c>
      <c r="AF73" s="3" t="s">
        <v>533</v>
      </c>
      <c r="AG73" s="7">
        <v>0</v>
      </c>
      <c r="AH73" s="7">
        <v>16</v>
      </c>
      <c r="AI73" s="7">
        <v>17</v>
      </c>
      <c r="AJ73" s="7">
        <v>33</v>
      </c>
      <c r="AK73" s="7">
        <v>2</v>
      </c>
      <c r="AL73" s="25" t="s">
        <v>57</v>
      </c>
      <c r="AM73" s="25" t="s">
        <v>58</v>
      </c>
      <c r="AN73" s="25" t="s">
        <v>59</v>
      </c>
      <c r="AO73" s="25" t="s">
        <v>538</v>
      </c>
      <c r="AP73" s="19" t="s">
        <v>1771</v>
      </c>
      <c r="AQ73" s="19" t="s">
        <v>1869</v>
      </c>
      <c r="AR73" s="19" t="s">
        <v>60</v>
      </c>
      <c r="AS73" s="19"/>
      <c r="AT73" s="19" t="s">
        <v>2027</v>
      </c>
      <c r="AU73" s="19" t="s">
        <v>2096</v>
      </c>
      <c r="AV73" s="19">
        <v>7688959606</v>
      </c>
      <c r="AW73" s="20">
        <v>46123</v>
      </c>
      <c r="AX73" s="19" t="s">
        <v>1990</v>
      </c>
      <c r="AY73" s="27" t="s">
        <v>452</v>
      </c>
      <c r="AZ73" s="27" t="s">
        <v>199</v>
      </c>
      <c r="BA73" s="19" t="s">
        <v>2418</v>
      </c>
      <c r="BB73" s="19" t="s">
        <v>2419</v>
      </c>
      <c r="BC73" s="19" t="s">
        <v>538</v>
      </c>
      <c r="BD73" s="75" t="s">
        <v>533</v>
      </c>
      <c r="BE73" s="100" t="s">
        <v>3752</v>
      </c>
      <c r="BF73" s="100" t="s">
        <v>4059</v>
      </c>
      <c r="BG73" s="100" t="s">
        <v>4060</v>
      </c>
    </row>
    <row r="74" spans="1:59" s="10" customFormat="1" ht="13.5" x14ac:dyDescent="0.25">
      <c r="A74" s="59">
        <v>106</v>
      </c>
      <c r="B74" s="15" t="s">
        <v>641</v>
      </c>
      <c r="C74" s="12">
        <v>26212</v>
      </c>
      <c r="D74" s="11" t="s">
        <v>103</v>
      </c>
      <c r="E74" s="11" t="s">
        <v>104</v>
      </c>
      <c r="F74" s="11" t="s">
        <v>105</v>
      </c>
      <c r="G74" s="13" t="s">
        <v>43</v>
      </c>
      <c r="H74" s="11" t="s">
        <v>1941</v>
      </c>
      <c r="I74" s="3" t="s">
        <v>643</v>
      </c>
      <c r="J74" s="3" t="s">
        <v>644</v>
      </c>
      <c r="K74" s="11" t="s">
        <v>1862</v>
      </c>
      <c r="L74" s="4" t="s">
        <v>646</v>
      </c>
      <c r="M74" s="4" t="s">
        <v>647</v>
      </c>
      <c r="N74" s="4" t="s">
        <v>648</v>
      </c>
      <c r="O74" s="26" t="s">
        <v>649</v>
      </c>
      <c r="P74" s="5" t="s">
        <v>650</v>
      </c>
      <c r="Q74" s="1" t="s">
        <v>651</v>
      </c>
      <c r="R74" s="1"/>
      <c r="S74" s="1" t="s">
        <v>652</v>
      </c>
      <c r="T74" s="1"/>
      <c r="U74" s="1"/>
      <c r="V74" s="1" t="s">
        <v>224</v>
      </c>
      <c r="W74" s="1"/>
      <c r="X74" s="1" t="s">
        <v>55</v>
      </c>
      <c r="Y74" s="1" t="s">
        <v>56</v>
      </c>
      <c r="Z74" s="3">
        <v>43489</v>
      </c>
      <c r="AA74" s="3">
        <v>43455</v>
      </c>
      <c r="AB74" s="6"/>
      <c r="AC74" s="1"/>
      <c r="AD74" s="4"/>
      <c r="AE74" s="2">
        <v>26212</v>
      </c>
      <c r="AF74" s="3" t="s">
        <v>642</v>
      </c>
      <c r="AG74" s="7">
        <v>1392</v>
      </c>
      <c r="AH74" s="7">
        <v>1312</v>
      </c>
      <c r="AI74" s="7">
        <v>1130</v>
      </c>
      <c r="AJ74" s="7">
        <v>3834</v>
      </c>
      <c r="AK74" s="7">
        <v>2</v>
      </c>
      <c r="AL74" s="25" t="s">
        <v>57</v>
      </c>
      <c r="AM74" s="25" t="s">
        <v>58</v>
      </c>
      <c r="AN74" s="25" t="s">
        <v>59</v>
      </c>
      <c r="AO74" s="25" t="s">
        <v>95</v>
      </c>
      <c r="AP74" s="19" t="s">
        <v>1862</v>
      </c>
      <c r="AQ74" s="19" t="s">
        <v>1869</v>
      </c>
      <c r="AR74" s="19" t="s">
        <v>3417</v>
      </c>
      <c r="AS74" s="19"/>
      <c r="AT74" s="19" t="s">
        <v>2284</v>
      </c>
      <c r="AU74" s="19" t="s">
        <v>2091</v>
      </c>
      <c r="AV74" s="19">
        <v>9354241930</v>
      </c>
      <c r="AW74" s="20">
        <v>46122</v>
      </c>
      <c r="AX74" s="19" t="s">
        <v>1990</v>
      </c>
      <c r="AY74" s="27" t="s">
        <v>105</v>
      </c>
      <c r="AZ74" s="27" t="s">
        <v>104</v>
      </c>
      <c r="BA74" s="19" t="s">
        <v>2385</v>
      </c>
      <c r="BB74" s="19" t="s">
        <v>2711</v>
      </c>
      <c r="BC74" s="19" t="s">
        <v>2503</v>
      </c>
      <c r="BD74" s="75" t="s">
        <v>1941</v>
      </c>
      <c r="BE74" s="100" t="s">
        <v>3793</v>
      </c>
      <c r="BF74" s="100" t="s">
        <v>4081</v>
      </c>
      <c r="BG74" s="100"/>
    </row>
    <row r="75" spans="1:59" s="10" customFormat="1" ht="13.5" x14ac:dyDescent="0.25">
      <c r="A75" s="59">
        <v>87</v>
      </c>
      <c r="B75" s="15" t="s">
        <v>676</v>
      </c>
      <c r="C75" s="12">
        <v>53909</v>
      </c>
      <c r="D75" s="11" t="s">
        <v>40</v>
      </c>
      <c r="E75" s="11" t="s">
        <v>61</v>
      </c>
      <c r="F75" s="11" t="s">
        <v>62</v>
      </c>
      <c r="G75" s="13" t="s">
        <v>43</v>
      </c>
      <c r="H75" s="11" t="s">
        <v>1701</v>
      </c>
      <c r="I75" s="3" t="s">
        <v>1631</v>
      </c>
      <c r="J75" s="3" t="s">
        <v>1631</v>
      </c>
      <c r="K75" s="11" t="s">
        <v>1780</v>
      </c>
      <c r="L75" s="4" t="s">
        <v>678</v>
      </c>
      <c r="M75" s="4" t="s">
        <v>678</v>
      </c>
      <c r="N75" s="4" t="s">
        <v>678</v>
      </c>
      <c r="O75" s="26" t="s">
        <v>679</v>
      </c>
      <c r="P75" s="5" t="s">
        <v>60</v>
      </c>
      <c r="Q75" s="1" t="s">
        <v>680</v>
      </c>
      <c r="R75" s="1"/>
      <c r="S75" s="1" t="s">
        <v>681</v>
      </c>
      <c r="T75" s="1"/>
      <c r="U75" s="1"/>
      <c r="V75" s="1" t="s">
        <v>224</v>
      </c>
      <c r="W75" s="1"/>
      <c r="X75" s="1" t="s">
        <v>55</v>
      </c>
      <c r="Y75" s="1" t="s">
        <v>56</v>
      </c>
      <c r="Z75" s="3">
        <v>44905</v>
      </c>
      <c r="AA75" s="3">
        <v>44904</v>
      </c>
      <c r="AB75" s="6"/>
      <c r="AC75" s="1"/>
      <c r="AD75" s="4"/>
      <c r="AE75" s="2">
        <v>53909</v>
      </c>
      <c r="AF75" s="3" t="s">
        <v>677</v>
      </c>
      <c r="AG75" s="7">
        <v>273</v>
      </c>
      <c r="AH75" s="7">
        <v>238</v>
      </c>
      <c r="AI75" s="7">
        <v>196</v>
      </c>
      <c r="AJ75" s="7">
        <v>707</v>
      </c>
      <c r="AK75" s="7"/>
      <c r="AL75" s="25" t="s">
        <v>57</v>
      </c>
      <c r="AM75" s="25" t="s">
        <v>58</v>
      </c>
      <c r="AN75" s="25" t="s">
        <v>59</v>
      </c>
      <c r="AO75" s="25" t="s">
        <v>143</v>
      </c>
      <c r="AP75" s="19" t="s">
        <v>1780</v>
      </c>
      <c r="AQ75" s="19" t="s">
        <v>1869</v>
      </c>
      <c r="AR75" s="19" t="s">
        <v>3415</v>
      </c>
      <c r="AS75" s="19"/>
      <c r="AT75" s="19" t="s">
        <v>2039</v>
      </c>
      <c r="AU75" s="19" t="s">
        <v>1994</v>
      </c>
      <c r="AV75" s="19">
        <v>9810670823</v>
      </c>
      <c r="AW75" s="20">
        <v>46127</v>
      </c>
      <c r="AX75" s="19" t="s">
        <v>1990</v>
      </c>
      <c r="AY75" s="27" t="s">
        <v>62</v>
      </c>
      <c r="AZ75" s="27" t="s">
        <v>61</v>
      </c>
      <c r="BA75" s="19" t="s">
        <v>2439</v>
      </c>
      <c r="BB75" s="19" t="s">
        <v>2440</v>
      </c>
      <c r="BC75" s="19" t="s">
        <v>143</v>
      </c>
      <c r="BD75" s="75" t="s">
        <v>1701</v>
      </c>
      <c r="BE75" s="100" t="s">
        <v>3775</v>
      </c>
      <c r="BF75" s="100" t="s">
        <v>4082</v>
      </c>
      <c r="BG75" s="100"/>
    </row>
    <row r="76" spans="1:59" s="10" customFormat="1" ht="13.5" x14ac:dyDescent="0.25">
      <c r="A76" s="59">
        <v>154</v>
      </c>
      <c r="B76" s="15" t="s">
        <v>184</v>
      </c>
      <c r="C76" s="12">
        <v>24908</v>
      </c>
      <c r="D76" s="11" t="s">
        <v>40</v>
      </c>
      <c r="E76" s="11" t="s">
        <v>96</v>
      </c>
      <c r="F76" s="11" t="s">
        <v>1595</v>
      </c>
      <c r="G76" s="13" t="s">
        <v>185</v>
      </c>
      <c r="H76" s="11" t="s">
        <v>186</v>
      </c>
      <c r="I76" s="3" t="s">
        <v>187</v>
      </c>
      <c r="J76" s="3" t="s">
        <v>187</v>
      </c>
      <c r="K76" s="11" t="s">
        <v>188</v>
      </c>
      <c r="L76" s="4" t="s">
        <v>189</v>
      </c>
      <c r="M76" s="4" t="s">
        <v>190</v>
      </c>
      <c r="N76" s="4" t="s">
        <v>191</v>
      </c>
      <c r="O76" s="26" t="s">
        <v>192</v>
      </c>
      <c r="P76" s="5" t="s">
        <v>193</v>
      </c>
      <c r="Q76" s="1" t="s">
        <v>194</v>
      </c>
      <c r="R76" s="1"/>
      <c r="S76" s="1" t="s">
        <v>195</v>
      </c>
      <c r="T76" s="1"/>
      <c r="U76" s="1" t="s">
        <v>196</v>
      </c>
      <c r="V76" s="1" t="s">
        <v>93</v>
      </c>
      <c r="W76" s="1" t="s">
        <v>94</v>
      </c>
      <c r="X76" s="1" t="s">
        <v>197</v>
      </c>
      <c r="Y76" s="1" t="s">
        <v>56</v>
      </c>
      <c r="Z76" s="3">
        <v>42782</v>
      </c>
      <c r="AA76" s="3">
        <v>42762</v>
      </c>
      <c r="AB76" s="6"/>
      <c r="AC76" s="1"/>
      <c r="AD76" s="4"/>
      <c r="AE76" s="2">
        <v>24908</v>
      </c>
      <c r="AF76" s="3" t="s">
        <v>186</v>
      </c>
      <c r="AG76" s="7">
        <v>876</v>
      </c>
      <c r="AH76" s="7">
        <v>802</v>
      </c>
      <c r="AI76" s="7">
        <v>740</v>
      </c>
      <c r="AJ76" s="7">
        <v>2418</v>
      </c>
      <c r="AK76" s="7">
        <v>13</v>
      </c>
      <c r="AL76" s="25" t="s">
        <v>57</v>
      </c>
      <c r="AM76" s="25" t="s">
        <v>58</v>
      </c>
      <c r="AN76" s="25" t="s">
        <v>59</v>
      </c>
      <c r="AO76" s="25" t="s">
        <v>60</v>
      </c>
      <c r="AP76" s="19" t="s">
        <v>188</v>
      </c>
      <c r="AQ76" s="19" t="s">
        <v>1869</v>
      </c>
      <c r="AR76" s="19" t="s">
        <v>60</v>
      </c>
      <c r="AS76" s="19"/>
      <c r="AT76" s="19" t="s">
        <v>2001</v>
      </c>
      <c r="AU76" s="19" t="s">
        <v>2093</v>
      </c>
      <c r="AV76" s="19">
        <v>9990034588</v>
      </c>
      <c r="AW76" s="20">
        <v>46130</v>
      </c>
      <c r="AX76" s="19" t="s">
        <v>1990</v>
      </c>
      <c r="AY76" s="27" t="s">
        <v>1595</v>
      </c>
      <c r="AZ76" s="27" t="s">
        <v>96</v>
      </c>
      <c r="BA76" s="19" t="s">
        <v>2699</v>
      </c>
      <c r="BB76" s="19" t="s">
        <v>2721</v>
      </c>
      <c r="BC76" s="19" t="s">
        <v>2788</v>
      </c>
      <c r="BD76" s="75" t="s">
        <v>186</v>
      </c>
      <c r="BE76" s="100" t="s">
        <v>3833</v>
      </c>
      <c r="BF76" s="100" t="s">
        <v>4061</v>
      </c>
      <c r="BG76" s="100" t="s">
        <v>4062</v>
      </c>
    </row>
    <row r="77" spans="1:59" s="10" customFormat="1" ht="13.5" x14ac:dyDescent="0.25">
      <c r="A77" s="59">
        <v>116</v>
      </c>
      <c r="B77" s="15" t="s">
        <v>485</v>
      </c>
      <c r="C77" s="12">
        <v>26478</v>
      </c>
      <c r="D77" s="11" t="s">
        <v>40</v>
      </c>
      <c r="E77" s="11" t="s">
        <v>129</v>
      </c>
      <c r="F77" s="11" t="s">
        <v>129</v>
      </c>
      <c r="G77" s="13" t="s">
        <v>352</v>
      </c>
      <c r="H77" s="11" t="s">
        <v>1696</v>
      </c>
      <c r="I77" s="3" t="s">
        <v>487</v>
      </c>
      <c r="J77" s="3" t="s">
        <v>488</v>
      </c>
      <c r="K77" s="11" t="s">
        <v>1767</v>
      </c>
      <c r="L77" s="4" t="s">
        <v>489</v>
      </c>
      <c r="M77" s="4" t="s">
        <v>490</v>
      </c>
      <c r="N77" s="4" t="s">
        <v>491</v>
      </c>
      <c r="O77" s="26" t="s">
        <v>492</v>
      </c>
      <c r="P77" s="5" t="s">
        <v>60</v>
      </c>
      <c r="Q77" s="1" t="s">
        <v>493</v>
      </c>
      <c r="R77" s="1"/>
      <c r="S77" s="1" t="s">
        <v>494</v>
      </c>
      <c r="T77" s="1"/>
      <c r="U77" s="1"/>
      <c r="V77" s="1"/>
      <c r="W77" s="1"/>
      <c r="X77" s="1" t="s">
        <v>310</v>
      </c>
      <c r="Y77" s="1" t="s">
        <v>56</v>
      </c>
      <c r="Z77" s="3">
        <v>44033</v>
      </c>
      <c r="AA77" s="3">
        <v>44022</v>
      </c>
      <c r="AB77" s="6"/>
      <c r="AC77" s="1"/>
      <c r="AD77" s="4" t="s">
        <v>495</v>
      </c>
      <c r="AE77" s="2">
        <v>26478</v>
      </c>
      <c r="AF77" s="3" t="s">
        <v>486</v>
      </c>
      <c r="AG77" s="7">
        <v>838</v>
      </c>
      <c r="AH77" s="7">
        <v>811</v>
      </c>
      <c r="AI77" s="7">
        <v>770</v>
      </c>
      <c r="AJ77" s="7">
        <v>2419</v>
      </c>
      <c r="AK77" s="7"/>
      <c r="AL77" s="25" t="s">
        <v>78</v>
      </c>
      <c r="AM77" s="25" t="s">
        <v>58</v>
      </c>
      <c r="AN77" s="25" t="s">
        <v>59</v>
      </c>
      <c r="AO77" s="25" t="s">
        <v>300</v>
      </c>
      <c r="AP77" s="19" t="s">
        <v>1767</v>
      </c>
      <c r="AQ77" s="19" t="s">
        <v>1869</v>
      </c>
      <c r="AR77" s="19" t="s">
        <v>60</v>
      </c>
      <c r="AS77" s="19"/>
      <c r="AT77" s="19" t="s">
        <v>2022</v>
      </c>
      <c r="AU77" s="19" t="s">
        <v>2090</v>
      </c>
      <c r="AV77" s="19">
        <v>9354183359</v>
      </c>
      <c r="AW77" s="20">
        <v>45763</v>
      </c>
      <c r="AX77" s="19" t="s">
        <v>1990</v>
      </c>
      <c r="AY77" s="27" t="s">
        <v>129</v>
      </c>
      <c r="AZ77" s="27" t="s">
        <v>129</v>
      </c>
      <c r="BA77" s="19" t="s">
        <v>2472</v>
      </c>
      <c r="BB77" s="19" t="s">
        <v>2473</v>
      </c>
      <c r="BC77" s="19" t="s">
        <v>2808</v>
      </c>
      <c r="BD77" s="75" t="s">
        <v>1696</v>
      </c>
      <c r="BE77" s="100" t="s">
        <v>3803</v>
      </c>
      <c r="BF77" s="100" t="s">
        <v>4085</v>
      </c>
      <c r="BG77" s="100"/>
    </row>
    <row r="78" spans="1:59" s="10" customFormat="1" ht="13.5" x14ac:dyDescent="0.25">
      <c r="A78" s="59">
        <v>128</v>
      </c>
      <c r="B78" s="15" t="s">
        <v>464</v>
      </c>
      <c r="C78" s="12">
        <v>26177</v>
      </c>
      <c r="D78" s="11" t="s">
        <v>103</v>
      </c>
      <c r="E78" s="11" t="s">
        <v>465</v>
      </c>
      <c r="F78" s="11" t="s">
        <v>466</v>
      </c>
      <c r="G78" s="13" t="s">
        <v>352</v>
      </c>
      <c r="H78" s="11" t="s">
        <v>467</v>
      </c>
      <c r="I78" s="3" t="s">
        <v>468</v>
      </c>
      <c r="J78" s="3" t="s">
        <v>469</v>
      </c>
      <c r="K78" s="11" t="s">
        <v>1766</v>
      </c>
      <c r="L78" s="4" t="s">
        <v>470</v>
      </c>
      <c r="M78" s="4">
        <v>9.7112139931149297E+89</v>
      </c>
      <c r="N78" s="4" t="s">
        <v>471</v>
      </c>
      <c r="O78" s="26" t="s">
        <v>472</v>
      </c>
      <c r="P78" s="5" t="s">
        <v>60</v>
      </c>
      <c r="Q78" s="1" t="s">
        <v>473</v>
      </c>
      <c r="R78" s="1"/>
      <c r="S78" s="1" t="s">
        <v>474</v>
      </c>
      <c r="T78" s="1"/>
      <c r="U78" s="1"/>
      <c r="V78" s="1"/>
      <c r="W78" s="1"/>
      <c r="X78" s="1" t="s">
        <v>55</v>
      </c>
      <c r="Y78" s="1" t="s">
        <v>56</v>
      </c>
      <c r="Z78" s="3">
        <v>44025</v>
      </c>
      <c r="AA78" s="3">
        <v>44025</v>
      </c>
      <c r="AB78" s="6"/>
      <c r="AC78" s="1"/>
      <c r="AD78" s="4"/>
      <c r="AE78" s="2">
        <v>26177</v>
      </c>
      <c r="AF78" s="3" t="s">
        <v>467</v>
      </c>
      <c r="AG78" s="7">
        <v>187</v>
      </c>
      <c r="AH78" s="7">
        <v>398</v>
      </c>
      <c r="AI78" s="7">
        <v>395</v>
      </c>
      <c r="AJ78" s="7">
        <v>980</v>
      </c>
      <c r="AK78" s="7"/>
      <c r="AL78" s="25" t="s">
        <v>78</v>
      </c>
      <c r="AM78" s="25" t="s">
        <v>58</v>
      </c>
      <c r="AN78" s="25" t="s">
        <v>59</v>
      </c>
      <c r="AO78" s="25" t="s">
        <v>95</v>
      </c>
      <c r="AP78" s="19" t="s">
        <v>1766</v>
      </c>
      <c r="AQ78" s="19" t="s">
        <v>1869</v>
      </c>
      <c r="AR78" s="19" t="s">
        <v>60</v>
      </c>
      <c r="AS78" s="19"/>
      <c r="AT78" s="19" t="s">
        <v>2021</v>
      </c>
      <c r="AU78" s="19" t="s">
        <v>2091</v>
      </c>
      <c r="AV78" s="19">
        <v>9354241930</v>
      </c>
      <c r="AW78" s="20">
        <v>46130</v>
      </c>
      <c r="AX78" s="19" t="s">
        <v>1990</v>
      </c>
      <c r="AY78" s="27" t="s">
        <v>466</v>
      </c>
      <c r="AZ78" s="27" t="s">
        <v>465</v>
      </c>
      <c r="BA78" s="19" t="s">
        <v>2487</v>
      </c>
      <c r="BB78" s="19" t="s">
        <v>2718</v>
      </c>
      <c r="BC78" s="19" t="s">
        <v>95</v>
      </c>
      <c r="BD78" s="75" t="s">
        <v>467</v>
      </c>
      <c r="BE78" s="100" t="s">
        <v>3812</v>
      </c>
      <c r="BF78" s="100" t="s">
        <v>4086</v>
      </c>
      <c r="BG78" s="100"/>
    </row>
    <row r="79" spans="1:59" s="10" customFormat="1" ht="13.5" x14ac:dyDescent="0.25">
      <c r="A79" s="59">
        <v>9</v>
      </c>
      <c r="B79" s="15" t="s">
        <v>438</v>
      </c>
      <c r="C79" s="12">
        <v>26489</v>
      </c>
      <c r="D79" s="11" t="s">
        <v>103</v>
      </c>
      <c r="E79" s="11" t="s">
        <v>1621</v>
      </c>
      <c r="F79" s="11" t="s">
        <v>342</v>
      </c>
      <c r="G79" s="13" t="s">
        <v>43</v>
      </c>
      <c r="H79" s="11" t="s">
        <v>439</v>
      </c>
      <c r="I79" s="3" t="s">
        <v>440</v>
      </c>
      <c r="J79" s="3" t="s">
        <v>441</v>
      </c>
      <c r="K79" s="11" t="s">
        <v>1765</v>
      </c>
      <c r="L79" s="4" t="s">
        <v>442</v>
      </c>
      <c r="M79" s="4" t="s">
        <v>443</v>
      </c>
      <c r="N79" s="4" t="s">
        <v>444</v>
      </c>
      <c r="O79" s="26" t="s">
        <v>445</v>
      </c>
      <c r="P79" s="5" t="s">
        <v>60</v>
      </c>
      <c r="Q79" s="1" t="s">
        <v>446</v>
      </c>
      <c r="R79" s="1"/>
      <c r="S79" s="1" t="s">
        <v>447</v>
      </c>
      <c r="T79" s="1"/>
      <c r="U79" s="1"/>
      <c r="V79" s="1" t="s">
        <v>448</v>
      </c>
      <c r="W79" s="1"/>
      <c r="X79" s="1" t="s">
        <v>55</v>
      </c>
      <c r="Y79" s="1" t="s">
        <v>56</v>
      </c>
      <c r="Z79" s="3">
        <v>43829</v>
      </c>
      <c r="AA79" s="3">
        <v>43829</v>
      </c>
      <c r="AB79" s="6"/>
      <c r="AC79" s="1"/>
      <c r="AD79" s="4" t="s">
        <v>449</v>
      </c>
      <c r="AE79" s="2">
        <v>26489</v>
      </c>
      <c r="AF79" s="3" t="s">
        <v>439</v>
      </c>
      <c r="AG79" s="7">
        <v>1155</v>
      </c>
      <c r="AH79" s="7">
        <v>1095</v>
      </c>
      <c r="AI79" s="7">
        <v>1128</v>
      </c>
      <c r="AJ79" s="7">
        <v>3378</v>
      </c>
      <c r="AK79" s="7">
        <v>6</v>
      </c>
      <c r="AL79" s="25" t="s">
        <v>57</v>
      </c>
      <c r="AM79" s="25" t="s">
        <v>58</v>
      </c>
      <c r="AN79" s="25" t="s">
        <v>59</v>
      </c>
      <c r="AO79" s="25" t="s">
        <v>450</v>
      </c>
      <c r="AP79" s="19" t="s">
        <v>1765</v>
      </c>
      <c r="AQ79" s="19" t="s">
        <v>1869</v>
      </c>
      <c r="AR79" s="19" t="s">
        <v>60</v>
      </c>
      <c r="AS79" s="19"/>
      <c r="AT79" s="19" t="s">
        <v>2019</v>
      </c>
      <c r="AU79" s="19" t="s">
        <v>2098</v>
      </c>
      <c r="AV79" s="19">
        <v>7460008081</v>
      </c>
      <c r="AW79" s="20">
        <v>46126</v>
      </c>
      <c r="AX79" s="19" t="s">
        <v>1990</v>
      </c>
      <c r="AY79" s="27" t="s">
        <v>342</v>
      </c>
      <c r="AZ79" s="27" t="s">
        <v>1621</v>
      </c>
      <c r="BA79" s="19" t="s">
        <v>2742</v>
      </c>
      <c r="BB79" s="19" t="s">
        <v>2743</v>
      </c>
      <c r="BC79" s="19" t="s">
        <v>2744</v>
      </c>
      <c r="BD79" s="75" t="s">
        <v>439</v>
      </c>
      <c r="BE79" s="100" t="s">
        <v>3708</v>
      </c>
      <c r="BF79" s="100" t="s">
        <v>4063</v>
      </c>
      <c r="BG79" s="100" t="s">
        <v>4064</v>
      </c>
    </row>
    <row r="80" spans="1:59" s="10" customFormat="1" ht="13.5" x14ac:dyDescent="0.25">
      <c r="A80" s="59">
        <v>41</v>
      </c>
      <c r="B80" s="15" t="s">
        <v>60</v>
      </c>
      <c r="C80" s="12">
        <v>351020</v>
      </c>
      <c r="D80" s="11" t="s">
        <v>103</v>
      </c>
      <c r="E80" s="11" t="s">
        <v>237</v>
      </c>
      <c r="F80" s="11" t="s">
        <v>238</v>
      </c>
      <c r="G80" s="13" t="s">
        <v>43</v>
      </c>
      <c r="H80" s="11" t="s">
        <v>1744</v>
      </c>
      <c r="I80" s="3" t="s">
        <v>1195</v>
      </c>
      <c r="J80" s="3" t="s">
        <v>1195</v>
      </c>
      <c r="K80" s="11" t="s">
        <v>1829</v>
      </c>
      <c r="L80" s="4">
        <v>9861023511</v>
      </c>
      <c r="M80" s="4">
        <v>9861023511</v>
      </c>
      <c r="N80" s="4">
        <v>9861023511</v>
      </c>
      <c r="O80" s="26" t="s">
        <v>1196</v>
      </c>
      <c r="P80" s="5" t="s">
        <v>60</v>
      </c>
      <c r="Q80" s="1" t="s">
        <v>1197</v>
      </c>
      <c r="R80" s="1"/>
      <c r="S80" s="1" t="s">
        <v>1198</v>
      </c>
      <c r="T80" s="1"/>
      <c r="U80" s="1"/>
      <c r="V80" s="1"/>
      <c r="W80" s="1"/>
      <c r="X80" s="1" t="s">
        <v>55</v>
      </c>
      <c r="Y80" s="1" t="s">
        <v>56</v>
      </c>
      <c r="Z80" s="3">
        <v>45867</v>
      </c>
      <c r="AA80" s="3">
        <v>45866</v>
      </c>
      <c r="AB80" s="6"/>
      <c r="AC80" s="1"/>
      <c r="AD80" s="4"/>
      <c r="AE80" s="2">
        <v>351020</v>
      </c>
      <c r="AF80" s="3" t="s">
        <v>1194</v>
      </c>
      <c r="AG80" s="7">
        <v>490</v>
      </c>
      <c r="AH80" s="7">
        <v>564</v>
      </c>
      <c r="AI80" s="7">
        <v>596</v>
      </c>
      <c r="AJ80" s="7">
        <v>1650</v>
      </c>
      <c r="AK80" s="7"/>
      <c r="AL80" s="25" t="s">
        <v>78</v>
      </c>
      <c r="AM80" s="25" t="s">
        <v>58</v>
      </c>
      <c r="AN80" s="25" t="s">
        <v>59</v>
      </c>
      <c r="AO80" s="25" t="s">
        <v>95</v>
      </c>
      <c r="AP80" s="19" t="s">
        <v>1829</v>
      </c>
      <c r="AQ80" s="19" t="s">
        <v>1869</v>
      </c>
      <c r="AR80" s="19" t="s">
        <v>60</v>
      </c>
      <c r="AS80" s="19"/>
      <c r="AT80" s="19" t="s">
        <v>2314</v>
      </c>
      <c r="AU80" s="19" t="s">
        <v>2091</v>
      </c>
      <c r="AV80" s="19">
        <v>9354241930</v>
      </c>
      <c r="AW80" s="20">
        <v>46125</v>
      </c>
      <c r="AX80" s="19" t="s">
        <v>1990</v>
      </c>
      <c r="AY80" s="27" t="s">
        <v>238</v>
      </c>
      <c r="AZ80" s="27" t="s">
        <v>237</v>
      </c>
      <c r="BA80" s="19" t="s">
        <v>2395</v>
      </c>
      <c r="BB80" s="19" t="s">
        <v>2396</v>
      </c>
      <c r="BC80" s="19" t="s">
        <v>95</v>
      </c>
      <c r="BD80" s="75" t="s">
        <v>1744</v>
      </c>
      <c r="BE80" s="100" t="s">
        <v>3735</v>
      </c>
      <c r="BF80" s="100" t="s">
        <v>4089</v>
      </c>
      <c r="BG80" s="100"/>
    </row>
    <row r="81" spans="1:59" s="10" customFormat="1" ht="13.5" x14ac:dyDescent="0.25">
      <c r="A81" s="59">
        <v>65</v>
      </c>
      <c r="B81" s="15" t="s">
        <v>198</v>
      </c>
      <c r="C81" s="12">
        <v>25659</v>
      </c>
      <c r="D81" s="11" t="s">
        <v>40</v>
      </c>
      <c r="E81" s="11" t="s">
        <v>199</v>
      </c>
      <c r="F81" s="11" t="s">
        <v>200</v>
      </c>
      <c r="G81" s="13" t="s">
        <v>43</v>
      </c>
      <c r="H81" s="11" t="s">
        <v>201</v>
      </c>
      <c r="I81" s="3" t="s">
        <v>202</v>
      </c>
      <c r="J81" s="3" t="s">
        <v>202</v>
      </c>
      <c r="K81" s="11" t="s">
        <v>203</v>
      </c>
      <c r="L81" s="4" t="s">
        <v>204</v>
      </c>
      <c r="M81" s="4" t="s">
        <v>205</v>
      </c>
      <c r="N81" s="4" t="s">
        <v>206</v>
      </c>
      <c r="O81" s="26" t="s">
        <v>207</v>
      </c>
      <c r="P81" s="5" t="s">
        <v>60</v>
      </c>
      <c r="Q81" s="1" t="s">
        <v>208</v>
      </c>
      <c r="R81" s="1" t="s">
        <v>209</v>
      </c>
      <c r="S81" s="1" t="s">
        <v>210</v>
      </c>
      <c r="T81" s="1"/>
      <c r="U81" s="1" t="s">
        <v>211</v>
      </c>
      <c r="V81" s="1" t="s">
        <v>93</v>
      </c>
      <c r="W81" s="1" t="s">
        <v>94</v>
      </c>
      <c r="X81" s="1" t="s">
        <v>55</v>
      </c>
      <c r="Y81" s="1" t="s">
        <v>56</v>
      </c>
      <c r="Z81" s="3">
        <v>42877</v>
      </c>
      <c r="AA81" s="3">
        <v>42875</v>
      </c>
      <c r="AB81" s="6"/>
      <c r="AC81" s="1"/>
      <c r="AD81" s="4" t="s">
        <v>212</v>
      </c>
      <c r="AE81" s="2">
        <v>25659</v>
      </c>
      <c r="AF81" s="3" t="s">
        <v>201</v>
      </c>
      <c r="AG81" s="7">
        <v>315</v>
      </c>
      <c r="AH81" s="7">
        <v>328</v>
      </c>
      <c r="AI81" s="7">
        <v>334</v>
      </c>
      <c r="AJ81" s="7">
        <v>977</v>
      </c>
      <c r="AK81" s="7"/>
      <c r="AL81" s="25" t="s">
        <v>78</v>
      </c>
      <c r="AM81" s="25" t="s">
        <v>58</v>
      </c>
      <c r="AN81" s="25" t="s">
        <v>59</v>
      </c>
      <c r="AO81" s="25" t="s">
        <v>60</v>
      </c>
      <c r="AP81" s="19" t="s">
        <v>203</v>
      </c>
      <c r="AQ81" s="19" t="s">
        <v>1869</v>
      </c>
      <c r="AR81" s="19" t="s">
        <v>60</v>
      </c>
      <c r="AS81" s="19"/>
      <c r="AT81" s="19" t="s">
        <v>2272</v>
      </c>
      <c r="AU81" s="19" t="s">
        <v>2096</v>
      </c>
      <c r="AV81" s="19">
        <v>7688959606</v>
      </c>
      <c r="AW81" s="20">
        <v>46119</v>
      </c>
      <c r="AX81" s="19" t="s">
        <v>1990</v>
      </c>
      <c r="AY81" s="27" t="s">
        <v>200</v>
      </c>
      <c r="AZ81" s="27" t="s">
        <v>199</v>
      </c>
      <c r="BA81" s="19" t="s">
        <v>2422</v>
      </c>
      <c r="BB81" s="19" t="s">
        <v>2423</v>
      </c>
      <c r="BC81" s="19" t="s">
        <v>579</v>
      </c>
      <c r="BD81" s="75" t="s">
        <v>201</v>
      </c>
      <c r="BE81" s="100" t="s">
        <v>3754</v>
      </c>
      <c r="BF81" s="100" t="s">
        <v>4090</v>
      </c>
      <c r="BG81" s="100"/>
    </row>
    <row r="82" spans="1:59" s="10" customFormat="1" ht="13.5" x14ac:dyDescent="0.25">
      <c r="A82" s="59">
        <v>15</v>
      </c>
      <c r="B82" s="15" t="s">
        <v>128</v>
      </c>
      <c r="C82" s="12">
        <v>26166</v>
      </c>
      <c r="D82" s="11" t="s">
        <v>40</v>
      </c>
      <c r="E82" s="11" t="s">
        <v>129</v>
      </c>
      <c r="F82" s="11" t="s">
        <v>129</v>
      </c>
      <c r="G82" s="13" t="s">
        <v>43</v>
      </c>
      <c r="H82" s="11" t="s">
        <v>130</v>
      </c>
      <c r="I82" s="3" t="s">
        <v>131</v>
      </c>
      <c r="J82" s="3" t="s">
        <v>131</v>
      </c>
      <c r="K82" s="11" t="s">
        <v>132</v>
      </c>
      <c r="L82" s="4" t="s">
        <v>133</v>
      </c>
      <c r="M82" s="4" t="s">
        <v>134</v>
      </c>
      <c r="N82" s="4" t="s">
        <v>135</v>
      </c>
      <c r="O82" s="26" t="s">
        <v>136</v>
      </c>
      <c r="P82" s="5" t="s">
        <v>136</v>
      </c>
      <c r="Q82" s="1" t="s">
        <v>137</v>
      </c>
      <c r="R82" s="1" t="s">
        <v>138</v>
      </c>
      <c r="S82" s="1" t="s">
        <v>139</v>
      </c>
      <c r="T82" s="1"/>
      <c r="U82" s="1" t="s">
        <v>140</v>
      </c>
      <c r="V82" s="1" t="s">
        <v>141</v>
      </c>
      <c r="W82" s="1" t="s">
        <v>94</v>
      </c>
      <c r="X82" s="1" t="s">
        <v>55</v>
      </c>
      <c r="Y82" s="1" t="s">
        <v>56</v>
      </c>
      <c r="Z82" s="3">
        <v>42619</v>
      </c>
      <c r="AA82" s="3">
        <v>42608</v>
      </c>
      <c r="AB82" s="6"/>
      <c r="AC82" s="1"/>
      <c r="AD82" s="4" t="s">
        <v>142</v>
      </c>
      <c r="AE82" s="2">
        <v>26166</v>
      </c>
      <c r="AF82" s="3" t="s">
        <v>130</v>
      </c>
      <c r="AG82" s="7">
        <v>1760</v>
      </c>
      <c r="AH82" s="7">
        <v>1707</v>
      </c>
      <c r="AI82" s="7">
        <v>1552</v>
      </c>
      <c r="AJ82" s="7">
        <v>5019</v>
      </c>
      <c r="AK82" s="7"/>
      <c r="AL82" s="25" t="s">
        <v>78</v>
      </c>
      <c r="AM82" s="25" t="s">
        <v>58</v>
      </c>
      <c r="AN82" s="25" t="s">
        <v>59</v>
      </c>
      <c r="AO82" s="25" t="s">
        <v>143</v>
      </c>
      <c r="AP82" s="19" t="s">
        <v>132</v>
      </c>
      <c r="AQ82" s="19" t="s">
        <v>1869</v>
      </c>
      <c r="AR82" s="19" t="s">
        <v>60</v>
      </c>
      <c r="AS82" s="19"/>
      <c r="AT82" s="19" t="s">
        <v>1998</v>
      </c>
      <c r="AU82" s="19" t="s">
        <v>1994</v>
      </c>
      <c r="AV82" s="19">
        <v>9810670823</v>
      </c>
      <c r="AW82" s="20">
        <v>46134</v>
      </c>
      <c r="AX82" s="19" t="s">
        <v>1990</v>
      </c>
      <c r="AY82" s="27" t="s">
        <v>129</v>
      </c>
      <c r="AZ82" s="27" t="s">
        <v>129</v>
      </c>
      <c r="BA82" s="19" t="s">
        <v>2748</v>
      </c>
      <c r="BB82" s="19" t="s">
        <v>2749</v>
      </c>
      <c r="BC82" s="19" t="s">
        <v>2564</v>
      </c>
      <c r="BD82" s="75" t="s">
        <v>130</v>
      </c>
      <c r="BE82" s="100" t="s">
        <v>3714</v>
      </c>
      <c r="BF82" s="100" t="s">
        <v>4091</v>
      </c>
      <c r="BG82" s="100"/>
    </row>
    <row r="83" spans="1:59" s="10" customFormat="1" ht="13.5" x14ac:dyDescent="0.25">
      <c r="A83" s="59">
        <v>105</v>
      </c>
      <c r="B83" s="15" t="s">
        <v>1843</v>
      </c>
      <c r="C83" s="12">
        <v>303020</v>
      </c>
      <c r="D83" s="11" t="s">
        <v>103</v>
      </c>
      <c r="E83" s="11" t="s">
        <v>104</v>
      </c>
      <c r="F83" s="11" t="s">
        <v>105</v>
      </c>
      <c r="G83" s="13" t="s">
        <v>43</v>
      </c>
      <c r="H83" s="11" t="s">
        <v>1697</v>
      </c>
      <c r="I83" s="3" t="s">
        <v>1628</v>
      </c>
      <c r="J83" s="3" t="s">
        <v>1628</v>
      </c>
      <c r="K83" s="11" t="s">
        <v>1775</v>
      </c>
      <c r="L83" s="4">
        <v>6296905422</v>
      </c>
      <c r="M83" s="4">
        <v>6296905422</v>
      </c>
      <c r="N83" s="4">
        <v>6296905422</v>
      </c>
      <c r="O83" s="26" t="s">
        <v>583</v>
      </c>
      <c r="P83" s="5" t="s">
        <v>584</v>
      </c>
      <c r="Q83" s="1" t="s">
        <v>585</v>
      </c>
      <c r="R83" s="1"/>
      <c r="S83" s="1" t="s">
        <v>586</v>
      </c>
      <c r="T83" s="1"/>
      <c r="U83" s="1"/>
      <c r="V83" s="1" t="s">
        <v>93</v>
      </c>
      <c r="W83" s="1"/>
      <c r="X83" s="1" t="s">
        <v>197</v>
      </c>
      <c r="Y83" s="1" t="s">
        <v>56</v>
      </c>
      <c r="Z83" s="3">
        <v>45622</v>
      </c>
      <c r="AA83" s="3">
        <v>45622</v>
      </c>
      <c r="AB83" s="6"/>
      <c r="AC83" s="1"/>
      <c r="AD83" s="4" t="s">
        <v>587</v>
      </c>
      <c r="AE83" s="2">
        <v>303020</v>
      </c>
      <c r="AF83" s="3" t="s">
        <v>582</v>
      </c>
      <c r="AG83" s="7">
        <v>389</v>
      </c>
      <c r="AH83" s="7">
        <v>286</v>
      </c>
      <c r="AI83" s="7">
        <v>385</v>
      </c>
      <c r="AJ83" s="7">
        <v>1060</v>
      </c>
      <c r="AK83" s="7"/>
      <c r="AL83" s="25" t="s">
        <v>57</v>
      </c>
      <c r="AM83" s="25" t="s">
        <v>58</v>
      </c>
      <c r="AN83" s="25" t="s">
        <v>59</v>
      </c>
      <c r="AO83" s="25" t="s">
        <v>322</v>
      </c>
      <c r="AP83" s="19" t="s">
        <v>1879</v>
      </c>
      <c r="AQ83" s="19" t="s">
        <v>1869</v>
      </c>
      <c r="AR83" s="19" t="s">
        <v>60</v>
      </c>
      <c r="AS83" s="19"/>
      <c r="AT83" s="19" t="s">
        <v>2283</v>
      </c>
      <c r="AU83" s="19" t="s">
        <v>2094</v>
      </c>
      <c r="AV83" s="19">
        <v>8287823681</v>
      </c>
      <c r="AW83" s="20">
        <v>46132</v>
      </c>
      <c r="AX83" s="19" t="s">
        <v>1990</v>
      </c>
      <c r="AY83" s="27" t="s">
        <v>105</v>
      </c>
      <c r="AZ83" s="27" t="s">
        <v>104</v>
      </c>
      <c r="BA83" s="19" t="s">
        <v>2459</v>
      </c>
      <c r="BB83" s="19" t="s">
        <v>2715</v>
      </c>
      <c r="BC83" s="19" t="s">
        <v>322</v>
      </c>
      <c r="BD83" s="75" t="s">
        <v>1697</v>
      </c>
      <c r="BE83" s="100" t="s">
        <v>3792</v>
      </c>
      <c r="BF83" s="100" t="s">
        <v>4066</v>
      </c>
      <c r="BG83" s="100" t="s">
        <v>4067</v>
      </c>
    </row>
    <row r="84" spans="1:59" s="10" customFormat="1" ht="13.5" x14ac:dyDescent="0.25">
      <c r="A84" s="59">
        <v>164</v>
      </c>
      <c r="B84" s="15" t="s">
        <v>60</v>
      </c>
      <c r="C84" s="12">
        <v>355004</v>
      </c>
      <c r="D84" s="11" t="s">
        <v>40</v>
      </c>
      <c r="E84" s="11" t="s">
        <v>129</v>
      </c>
      <c r="F84" s="11" t="s">
        <v>129</v>
      </c>
      <c r="G84" s="13" t="s">
        <v>63</v>
      </c>
      <c r="H84" s="11" t="s">
        <v>1698</v>
      </c>
      <c r="I84" s="3" t="s">
        <v>1629</v>
      </c>
      <c r="J84" s="3" t="s">
        <v>1629</v>
      </c>
      <c r="K84" s="11" t="s">
        <v>1776</v>
      </c>
      <c r="L84" s="4">
        <v>9911639094</v>
      </c>
      <c r="M84" s="4">
        <v>9911639094</v>
      </c>
      <c r="N84" s="4">
        <v>9911639094</v>
      </c>
      <c r="O84" s="26" t="s">
        <v>589</v>
      </c>
      <c r="P84" s="5" t="s">
        <v>60</v>
      </c>
      <c r="Q84" s="1" t="s">
        <v>590</v>
      </c>
      <c r="R84" s="1"/>
      <c r="S84" s="1" t="s">
        <v>591</v>
      </c>
      <c r="T84" s="1"/>
      <c r="U84" s="1"/>
      <c r="V84" s="1"/>
      <c r="W84" s="1"/>
      <c r="X84" s="1" t="s">
        <v>55</v>
      </c>
      <c r="Y84" s="1" t="s">
        <v>56</v>
      </c>
      <c r="Z84" s="3">
        <v>45872</v>
      </c>
      <c r="AA84" s="3">
        <v>45872</v>
      </c>
      <c r="AB84" s="6"/>
      <c r="AC84" s="1"/>
      <c r="AD84" s="4" t="s">
        <v>587</v>
      </c>
      <c r="AE84" s="2">
        <v>355004</v>
      </c>
      <c r="AF84" s="3" t="s">
        <v>588</v>
      </c>
      <c r="AG84" s="7" t="s">
        <v>60</v>
      </c>
      <c r="AH84" s="7" t="s">
        <v>60</v>
      </c>
      <c r="AI84" s="7" t="s">
        <v>60</v>
      </c>
      <c r="AJ84" s="7" t="s">
        <v>60</v>
      </c>
      <c r="AK84" s="7">
        <v>3</v>
      </c>
      <c r="AL84" s="25" t="s">
        <v>70</v>
      </c>
      <c r="AM84" s="25" t="s">
        <v>58</v>
      </c>
      <c r="AN84" s="25" t="s">
        <v>59</v>
      </c>
      <c r="AO84" s="25" t="e">
        <v>#N/A</v>
      </c>
      <c r="AP84" s="19" t="s">
        <v>1776</v>
      </c>
      <c r="AQ84" s="19" t="s">
        <v>1869</v>
      </c>
      <c r="AR84" s="19" t="s">
        <v>60</v>
      </c>
      <c r="AS84" s="19"/>
      <c r="AT84" s="19" t="s">
        <v>2032</v>
      </c>
      <c r="AU84" s="19" t="s">
        <v>2346</v>
      </c>
      <c r="AV84" s="19">
        <v>9217935065</v>
      </c>
      <c r="AW84" s="20">
        <v>46136</v>
      </c>
      <c r="AX84" s="19" t="s">
        <v>1990</v>
      </c>
      <c r="AY84" s="27" t="s">
        <v>129</v>
      </c>
      <c r="AZ84" s="27" t="s">
        <v>129</v>
      </c>
      <c r="BA84" s="19" t="s">
        <v>60</v>
      </c>
      <c r="BB84" s="19" t="s">
        <v>2540</v>
      </c>
      <c r="BC84" s="19" t="s">
        <v>2541</v>
      </c>
      <c r="BD84" s="75" t="s">
        <v>1698</v>
      </c>
      <c r="BE84" s="100" t="s">
        <v>3842</v>
      </c>
      <c r="BF84" s="100" t="s">
        <v>4181</v>
      </c>
      <c r="BG84" s="100" t="s">
        <v>4182</v>
      </c>
    </row>
    <row r="85" spans="1:59" s="10" customFormat="1" ht="13.5" x14ac:dyDescent="0.25">
      <c r="A85" s="59">
        <v>127</v>
      </c>
      <c r="B85" s="15" t="s">
        <v>350</v>
      </c>
      <c r="C85" s="12">
        <v>26458</v>
      </c>
      <c r="D85" s="11" t="s">
        <v>40</v>
      </c>
      <c r="E85" s="11" t="s">
        <v>351</v>
      </c>
      <c r="F85" s="11" t="s">
        <v>351</v>
      </c>
      <c r="G85" s="13" t="s">
        <v>352</v>
      </c>
      <c r="H85" s="11" t="s">
        <v>1693</v>
      </c>
      <c r="I85" s="3" t="s">
        <v>354</v>
      </c>
      <c r="J85" s="3" t="s">
        <v>354</v>
      </c>
      <c r="K85" s="11" t="s">
        <v>355</v>
      </c>
      <c r="L85" s="4" t="s">
        <v>356</v>
      </c>
      <c r="M85" s="4" t="s">
        <v>357</v>
      </c>
      <c r="N85" s="4" t="s">
        <v>358</v>
      </c>
      <c r="O85" s="26" t="s">
        <v>359</v>
      </c>
      <c r="P85" s="5" t="s">
        <v>360</v>
      </c>
      <c r="Q85" s="1" t="s">
        <v>361</v>
      </c>
      <c r="R85" s="1"/>
      <c r="S85" s="1" t="s">
        <v>362</v>
      </c>
      <c r="T85" s="1"/>
      <c r="U85" s="1"/>
      <c r="V85" s="1"/>
      <c r="W85" s="1"/>
      <c r="X85" s="1" t="s">
        <v>310</v>
      </c>
      <c r="Y85" s="1" t="s">
        <v>56</v>
      </c>
      <c r="Z85" s="3">
        <v>43500</v>
      </c>
      <c r="AA85" s="3">
        <v>43395</v>
      </c>
      <c r="AB85" s="6"/>
      <c r="AC85" s="1"/>
      <c r="AD85" s="4"/>
      <c r="AE85" s="2">
        <v>26458</v>
      </c>
      <c r="AF85" s="3" t="s">
        <v>353</v>
      </c>
      <c r="AG85" s="7">
        <v>734</v>
      </c>
      <c r="AH85" s="7">
        <v>735</v>
      </c>
      <c r="AI85" s="7">
        <v>731</v>
      </c>
      <c r="AJ85" s="7">
        <v>2200</v>
      </c>
      <c r="AK85" s="7">
        <v>1</v>
      </c>
      <c r="AL85" s="25" t="s">
        <v>57</v>
      </c>
      <c r="AM85" s="25" t="s">
        <v>58</v>
      </c>
      <c r="AN85" s="25" t="s">
        <v>59</v>
      </c>
      <c r="AO85" s="25" t="s">
        <v>95</v>
      </c>
      <c r="AP85" s="19" t="s">
        <v>355</v>
      </c>
      <c r="AQ85" s="19" t="s">
        <v>1869</v>
      </c>
      <c r="AR85" s="19" t="s">
        <v>60</v>
      </c>
      <c r="AS85" s="19"/>
      <c r="AT85" s="19" t="s">
        <v>2013</v>
      </c>
      <c r="AU85" s="19" t="s">
        <v>2090</v>
      </c>
      <c r="AV85" s="19">
        <v>9354183359</v>
      </c>
      <c r="AW85" s="20">
        <v>46136</v>
      </c>
      <c r="AX85" s="19" t="s">
        <v>1990</v>
      </c>
      <c r="AY85" s="27" t="s">
        <v>351</v>
      </c>
      <c r="AZ85" s="27" t="s">
        <v>351</v>
      </c>
      <c r="BA85" s="19" t="s">
        <v>2485</v>
      </c>
      <c r="BB85" s="19" t="s">
        <v>2486</v>
      </c>
      <c r="BC85" s="19" t="s">
        <v>2782</v>
      </c>
      <c r="BD85" s="75" t="s">
        <v>1693</v>
      </c>
      <c r="BE85" s="100" t="s">
        <v>3811</v>
      </c>
      <c r="BF85" s="100" t="s">
        <v>4069</v>
      </c>
      <c r="BG85" s="100" t="s">
        <v>4070</v>
      </c>
    </row>
    <row r="86" spans="1:59" s="10" customFormat="1" ht="13.5" x14ac:dyDescent="0.25">
      <c r="A86" s="59">
        <v>146</v>
      </c>
      <c r="B86" s="15" t="s">
        <v>666</v>
      </c>
      <c r="C86" s="12">
        <v>13052</v>
      </c>
      <c r="D86" s="11" t="s">
        <v>40</v>
      </c>
      <c r="E86" s="11" t="s">
        <v>61</v>
      </c>
      <c r="F86" s="11" t="s">
        <v>856</v>
      </c>
      <c r="G86" s="13" t="s">
        <v>352</v>
      </c>
      <c r="H86" s="11" t="s">
        <v>667</v>
      </c>
      <c r="I86" s="3" t="s">
        <v>668</v>
      </c>
      <c r="J86" s="3" t="s">
        <v>668</v>
      </c>
      <c r="K86" s="11" t="s">
        <v>669</v>
      </c>
      <c r="L86" s="4" t="s">
        <v>670</v>
      </c>
      <c r="M86" s="4" t="s">
        <v>671</v>
      </c>
      <c r="N86" s="4" t="s">
        <v>670</v>
      </c>
      <c r="O86" s="26" t="s">
        <v>672</v>
      </c>
      <c r="P86" s="5" t="s">
        <v>673</v>
      </c>
      <c r="Q86" s="1" t="s">
        <v>674</v>
      </c>
      <c r="R86" s="1"/>
      <c r="S86" s="1" t="s">
        <v>675</v>
      </c>
      <c r="T86" s="1"/>
      <c r="U86" s="1"/>
      <c r="V86" s="1"/>
      <c r="W86" s="1"/>
      <c r="X86" s="1" t="s">
        <v>55</v>
      </c>
      <c r="Y86" s="1" t="s">
        <v>56</v>
      </c>
      <c r="Z86" s="3">
        <v>44589</v>
      </c>
      <c r="AA86" s="3">
        <v>44588</v>
      </c>
      <c r="AB86" s="6"/>
      <c r="AC86" s="1"/>
      <c r="AD86" s="4"/>
      <c r="AE86" s="2">
        <v>13052</v>
      </c>
      <c r="AF86" s="3" t="s">
        <v>667</v>
      </c>
      <c r="AG86" s="7">
        <v>58</v>
      </c>
      <c r="AH86" s="7">
        <v>53</v>
      </c>
      <c r="AI86" s="7">
        <v>61</v>
      </c>
      <c r="AJ86" s="7">
        <v>172</v>
      </c>
      <c r="AK86" s="7"/>
      <c r="AL86" s="25" t="s">
        <v>78</v>
      </c>
      <c r="AM86" s="25" t="s">
        <v>58</v>
      </c>
      <c r="AN86" s="25" t="s">
        <v>59</v>
      </c>
      <c r="AO86" s="25" t="s">
        <v>143</v>
      </c>
      <c r="AP86" s="19" t="s">
        <v>669</v>
      </c>
      <c r="AQ86" s="19" t="s">
        <v>1869</v>
      </c>
      <c r="AR86" s="19" t="s">
        <v>60</v>
      </c>
      <c r="AS86" s="19"/>
      <c r="AT86" s="19" t="s">
        <v>2286</v>
      </c>
      <c r="AU86" s="19" t="s">
        <v>2346</v>
      </c>
      <c r="AV86" s="19">
        <v>9217935065</v>
      </c>
      <c r="AW86" s="20">
        <v>46130</v>
      </c>
      <c r="AX86" s="19" t="s">
        <v>1990</v>
      </c>
      <c r="AY86" s="27" t="s">
        <v>856</v>
      </c>
      <c r="AZ86" s="27" t="s">
        <v>61</v>
      </c>
      <c r="BA86" s="19" t="s">
        <v>2508</v>
      </c>
      <c r="BB86" s="19" t="s">
        <v>2509</v>
      </c>
      <c r="BC86" s="19" t="s">
        <v>2510</v>
      </c>
      <c r="BD86" s="75" t="s">
        <v>667</v>
      </c>
      <c r="BE86" s="100" t="s">
        <v>3826</v>
      </c>
      <c r="BF86" s="100" t="s">
        <v>4098</v>
      </c>
      <c r="BG86" s="100"/>
    </row>
    <row r="87" spans="1:59" s="10" customFormat="1" ht="13.5" x14ac:dyDescent="0.25">
      <c r="A87" s="59">
        <v>121</v>
      </c>
      <c r="B87" s="15" t="s">
        <v>60</v>
      </c>
      <c r="C87" s="12">
        <v>355991</v>
      </c>
      <c r="D87" s="11" t="s">
        <v>40</v>
      </c>
      <c r="E87" s="11" t="s">
        <v>129</v>
      </c>
      <c r="F87" s="11" t="s">
        <v>129</v>
      </c>
      <c r="G87" s="13" t="s">
        <v>352</v>
      </c>
      <c r="H87" s="11" t="s">
        <v>1743</v>
      </c>
      <c r="I87" s="3" t="s">
        <v>1679</v>
      </c>
      <c r="J87" s="3" t="s">
        <v>1679</v>
      </c>
      <c r="K87" s="11" t="s">
        <v>1159</v>
      </c>
      <c r="L87" s="4" t="s">
        <v>1160</v>
      </c>
      <c r="M87" s="4" t="s">
        <v>1160</v>
      </c>
      <c r="N87" s="4" t="s">
        <v>1160</v>
      </c>
      <c r="O87" s="26" t="s">
        <v>1161</v>
      </c>
      <c r="P87" s="5" t="s">
        <v>60</v>
      </c>
      <c r="Q87" s="1" t="s">
        <v>1162</v>
      </c>
      <c r="R87" s="1"/>
      <c r="S87" s="1" t="s">
        <v>1163</v>
      </c>
      <c r="T87" s="1"/>
      <c r="U87" s="1"/>
      <c r="V87" s="1"/>
      <c r="W87" s="1"/>
      <c r="X87" s="1" t="s">
        <v>835</v>
      </c>
      <c r="Y87" s="1" t="s">
        <v>56</v>
      </c>
      <c r="Z87" s="3">
        <v>45868</v>
      </c>
      <c r="AA87" s="3">
        <v>45868</v>
      </c>
      <c r="AB87" s="6"/>
      <c r="AC87" s="1"/>
      <c r="AD87" s="4"/>
      <c r="AE87" s="2">
        <v>355991</v>
      </c>
      <c r="AF87" s="3" t="s">
        <v>1158</v>
      </c>
      <c r="AG87" s="7">
        <v>407</v>
      </c>
      <c r="AH87" s="7">
        <v>392</v>
      </c>
      <c r="AI87" s="7">
        <v>489</v>
      </c>
      <c r="AJ87" s="7">
        <v>1288</v>
      </c>
      <c r="AK87" s="7"/>
      <c r="AL87" s="25" t="s">
        <v>78</v>
      </c>
      <c r="AM87" s="25" t="s">
        <v>58</v>
      </c>
      <c r="AN87" s="25" t="s">
        <v>59</v>
      </c>
      <c r="AO87" s="25" t="s">
        <v>60</v>
      </c>
      <c r="AP87" s="19" t="s">
        <v>1159</v>
      </c>
      <c r="AQ87" s="19" t="s">
        <v>1869</v>
      </c>
      <c r="AR87" s="19" t="s">
        <v>60</v>
      </c>
      <c r="AS87" s="19"/>
      <c r="AT87" s="19" t="s">
        <v>2311</v>
      </c>
      <c r="AU87" s="19" t="s">
        <v>2346</v>
      </c>
      <c r="AV87" s="19">
        <v>9217935065</v>
      </c>
      <c r="AW87" s="20">
        <v>46118</v>
      </c>
      <c r="AX87" s="19" t="s">
        <v>1990</v>
      </c>
      <c r="AY87" s="27" t="s">
        <v>129</v>
      </c>
      <c r="AZ87" s="27" t="s">
        <v>129</v>
      </c>
      <c r="BA87" s="19" t="s">
        <v>2477</v>
      </c>
      <c r="BB87" s="19" t="s">
        <v>2478</v>
      </c>
      <c r="BC87" s="19" t="s">
        <v>60</v>
      </c>
      <c r="BD87" s="75" t="s">
        <v>1743</v>
      </c>
      <c r="BE87" s="100" t="s">
        <v>3807</v>
      </c>
      <c r="BF87" s="100" t="s">
        <v>4099</v>
      </c>
      <c r="BG87" s="100"/>
    </row>
    <row r="88" spans="1:59" s="10" customFormat="1" ht="13.5" x14ac:dyDescent="0.25">
      <c r="A88" s="59">
        <v>171</v>
      </c>
      <c r="B88" s="15" t="s">
        <v>475</v>
      </c>
      <c r="C88" s="12">
        <v>24651</v>
      </c>
      <c r="D88" s="11" t="s">
        <v>103</v>
      </c>
      <c r="E88" s="11" t="s">
        <v>237</v>
      </c>
      <c r="F88" s="11" t="s">
        <v>3698</v>
      </c>
      <c r="G88" s="13" t="s">
        <v>63</v>
      </c>
      <c r="H88" s="11" t="s">
        <v>476</v>
      </c>
      <c r="I88" s="3" t="s">
        <v>476</v>
      </c>
      <c r="J88" s="3" t="s">
        <v>477</v>
      </c>
      <c r="K88" s="11" t="s">
        <v>478</v>
      </c>
      <c r="L88" s="4" t="s">
        <v>479</v>
      </c>
      <c r="M88" s="4" t="s">
        <v>480</v>
      </c>
      <c r="N88" s="4" t="s">
        <v>481</v>
      </c>
      <c r="O88" s="26" t="s">
        <v>482</v>
      </c>
      <c r="P88" s="5" t="s">
        <v>60</v>
      </c>
      <c r="Q88" s="1" t="s">
        <v>483</v>
      </c>
      <c r="R88" s="1"/>
      <c r="S88" s="1" t="s">
        <v>484</v>
      </c>
      <c r="T88" s="1"/>
      <c r="U88" s="1"/>
      <c r="V88" s="1" t="s">
        <v>93</v>
      </c>
      <c r="W88" s="1"/>
      <c r="X88" s="1" t="s">
        <v>55</v>
      </c>
      <c r="Y88" s="1" t="s">
        <v>56</v>
      </c>
      <c r="Z88" s="3">
        <v>44004</v>
      </c>
      <c r="AA88" s="3">
        <v>44004</v>
      </c>
      <c r="AB88" s="6"/>
      <c r="AC88" s="1"/>
      <c r="AD88" s="4"/>
      <c r="AE88" s="2">
        <v>24651</v>
      </c>
      <c r="AF88" s="3" t="s">
        <v>476</v>
      </c>
      <c r="AG88" s="7" t="s">
        <v>60</v>
      </c>
      <c r="AH88" s="7" t="s">
        <v>60</v>
      </c>
      <c r="AI88" s="7" t="s">
        <v>60</v>
      </c>
      <c r="AJ88" s="7" t="s">
        <v>60</v>
      </c>
      <c r="AK88" s="7">
        <v>2</v>
      </c>
      <c r="AL88" s="25" t="s">
        <v>70</v>
      </c>
      <c r="AM88" s="25" t="s">
        <v>58</v>
      </c>
      <c r="AN88" s="25" t="s">
        <v>59</v>
      </c>
      <c r="AO88" s="25" t="e">
        <v>#N/A</v>
      </c>
      <c r="AP88" s="19" t="s">
        <v>478</v>
      </c>
      <c r="AQ88" s="19" t="s">
        <v>1869</v>
      </c>
      <c r="AR88" s="19" t="s">
        <v>60</v>
      </c>
      <c r="AS88" s="19"/>
      <c r="AT88" s="19" t="s">
        <v>2282</v>
      </c>
      <c r="AU88" s="19" t="s">
        <v>2091</v>
      </c>
      <c r="AV88" s="19">
        <v>9354241930</v>
      </c>
      <c r="AW88" s="20">
        <v>46126</v>
      </c>
      <c r="AX88" s="19" t="s">
        <v>1990</v>
      </c>
      <c r="AY88" s="27" t="s">
        <v>3698</v>
      </c>
      <c r="AZ88" s="27" t="s">
        <v>237</v>
      </c>
      <c r="BA88" s="19" t="s">
        <v>60</v>
      </c>
      <c r="BB88" s="19" t="s">
        <v>2723</v>
      </c>
      <c r="BC88" s="19" t="s">
        <v>2549</v>
      </c>
      <c r="BD88" s="75" t="s">
        <v>476</v>
      </c>
      <c r="BE88" s="100" t="s">
        <v>3849</v>
      </c>
      <c r="BF88" s="100" t="s">
        <v>4194</v>
      </c>
      <c r="BG88" s="100" t="s">
        <v>4195</v>
      </c>
    </row>
    <row r="89" spans="1:59" s="10" customFormat="1" ht="13.5" x14ac:dyDescent="0.25">
      <c r="A89" s="59">
        <v>4</v>
      </c>
      <c r="B89" s="15" t="s">
        <v>1844</v>
      </c>
      <c r="C89" s="12">
        <v>298994</v>
      </c>
      <c r="D89" s="11" t="s">
        <v>103</v>
      </c>
      <c r="E89" s="11" t="s">
        <v>767</v>
      </c>
      <c r="F89" s="11" t="s">
        <v>768</v>
      </c>
      <c r="G89" s="13" t="s">
        <v>43</v>
      </c>
      <c r="H89" s="11" t="s">
        <v>1708</v>
      </c>
      <c r="I89" s="3" t="s">
        <v>1635</v>
      </c>
      <c r="J89" s="3" t="s">
        <v>1635</v>
      </c>
      <c r="K89" s="11" t="s">
        <v>1786</v>
      </c>
      <c r="L89" s="4">
        <v>7002910347</v>
      </c>
      <c r="M89" s="4">
        <v>7002910347</v>
      </c>
      <c r="N89" s="4">
        <v>7002910347</v>
      </c>
      <c r="O89" s="26" t="s">
        <v>770</v>
      </c>
      <c r="P89" s="5" t="s">
        <v>60</v>
      </c>
      <c r="Q89" s="1" t="s">
        <v>771</v>
      </c>
      <c r="R89" s="1"/>
      <c r="S89" s="1" t="s">
        <v>772</v>
      </c>
      <c r="T89" s="1"/>
      <c r="U89" s="1"/>
      <c r="V89" s="1" t="s">
        <v>93</v>
      </c>
      <c r="W89" s="1"/>
      <c r="X89" s="1" t="s">
        <v>69</v>
      </c>
      <c r="Y89" s="1" t="s">
        <v>56</v>
      </c>
      <c r="Z89" s="3">
        <v>45602</v>
      </c>
      <c r="AA89" s="3">
        <v>45600</v>
      </c>
      <c r="AB89" s="6"/>
      <c r="AC89" s="1"/>
      <c r="AD89" s="4" t="s">
        <v>587</v>
      </c>
      <c r="AE89" s="2">
        <v>298994</v>
      </c>
      <c r="AF89" s="3" t="s">
        <v>769</v>
      </c>
      <c r="AG89" s="7">
        <v>65</v>
      </c>
      <c r="AH89" s="7">
        <v>81</v>
      </c>
      <c r="AI89" s="7">
        <v>59</v>
      </c>
      <c r="AJ89" s="7">
        <v>205</v>
      </c>
      <c r="AK89" s="7"/>
      <c r="AL89" s="25" t="s">
        <v>78</v>
      </c>
      <c r="AM89" s="25" t="s">
        <v>58</v>
      </c>
      <c r="AN89" s="25" t="s">
        <v>59</v>
      </c>
      <c r="AO89" s="25" t="s">
        <v>95</v>
      </c>
      <c r="AP89" s="19" t="s">
        <v>2355</v>
      </c>
      <c r="AQ89" s="19" t="s">
        <v>1869</v>
      </c>
      <c r="AR89" s="19" t="s">
        <v>60</v>
      </c>
      <c r="AS89" s="19"/>
      <c r="AT89" s="19" t="s">
        <v>1635</v>
      </c>
      <c r="AU89" s="19" t="s">
        <v>2094</v>
      </c>
      <c r="AV89" s="19">
        <v>8287823681</v>
      </c>
      <c r="AW89" s="20">
        <v>46130</v>
      </c>
      <c r="AX89" s="19" t="s">
        <v>1990</v>
      </c>
      <c r="AY89" s="27" t="s">
        <v>768</v>
      </c>
      <c r="AZ89" s="27" t="s">
        <v>767</v>
      </c>
      <c r="BA89" s="19" t="s">
        <v>2681</v>
      </c>
      <c r="BB89" s="19" t="s">
        <v>2682</v>
      </c>
      <c r="BC89" s="19" t="s">
        <v>95</v>
      </c>
      <c r="BD89" s="75" t="s">
        <v>1708</v>
      </c>
      <c r="BE89" s="100" t="s">
        <v>3704</v>
      </c>
      <c r="BF89" s="100" t="s">
        <v>4101</v>
      </c>
      <c r="BG89" s="100"/>
    </row>
    <row r="90" spans="1:59" s="10" customFormat="1" ht="13.5" x14ac:dyDescent="0.25">
      <c r="A90" s="59">
        <v>43</v>
      </c>
      <c r="B90" s="15" t="s">
        <v>641</v>
      </c>
      <c r="C90" s="12">
        <v>26212</v>
      </c>
      <c r="D90" s="11" t="s">
        <v>103</v>
      </c>
      <c r="E90" s="11" t="s">
        <v>237</v>
      </c>
      <c r="F90" s="11" t="s">
        <v>226</v>
      </c>
      <c r="G90" s="13" t="s">
        <v>43</v>
      </c>
      <c r="H90" s="11" t="s">
        <v>1942</v>
      </c>
      <c r="I90" s="3" t="s">
        <v>643</v>
      </c>
      <c r="J90" s="3" t="s">
        <v>644</v>
      </c>
      <c r="K90" s="11" t="s">
        <v>1973</v>
      </c>
      <c r="L90" s="4" t="s">
        <v>646</v>
      </c>
      <c r="M90" s="4" t="s">
        <v>647</v>
      </c>
      <c r="N90" s="4" t="s">
        <v>648</v>
      </c>
      <c r="O90" s="26" t="s">
        <v>649</v>
      </c>
      <c r="P90" s="5" t="s">
        <v>650</v>
      </c>
      <c r="Q90" s="1" t="s">
        <v>651</v>
      </c>
      <c r="R90" s="1"/>
      <c r="S90" s="1" t="s">
        <v>652</v>
      </c>
      <c r="T90" s="1"/>
      <c r="U90" s="1"/>
      <c r="V90" s="1" t="s">
        <v>224</v>
      </c>
      <c r="W90" s="1"/>
      <c r="X90" s="1" t="s">
        <v>55</v>
      </c>
      <c r="Y90" s="1" t="s">
        <v>56</v>
      </c>
      <c r="Z90" s="3">
        <v>43489</v>
      </c>
      <c r="AA90" s="3">
        <v>43455</v>
      </c>
      <c r="AB90" s="6"/>
      <c r="AC90" s="1"/>
      <c r="AD90" s="4"/>
      <c r="AE90" s="2">
        <v>26212</v>
      </c>
      <c r="AF90" s="3" t="s">
        <v>642</v>
      </c>
      <c r="AG90" s="7">
        <v>1392</v>
      </c>
      <c r="AH90" s="7">
        <v>1312</v>
      </c>
      <c r="AI90" s="7">
        <v>1130</v>
      </c>
      <c r="AJ90" s="7">
        <v>3834</v>
      </c>
      <c r="AK90" s="7">
        <v>2</v>
      </c>
      <c r="AL90" s="25" t="s">
        <v>57</v>
      </c>
      <c r="AM90" s="25" t="s">
        <v>58</v>
      </c>
      <c r="AN90" s="25" t="s">
        <v>59</v>
      </c>
      <c r="AO90" s="25" t="s">
        <v>95</v>
      </c>
      <c r="AP90" s="19" t="s">
        <v>1973</v>
      </c>
      <c r="AQ90" s="19" t="s">
        <v>1869</v>
      </c>
      <c r="AR90" s="19" t="s">
        <v>60</v>
      </c>
      <c r="AS90" s="19"/>
      <c r="AT90" s="19" t="s">
        <v>2285</v>
      </c>
      <c r="AU90" s="19" t="s">
        <v>2094</v>
      </c>
      <c r="AV90" s="19">
        <v>8287823681</v>
      </c>
      <c r="AW90" s="20">
        <v>46134</v>
      </c>
      <c r="AX90" s="19" t="s">
        <v>1990</v>
      </c>
      <c r="AY90" s="27" t="s">
        <v>226</v>
      </c>
      <c r="AZ90" s="27" t="s">
        <v>237</v>
      </c>
      <c r="BA90" s="19" t="s">
        <v>2385</v>
      </c>
      <c r="BB90" s="19" t="s">
        <v>2711</v>
      </c>
      <c r="BC90" s="19" t="s">
        <v>2503</v>
      </c>
      <c r="BD90" s="75" t="s">
        <v>1942</v>
      </c>
      <c r="BE90" s="100" t="s">
        <v>3737</v>
      </c>
      <c r="BF90" s="100" t="s">
        <v>4077</v>
      </c>
      <c r="BG90" s="100" t="s">
        <v>4078</v>
      </c>
    </row>
    <row r="91" spans="1:59" s="10" customFormat="1" ht="13.5" x14ac:dyDescent="0.25">
      <c r="A91" s="59">
        <v>70</v>
      </c>
      <c r="B91" s="15" t="s">
        <v>245</v>
      </c>
      <c r="C91" s="12">
        <v>25785</v>
      </c>
      <c r="D91" s="11" t="s">
        <v>40</v>
      </c>
      <c r="E91" s="11" t="s">
        <v>199</v>
      </c>
      <c r="F91" s="11" t="s">
        <v>214</v>
      </c>
      <c r="G91" s="13" t="s">
        <v>43</v>
      </c>
      <c r="H91" s="11" t="s">
        <v>246</v>
      </c>
      <c r="I91" s="3" t="s">
        <v>247</v>
      </c>
      <c r="J91" s="3" t="s">
        <v>247</v>
      </c>
      <c r="K91" s="11" t="s">
        <v>248</v>
      </c>
      <c r="L91" s="4" t="s">
        <v>249</v>
      </c>
      <c r="M91" s="4" t="s">
        <v>250</v>
      </c>
      <c r="N91" s="4" t="s">
        <v>251</v>
      </c>
      <c r="O91" s="26" t="s">
        <v>252</v>
      </c>
      <c r="P91" s="5" t="s">
        <v>253</v>
      </c>
      <c r="Q91" s="1" t="s">
        <v>254</v>
      </c>
      <c r="R91" s="1" t="s">
        <v>255</v>
      </c>
      <c r="S91" s="1" t="s">
        <v>256</v>
      </c>
      <c r="T91" s="1" t="s">
        <v>257</v>
      </c>
      <c r="U91" s="1"/>
      <c r="V91" s="1" t="s">
        <v>93</v>
      </c>
      <c r="W91" s="1"/>
      <c r="X91" s="1" t="s">
        <v>55</v>
      </c>
      <c r="Y91" s="1" t="s">
        <v>56</v>
      </c>
      <c r="Z91" s="3">
        <v>42934</v>
      </c>
      <c r="AA91" s="3">
        <v>42928</v>
      </c>
      <c r="AB91" s="6"/>
      <c r="AC91" s="1"/>
      <c r="AD91" s="4" t="s">
        <v>258</v>
      </c>
      <c r="AE91" s="2">
        <v>25785</v>
      </c>
      <c r="AF91" s="3" t="s">
        <v>246</v>
      </c>
      <c r="AG91" s="7">
        <v>153</v>
      </c>
      <c r="AH91" s="7">
        <v>169</v>
      </c>
      <c r="AI91" s="7">
        <v>158</v>
      </c>
      <c r="AJ91" s="7">
        <v>480</v>
      </c>
      <c r="AK91" s="7"/>
      <c r="AL91" s="25" t="s">
        <v>78</v>
      </c>
      <c r="AM91" s="25" t="s">
        <v>58</v>
      </c>
      <c r="AN91" s="25" t="s">
        <v>59</v>
      </c>
      <c r="AO91" s="25" t="s">
        <v>60</v>
      </c>
      <c r="AP91" s="19" t="s">
        <v>248</v>
      </c>
      <c r="AQ91" s="19" t="s">
        <v>1869</v>
      </c>
      <c r="AR91" s="19" t="s">
        <v>60</v>
      </c>
      <c r="AS91" s="19"/>
      <c r="AT91" s="19" t="s">
        <v>2003</v>
      </c>
      <c r="AU91" s="19" t="s">
        <v>2096</v>
      </c>
      <c r="AV91" s="19">
        <v>7688959606</v>
      </c>
      <c r="AW91" s="20">
        <v>46125</v>
      </c>
      <c r="AX91" s="19" t="s">
        <v>1990</v>
      </c>
      <c r="AY91" s="27" t="s">
        <v>214</v>
      </c>
      <c r="AZ91" s="27" t="s">
        <v>199</v>
      </c>
      <c r="BA91" s="19" t="s">
        <v>2426</v>
      </c>
      <c r="BB91" s="19" t="s">
        <v>2427</v>
      </c>
      <c r="BC91" s="19" t="s">
        <v>579</v>
      </c>
      <c r="BD91" s="75" t="s">
        <v>246</v>
      </c>
      <c r="BE91" s="100" t="s">
        <v>3758</v>
      </c>
      <c r="BF91" s="100" t="s">
        <v>4102</v>
      </c>
      <c r="BG91" s="100"/>
    </row>
    <row r="92" spans="1:59" s="10" customFormat="1" ht="27" x14ac:dyDescent="0.25">
      <c r="A92" s="59">
        <v>117</v>
      </c>
      <c r="B92" s="15" t="s">
        <v>496</v>
      </c>
      <c r="C92" s="12">
        <v>26232</v>
      </c>
      <c r="D92" s="11" t="s">
        <v>40</v>
      </c>
      <c r="E92" s="11" t="s">
        <v>129</v>
      </c>
      <c r="F92" s="11" t="s">
        <v>129</v>
      </c>
      <c r="G92" s="13" t="s">
        <v>352</v>
      </c>
      <c r="H92" s="11" t="s">
        <v>497</v>
      </c>
      <c r="I92" s="3" t="s">
        <v>498</v>
      </c>
      <c r="J92" s="3" t="s">
        <v>498</v>
      </c>
      <c r="K92" s="23" t="s">
        <v>1894</v>
      </c>
      <c r="L92" s="4" t="s">
        <v>499</v>
      </c>
      <c r="M92" s="4" t="s">
        <v>500</v>
      </c>
      <c r="N92" s="4" t="s">
        <v>501</v>
      </c>
      <c r="O92" s="26" t="s">
        <v>502</v>
      </c>
      <c r="P92" s="5" t="s">
        <v>60</v>
      </c>
      <c r="Q92" s="1" t="s">
        <v>503</v>
      </c>
      <c r="R92" s="1"/>
      <c r="S92" s="1" t="s">
        <v>504</v>
      </c>
      <c r="T92" s="1"/>
      <c r="U92" s="1"/>
      <c r="V92" s="1"/>
      <c r="W92" s="1"/>
      <c r="X92" s="1" t="s">
        <v>55</v>
      </c>
      <c r="Y92" s="1" t="s">
        <v>56</v>
      </c>
      <c r="Z92" s="3">
        <v>44099</v>
      </c>
      <c r="AA92" s="3">
        <v>44097</v>
      </c>
      <c r="AB92" s="6"/>
      <c r="AC92" s="1"/>
      <c r="AD92" s="4" t="s">
        <v>505</v>
      </c>
      <c r="AE92" s="2">
        <v>26232</v>
      </c>
      <c r="AF92" s="3" t="s">
        <v>497</v>
      </c>
      <c r="AG92" s="7">
        <v>2181</v>
      </c>
      <c r="AH92" s="7">
        <v>1859</v>
      </c>
      <c r="AI92" s="7">
        <v>2073</v>
      </c>
      <c r="AJ92" s="7">
        <v>6113</v>
      </c>
      <c r="AK92" s="7"/>
      <c r="AL92" s="25" t="s">
        <v>78</v>
      </c>
      <c r="AM92" s="25" t="s">
        <v>58</v>
      </c>
      <c r="AN92" s="25" t="s">
        <v>59</v>
      </c>
      <c r="AO92" s="25" t="s">
        <v>143</v>
      </c>
      <c r="AP92" s="19" t="s">
        <v>1894</v>
      </c>
      <c r="AQ92" s="19" t="s">
        <v>1869</v>
      </c>
      <c r="AR92" s="19" t="s">
        <v>60</v>
      </c>
      <c r="AS92" s="19"/>
      <c r="AT92" s="19" t="s">
        <v>2023</v>
      </c>
      <c r="AU92" s="19" t="s">
        <v>2091</v>
      </c>
      <c r="AV92" s="19">
        <v>9354241930</v>
      </c>
      <c r="AW92" s="20">
        <v>46118</v>
      </c>
      <c r="AX92" s="19" t="s">
        <v>1990</v>
      </c>
      <c r="AY92" s="27" t="s">
        <v>129</v>
      </c>
      <c r="AZ92" s="27" t="s">
        <v>129</v>
      </c>
      <c r="BA92" s="19" t="s">
        <v>2693</v>
      </c>
      <c r="BB92" s="19" t="s">
        <v>2694</v>
      </c>
      <c r="BC92" s="19" t="s">
        <v>2780</v>
      </c>
      <c r="BD92" s="75" t="s">
        <v>497</v>
      </c>
      <c r="BE92" s="100" t="s">
        <v>3804</v>
      </c>
      <c r="BF92" s="100" t="s">
        <v>4103</v>
      </c>
      <c r="BG92" s="100"/>
    </row>
    <row r="93" spans="1:59" s="10" customFormat="1" ht="13.5" x14ac:dyDescent="0.25">
      <c r="A93" s="59">
        <v>153</v>
      </c>
      <c r="B93" s="15" t="s">
        <v>225</v>
      </c>
      <c r="C93" s="12">
        <v>26089</v>
      </c>
      <c r="D93" s="11" t="s">
        <v>103</v>
      </c>
      <c r="E93" s="11" t="s">
        <v>237</v>
      </c>
      <c r="F93" s="11" t="s">
        <v>226</v>
      </c>
      <c r="G93" s="13" t="s">
        <v>185</v>
      </c>
      <c r="H93" s="11" t="s">
        <v>227</v>
      </c>
      <c r="I93" s="3" t="s">
        <v>228</v>
      </c>
      <c r="J93" s="3" t="s">
        <v>228</v>
      </c>
      <c r="K93" s="11" t="s">
        <v>1759</v>
      </c>
      <c r="L93" s="4" t="s">
        <v>229</v>
      </c>
      <c r="M93" s="4" t="s">
        <v>230</v>
      </c>
      <c r="N93" s="4" t="s">
        <v>52</v>
      </c>
      <c r="O93" s="26" t="s">
        <v>231</v>
      </c>
      <c r="P93" s="5" t="s">
        <v>232</v>
      </c>
      <c r="Q93" s="1" t="s">
        <v>233</v>
      </c>
      <c r="R93" s="1" t="s">
        <v>52</v>
      </c>
      <c r="S93" s="1" t="s">
        <v>234</v>
      </c>
      <c r="T93" s="1" t="s">
        <v>235</v>
      </c>
      <c r="U93" s="1"/>
      <c r="V93" s="1" t="s">
        <v>236</v>
      </c>
      <c r="W93" s="1"/>
      <c r="X93" s="1" t="s">
        <v>55</v>
      </c>
      <c r="Y93" s="1" t="s">
        <v>56</v>
      </c>
      <c r="Z93" s="3">
        <v>42891</v>
      </c>
      <c r="AA93" s="3">
        <v>42884</v>
      </c>
      <c r="AB93" s="6"/>
      <c r="AC93" s="1"/>
      <c r="AD93" s="4"/>
      <c r="AE93" s="2">
        <v>26089</v>
      </c>
      <c r="AF93" s="3" t="s">
        <v>227</v>
      </c>
      <c r="AG93" s="7">
        <v>669</v>
      </c>
      <c r="AH93" s="7">
        <v>503</v>
      </c>
      <c r="AI93" s="7">
        <v>481</v>
      </c>
      <c r="AJ93" s="7">
        <v>1653</v>
      </c>
      <c r="AK93" s="7"/>
      <c r="AL93" s="25" t="s">
        <v>78</v>
      </c>
      <c r="AM93" s="25" t="s">
        <v>58</v>
      </c>
      <c r="AN93" s="25" t="s">
        <v>59</v>
      </c>
      <c r="AO93" s="25" t="s">
        <v>95</v>
      </c>
      <c r="AP93" s="19" t="s">
        <v>1759</v>
      </c>
      <c r="AQ93" s="19" t="s">
        <v>1869</v>
      </c>
      <c r="AR93" s="19" t="s">
        <v>60</v>
      </c>
      <c r="AS93" s="19"/>
      <c r="AT93" s="19" t="s">
        <v>2273</v>
      </c>
      <c r="AU93" s="19" t="s">
        <v>2091</v>
      </c>
      <c r="AV93" s="19">
        <v>9354241930</v>
      </c>
      <c r="AW93" s="20">
        <v>46126</v>
      </c>
      <c r="AX93" s="19" t="s">
        <v>1990</v>
      </c>
      <c r="AY93" s="27" t="s">
        <v>226</v>
      </c>
      <c r="AZ93" s="27" t="s">
        <v>237</v>
      </c>
      <c r="BA93" s="19" t="s">
        <v>2519</v>
      </c>
      <c r="BB93" s="19" t="s">
        <v>2720</v>
      </c>
      <c r="BC93" s="19" t="s">
        <v>2787</v>
      </c>
      <c r="BD93" s="75" t="s">
        <v>227</v>
      </c>
      <c r="BE93" s="100" t="s">
        <v>3832</v>
      </c>
      <c r="BF93" s="100" t="s">
        <v>4104</v>
      </c>
      <c r="BG93" s="100"/>
    </row>
    <row r="94" spans="1:59" s="10" customFormat="1" ht="13.5" x14ac:dyDescent="0.25">
      <c r="A94" s="59">
        <v>31</v>
      </c>
      <c r="B94" s="15" t="s">
        <v>641</v>
      </c>
      <c r="C94" s="12">
        <v>26212</v>
      </c>
      <c r="D94" s="11" t="s">
        <v>103</v>
      </c>
      <c r="E94" s="11" t="s">
        <v>465</v>
      </c>
      <c r="F94" s="11" t="s">
        <v>801</v>
      </c>
      <c r="G94" s="13" t="s">
        <v>43</v>
      </c>
      <c r="H94" s="11" t="s">
        <v>1943</v>
      </c>
      <c r="I94" s="3" t="s">
        <v>643</v>
      </c>
      <c r="J94" s="3" t="s">
        <v>644</v>
      </c>
      <c r="K94" s="11" t="s">
        <v>645</v>
      </c>
      <c r="L94" s="4" t="s">
        <v>646</v>
      </c>
      <c r="M94" s="4" t="s">
        <v>647</v>
      </c>
      <c r="N94" s="4" t="s">
        <v>648</v>
      </c>
      <c r="O94" s="26" t="s">
        <v>649</v>
      </c>
      <c r="P94" s="5" t="s">
        <v>650</v>
      </c>
      <c r="Q94" s="1" t="s">
        <v>651</v>
      </c>
      <c r="R94" s="1"/>
      <c r="S94" s="1" t="s">
        <v>652</v>
      </c>
      <c r="T94" s="1"/>
      <c r="U94" s="1"/>
      <c r="V94" s="1" t="s">
        <v>224</v>
      </c>
      <c r="W94" s="1"/>
      <c r="X94" s="1" t="s">
        <v>55</v>
      </c>
      <c r="Y94" s="1" t="s">
        <v>56</v>
      </c>
      <c r="Z94" s="3">
        <v>43489</v>
      </c>
      <c r="AA94" s="3">
        <v>43455</v>
      </c>
      <c r="AB94" s="6"/>
      <c r="AC94" s="1"/>
      <c r="AD94" s="4"/>
      <c r="AE94" s="2">
        <v>26212</v>
      </c>
      <c r="AF94" s="3" t="s">
        <v>642</v>
      </c>
      <c r="AG94" s="7">
        <v>1392</v>
      </c>
      <c r="AH94" s="7">
        <v>1312</v>
      </c>
      <c r="AI94" s="7">
        <v>1130</v>
      </c>
      <c r="AJ94" s="7">
        <v>3834</v>
      </c>
      <c r="AK94" s="7">
        <v>2</v>
      </c>
      <c r="AL94" s="25" t="s">
        <v>57</v>
      </c>
      <c r="AM94" s="25" t="s">
        <v>58</v>
      </c>
      <c r="AN94" s="25" t="s">
        <v>59</v>
      </c>
      <c r="AO94" s="25" t="s">
        <v>95</v>
      </c>
      <c r="AP94" s="19" t="s">
        <v>645</v>
      </c>
      <c r="AQ94" s="19" t="s">
        <v>1869</v>
      </c>
      <c r="AR94" s="19" t="s">
        <v>60</v>
      </c>
      <c r="AS94" s="19"/>
      <c r="AT94" s="19" t="s">
        <v>2321</v>
      </c>
      <c r="AU94" s="19" t="s">
        <v>2091</v>
      </c>
      <c r="AV94" s="19">
        <v>9354241930</v>
      </c>
      <c r="AW94" s="20">
        <v>46128</v>
      </c>
      <c r="AX94" s="19" t="s">
        <v>1990</v>
      </c>
      <c r="AY94" s="27" t="s">
        <v>801</v>
      </c>
      <c r="AZ94" s="27" t="s">
        <v>465</v>
      </c>
      <c r="BA94" s="19" t="s">
        <v>2385</v>
      </c>
      <c r="BB94" s="19" t="s">
        <v>2711</v>
      </c>
      <c r="BC94" s="19" t="s">
        <v>2503</v>
      </c>
      <c r="BD94" s="75" t="s">
        <v>1943</v>
      </c>
      <c r="BE94" s="100" t="s">
        <v>3727</v>
      </c>
      <c r="BF94" s="100" t="s">
        <v>4079</v>
      </c>
      <c r="BG94" s="100" t="s">
        <v>4080</v>
      </c>
    </row>
    <row r="95" spans="1:59" s="10" customFormat="1" ht="13.5" x14ac:dyDescent="0.25">
      <c r="A95" s="59">
        <v>98</v>
      </c>
      <c r="B95" s="15" t="s">
        <v>808</v>
      </c>
      <c r="C95" s="12">
        <v>54662</v>
      </c>
      <c r="D95" s="11" t="s">
        <v>40</v>
      </c>
      <c r="E95" s="11" t="s">
        <v>938</v>
      </c>
      <c r="F95" s="11" t="s">
        <v>385</v>
      </c>
      <c r="G95" s="13" t="s">
        <v>43</v>
      </c>
      <c r="H95" s="11" t="s">
        <v>809</v>
      </c>
      <c r="I95" s="3" t="s">
        <v>810</v>
      </c>
      <c r="J95" s="3" t="s">
        <v>810</v>
      </c>
      <c r="K95" s="11" t="s">
        <v>811</v>
      </c>
      <c r="L95" s="4" t="s">
        <v>812</v>
      </c>
      <c r="M95" s="4" t="s">
        <v>813</v>
      </c>
      <c r="N95" s="4" t="s">
        <v>812</v>
      </c>
      <c r="O95" s="26" t="s">
        <v>814</v>
      </c>
      <c r="P95" s="5" t="s">
        <v>60</v>
      </c>
      <c r="Q95" s="1" t="s">
        <v>815</v>
      </c>
      <c r="R95" s="1" t="s">
        <v>816</v>
      </c>
      <c r="S95" s="1" t="s">
        <v>817</v>
      </c>
      <c r="T95" s="1" t="s">
        <v>257</v>
      </c>
      <c r="U95" s="1"/>
      <c r="V95" s="1" t="s">
        <v>224</v>
      </c>
      <c r="W95" s="1"/>
      <c r="X95" s="1" t="s">
        <v>55</v>
      </c>
      <c r="Y95" s="1" t="s">
        <v>56</v>
      </c>
      <c r="Z95" s="3">
        <v>42921</v>
      </c>
      <c r="AA95" s="3">
        <v>42909</v>
      </c>
      <c r="AB95" s="6"/>
      <c r="AC95" s="1"/>
      <c r="AD95" s="4"/>
      <c r="AE95" s="2">
        <v>54662</v>
      </c>
      <c r="AF95" s="3" t="s">
        <v>809</v>
      </c>
      <c r="AG95" s="7">
        <v>31</v>
      </c>
      <c r="AH95" s="7">
        <v>37</v>
      </c>
      <c r="AI95" s="7">
        <v>37</v>
      </c>
      <c r="AJ95" s="7">
        <v>105</v>
      </c>
      <c r="AK95" s="7"/>
      <c r="AL95" s="25" t="s">
        <v>78</v>
      </c>
      <c r="AM95" s="25" t="s">
        <v>58</v>
      </c>
      <c r="AN95" s="25" t="s">
        <v>59</v>
      </c>
      <c r="AO95" s="25" t="s">
        <v>402</v>
      </c>
      <c r="AP95" s="19" t="s">
        <v>811</v>
      </c>
      <c r="AQ95" s="19" t="s">
        <v>1869</v>
      </c>
      <c r="AR95" s="19" t="s">
        <v>60</v>
      </c>
      <c r="AS95" s="19"/>
      <c r="AT95" s="19" t="s">
        <v>2049</v>
      </c>
      <c r="AU95" s="19" t="s">
        <v>2097</v>
      </c>
      <c r="AV95" s="19">
        <v>9149204613</v>
      </c>
      <c r="AW95" s="20">
        <v>46133</v>
      </c>
      <c r="AX95" s="19" t="s">
        <v>1990</v>
      </c>
      <c r="AY95" s="27" t="s">
        <v>385</v>
      </c>
      <c r="AZ95" s="27" t="s">
        <v>938</v>
      </c>
      <c r="BA95" s="19" t="s">
        <v>2448</v>
      </c>
      <c r="BB95" s="19" t="s">
        <v>2449</v>
      </c>
      <c r="BC95" s="19" t="s">
        <v>402</v>
      </c>
      <c r="BD95" s="75" t="s">
        <v>809</v>
      </c>
      <c r="BE95" s="100" t="s">
        <v>3786</v>
      </c>
      <c r="BF95" s="100" t="s">
        <v>4107</v>
      </c>
      <c r="BG95" s="100"/>
    </row>
    <row r="96" spans="1:59" s="10" customFormat="1" ht="13.5" x14ac:dyDescent="0.25">
      <c r="A96" s="59">
        <v>88</v>
      </c>
      <c r="B96" s="15" t="s">
        <v>692</v>
      </c>
      <c r="C96" s="12">
        <v>65900</v>
      </c>
      <c r="D96" s="11" t="s">
        <v>40</v>
      </c>
      <c r="E96" s="11" t="s">
        <v>61</v>
      </c>
      <c r="F96" s="11" t="s">
        <v>62</v>
      </c>
      <c r="G96" s="13" t="s">
        <v>43</v>
      </c>
      <c r="H96" s="11" t="s">
        <v>1703</v>
      </c>
      <c r="I96" s="3" t="s">
        <v>1632</v>
      </c>
      <c r="J96" s="3" t="s">
        <v>1632</v>
      </c>
      <c r="K96" s="11" t="s">
        <v>1781</v>
      </c>
      <c r="L96" s="4" t="s">
        <v>694</v>
      </c>
      <c r="M96" s="4" t="s">
        <v>694</v>
      </c>
      <c r="N96" s="4" t="s">
        <v>694</v>
      </c>
      <c r="O96" s="26" t="s">
        <v>695</v>
      </c>
      <c r="P96" s="5" t="s">
        <v>60</v>
      </c>
      <c r="Q96" s="1" t="s">
        <v>696</v>
      </c>
      <c r="R96" s="1"/>
      <c r="S96" s="1" t="s">
        <v>697</v>
      </c>
      <c r="T96" s="1"/>
      <c r="U96" s="1"/>
      <c r="V96" s="1" t="s">
        <v>77</v>
      </c>
      <c r="W96" s="1"/>
      <c r="X96" s="1" t="s">
        <v>55</v>
      </c>
      <c r="Y96" s="1" t="s">
        <v>56</v>
      </c>
      <c r="Z96" s="3">
        <v>45028</v>
      </c>
      <c r="AA96" s="3">
        <v>45026</v>
      </c>
      <c r="AB96" s="6"/>
      <c r="AC96" s="1"/>
      <c r="AD96" s="4"/>
      <c r="AE96" s="2">
        <v>65900</v>
      </c>
      <c r="AF96" s="3" t="s">
        <v>693</v>
      </c>
      <c r="AG96" s="7">
        <v>428</v>
      </c>
      <c r="AH96" s="7">
        <v>455</v>
      </c>
      <c r="AI96" s="7">
        <v>501</v>
      </c>
      <c r="AJ96" s="7">
        <v>1384</v>
      </c>
      <c r="AK96" s="7">
        <v>5</v>
      </c>
      <c r="AL96" s="25" t="s">
        <v>57</v>
      </c>
      <c r="AM96" s="25" t="s">
        <v>58</v>
      </c>
      <c r="AN96" s="25" t="s">
        <v>59</v>
      </c>
      <c r="AO96" s="25" t="s">
        <v>79</v>
      </c>
      <c r="AP96" s="19" t="s">
        <v>1781</v>
      </c>
      <c r="AQ96" s="19" t="s">
        <v>1869</v>
      </c>
      <c r="AR96" s="19" t="s">
        <v>60</v>
      </c>
      <c r="AS96" s="19"/>
      <c r="AT96" s="19" t="s">
        <v>2040</v>
      </c>
      <c r="AU96" s="19" t="s">
        <v>1994</v>
      </c>
      <c r="AV96" s="19">
        <v>9810670823</v>
      </c>
      <c r="AW96" s="20">
        <v>46127</v>
      </c>
      <c r="AX96" s="19" t="s">
        <v>1990</v>
      </c>
      <c r="AY96" s="27" t="s">
        <v>62</v>
      </c>
      <c r="AZ96" s="27" t="s">
        <v>61</v>
      </c>
      <c r="BA96" s="19" t="s">
        <v>2805</v>
      </c>
      <c r="BB96" s="19" t="s">
        <v>2806</v>
      </c>
      <c r="BC96" s="19" t="s">
        <v>2364</v>
      </c>
      <c r="BD96" s="75" t="s">
        <v>1703</v>
      </c>
      <c r="BE96" s="100" t="s">
        <v>3776</v>
      </c>
      <c r="BF96" s="100" t="s">
        <v>4083</v>
      </c>
      <c r="BG96" s="100" t="s">
        <v>4084</v>
      </c>
    </row>
    <row r="97" spans="1:59" s="10" customFormat="1" ht="13.5" x14ac:dyDescent="0.25">
      <c r="A97" s="59">
        <v>83</v>
      </c>
      <c r="B97" s="15" t="s">
        <v>60</v>
      </c>
      <c r="C97" s="12">
        <v>377996</v>
      </c>
      <c r="D97" s="11" t="s">
        <v>40</v>
      </c>
      <c r="E97" s="11" t="s">
        <v>96</v>
      </c>
      <c r="F97" s="11" t="s">
        <v>1024</v>
      </c>
      <c r="G97" s="13" t="s">
        <v>43</v>
      </c>
      <c r="H97" s="11" t="s">
        <v>1204</v>
      </c>
      <c r="I97" s="3" t="s">
        <v>1680</v>
      </c>
      <c r="J97" s="3" t="s">
        <v>1680</v>
      </c>
      <c r="K97" s="11" t="s">
        <v>1831</v>
      </c>
      <c r="L97" s="4" t="s">
        <v>1205</v>
      </c>
      <c r="M97" s="4" t="s">
        <v>1205</v>
      </c>
      <c r="N97" s="4" t="s">
        <v>1205</v>
      </c>
      <c r="O97" s="26" t="s">
        <v>1206</v>
      </c>
      <c r="P97" s="5" t="s">
        <v>60</v>
      </c>
      <c r="Q97" s="1" t="s">
        <v>1207</v>
      </c>
      <c r="R97" s="1"/>
      <c r="S97" s="1" t="s">
        <v>1208</v>
      </c>
      <c r="T97" s="1"/>
      <c r="U97" s="1"/>
      <c r="V97" s="1"/>
      <c r="W97" s="1"/>
      <c r="X97" s="1" t="s">
        <v>197</v>
      </c>
      <c r="Y97" s="1" t="s">
        <v>56</v>
      </c>
      <c r="Z97" s="3">
        <v>45924</v>
      </c>
      <c r="AA97" s="3">
        <v>45924</v>
      </c>
      <c r="AB97" s="6"/>
      <c r="AC97" s="1"/>
      <c r="AD97" s="4"/>
      <c r="AE97" s="2">
        <v>377996</v>
      </c>
      <c r="AF97" s="3" t="s">
        <v>1204</v>
      </c>
      <c r="AG97" s="7" t="s">
        <v>60</v>
      </c>
      <c r="AH97" s="7" t="s">
        <v>60</v>
      </c>
      <c r="AI97" s="7" t="s">
        <v>60</v>
      </c>
      <c r="AJ97" s="7" t="s">
        <v>60</v>
      </c>
      <c r="AK97" s="7">
        <v>2</v>
      </c>
      <c r="AL97" s="25" t="s">
        <v>70</v>
      </c>
      <c r="AM97" s="25" t="s">
        <v>58</v>
      </c>
      <c r="AN97" s="25" t="s">
        <v>59</v>
      </c>
      <c r="AO97" s="25" t="e">
        <v>#N/A</v>
      </c>
      <c r="AP97" s="19" t="s">
        <v>1831</v>
      </c>
      <c r="AQ97" s="19" t="s">
        <v>1869</v>
      </c>
      <c r="AR97" s="19" t="s">
        <v>60</v>
      </c>
      <c r="AS97" s="19"/>
      <c r="AT97" s="19" t="s">
        <v>2315</v>
      </c>
      <c r="AU97" s="19" t="s">
        <v>2346</v>
      </c>
      <c r="AV97" s="19">
        <v>9217935065</v>
      </c>
      <c r="AW97" s="20">
        <v>46134</v>
      </c>
      <c r="AX97" s="19" t="s">
        <v>1990</v>
      </c>
      <c r="AY97" s="27" t="s">
        <v>1024</v>
      </c>
      <c r="AZ97" s="27" t="s">
        <v>96</v>
      </c>
      <c r="BA97" s="19" t="s">
        <v>60</v>
      </c>
      <c r="BB97" s="19" t="s">
        <v>2531</v>
      </c>
      <c r="BC97" s="19" t="s">
        <v>143</v>
      </c>
      <c r="BD97" s="75" t="s">
        <v>1204</v>
      </c>
      <c r="BE97" s="100" t="s">
        <v>3771</v>
      </c>
      <c r="BF97" s="100" t="s">
        <v>4094</v>
      </c>
      <c r="BG97" s="100" t="s">
        <v>4095</v>
      </c>
    </row>
    <row r="98" spans="1:59" s="10" customFormat="1" ht="13.5" x14ac:dyDescent="0.25">
      <c r="A98" s="59">
        <v>161</v>
      </c>
      <c r="B98" s="15" t="s">
        <v>170</v>
      </c>
      <c r="C98" s="12">
        <v>26147</v>
      </c>
      <c r="D98" s="11" t="s">
        <v>40</v>
      </c>
      <c r="E98" s="11" t="s">
        <v>129</v>
      </c>
      <c r="F98" s="11" t="s">
        <v>129</v>
      </c>
      <c r="G98" s="13" t="s">
        <v>171</v>
      </c>
      <c r="H98" s="11" t="s">
        <v>172</v>
      </c>
      <c r="I98" s="3" t="s">
        <v>173</v>
      </c>
      <c r="J98" s="3" t="s">
        <v>173</v>
      </c>
      <c r="K98" s="11" t="s">
        <v>174</v>
      </c>
      <c r="L98" s="4" t="s">
        <v>175</v>
      </c>
      <c r="M98" s="4" t="s">
        <v>176</v>
      </c>
      <c r="N98" s="4" t="s">
        <v>177</v>
      </c>
      <c r="O98" s="26" t="s">
        <v>178</v>
      </c>
      <c r="P98" s="5" t="s">
        <v>60</v>
      </c>
      <c r="Q98" s="1" t="s">
        <v>179</v>
      </c>
      <c r="R98" s="1" t="s">
        <v>180</v>
      </c>
      <c r="S98" s="1" t="s">
        <v>181</v>
      </c>
      <c r="T98" s="1" t="s">
        <v>182</v>
      </c>
      <c r="U98" s="1" t="s">
        <v>183</v>
      </c>
      <c r="V98" s="1"/>
      <c r="W98" s="1" t="s">
        <v>94</v>
      </c>
      <c r="X98" s="1" t="s">
        <v>55</v>
      </c>
      <c r="Y98" s="1" t="s">
        <v>56</v>
      </c>
      <c r="Z98" s="3">
        <v>42769</v>
      </c>
      <c r="AA98" s="3">
        <v>42768</v>
      </c>
      <c r="AB98" s="6"/>
      <c r="AC98" s="1"/>
      <c r="AD98" s="4"/>
      <c r="AE98" s="2">
        <v>26147</v>
      </c>
      <c r="AF98" s="3" t="s">
        <v>172</v>
      </c>
      <c r="AG98" s="7">
        <v>260</v>
      </c>
      <c r="AH98" s="7">
        <v>343</v>
      </c>
      <c r="AI98" s="7">
        <v>363</v>
      </c>
      <c r="AJ98" s="7">
        <v>966</v>
      </c>
      <c r="AK98" s="7"/>
      <c r="AL98" s="25" t="s">
        <v>78</v>
      </c>
      <c r="AM98" s="25" t="s">
        <v>58</v>
      </c>
      <c r="AN98" s="25" t="s">
        <v>59</v>
      </c>
      <c r="AO98" s="25" t="s">
        <v>60</v>
      </c>
      <c r="AP98" s="19" t="s">
        <v>174</v>
      </c>
      <c r="AQ98" s="19" t="s">
        <v>1869</v>
      </c>
      <c r="AR98" s="19" t="s">
        <v>60</v>
      </c>
      <c r="AS98" s="19"/>
      <c r="AT98" s="19" t="s">
        <v>2271</v>
      </c>
      <c r="AU98" s="19" t="s">
        <v>2346</v>
      </c>
      <c r="AV98" s="19">
        <v>9217935065</v>
      </c>
      <c r="AW98" s="20">
        <v>46133</v>
      </c>
      <c r="AX98" s="19" t="s">
        <v>1990</v>
      </c>
      <c r="AY98" s="27" t="s">
        <v>129</v>
      </c>
      <c r="AZ98" s="27" t="s">
        <v>129</v>
      </c>
      <c r="BA98" s="19" t="s">
        <v>2521</v>
      </c>
      <c r="BB98" s="19" t="s">
        <v>2522</v>
      </c>
      <c r="BC98" s="19" t="s">
        <v>2678</v>
      </c>
      <c r="BD98" s="75" t="s">
        <v>172</v>
      </c>
      <c r="BE98" s="100" t="s">
        <v>3839</v>
      </c>
      <c r="BF98" s="100" t="s">
        <v>4112</v>
      </c>
      <c r="BG98" s="100"/>
    </row>
    <row r="99" spans="1:59" s="10" customFormat="1" ht="13.5" x14ac:dyDescent="0.25">
      <c r="A99" s="59">
        <v>89</v>
      </c>
      <c r="B99" s="15" t="s">
        <v>60</v>
      </c>
      <c r="C99" s="12">
        <v>368002</v>
      </c>
      <c r="D99" s="11" t="s">
        <v>40</v>
      </c>
      <c r="E99" s="11" t="s">
        <v>61</v>
      </c>
      <c r="F99" s="11" t="s">
        <v>62</v>
      </c>
      <c r="G99" s="13" t="s">
        <v>43</v>
      </c>
      <c r="H99" s="11" t="s">
        <v>1747</v>
      </c>
      <c r="I99" s="3" t="s">
        <v>1682</v>
      </c>
      <c r="J99" s="3" t="s">
        <v>1682</v>
      </c>
      <c r="K99" s="11" t="s">
        <v>1833</v>
      </c>
      <c r="L99" s="4" t="s">
        <v>1215</v>
      </c>
      <c r="M99" s="4" t="s">
        <v>1215</v>
      </c>
      <c r="N99" s="4" t="s">
        <v>1215</v>
      </c>
      <c r="O99" s="26" t="s">
        <v>1216</v>
      </c>
      <c r="P99" s="5" t="s">
        <v>60</v>
      </c>
      <c r="Q99" s="1" t="s">
        <v>1217</v>
      </c>
      <c r="R99" s="1"/>
      <c r="S99" s="1" t="s">
        <v>1218</v>
      </c>
      <c r="T99" s="1"/>
      <c r="U99" s="1"/>
      <c r="V99" s="1"/>
      <c r="W99" s="1"/>
      <c r="X99" s="1" t="s">
        <v>835</v>
      </c>
      <c r="Y99" s="1" t="s">
        <v>56</v>
      </c>
      <c r="Z99" s="3">
        <v>45929</v>
      </c>
      <c r="AA99" s="3">
        <v>45929</v>
      </c>
      <c r="AB99" s="6"/>
      <c r="AC99" s="1"/>
      <c r="AD99" s="4"/>
      <c r="AE99" s="2">
        <v>368002</v>
      </c>
      <c r="AF99" s="3" t="s">
        <v>1214</v>
      </c>
      <c r="AG99" s="7" t="s">
        <v>60</v>
      </c>
      <c r="AH99" s="7" t="s">
        <v>60</v>
      </c>
      <c r="AI99" s="7" t="s">
        <v>60</v>
      </c>
      <c r="AJ99" s="7" t="s">
        <v>60</v>
      </c>
      <c r="AK99" s="7">
        <v>12</v>
      </c>
      <c r="AL99" s="25" t="s">
        <v>70</v>
      </c>
      <c r="AM99" s="25" t="s">
        <v>58</v>
      </c>
      <c r="AN99" s="25" t="s">
        <v>59</v>
      </c>
      <c r="AO99" s="25" t="e">
        <v>#N/A</v>
      </c>
      <c r="AP99" s="19" t="s">
        <v>1833</v>
      </c>
      <c r="AQ99" s="19" t="s">
        <v>1869</v>
      </c>
      <c r="AR99" s="19" t="s">
        <v>60</v>
      </c>
      <c r="AS99" s="19"/>
      <c r="AT99" s="19" t="s">
        <v>2083</v>
      </c>
      <c r="AU99" s="19" t="s">
        <v>1994</v>
      </c>
      <c r="AV99" s="19">
        <v>9810670823</v>
      </c>
      <c r="AW99" s="20">
        <v>46132</v>
      </c>
      <c r="AX99" s="19" t="s">
        <v>1990</v>
      </c>
      <c r="AY99" s="27" t="s">
        <v>62</v>
      </c>
      <c r="AZ99" s="27" t="s">
        <v>61</v>
      </c>
      <c r="BA99" s="19" t="s">
        <v>60</v>
      </c>
      <c r="BB99" s="19" t="s">
        <v>2532</v>
      </c>
      <c r="BC99" s="19" t="s">
        <v>2533</v>
      </c>
      <c r="BD99" s="75" t="s">
        <v>1747</v>
      </c>
      <c r="BE99" s="100" t="s">
        <v>3777</v>
      </c>
      <c r="BF99" s="100" t="s">
        <v>4226</v>
      </c>
      <c r="BG99" s="100" t="s">
        <v>4225</v>
      </c>
    </row>
    <row r="100" spans="1:59" s="10" customFormat="1" ht="13.5" x14ac:dyDescent="0.25">
      <c r="A100" s="59">
        <v>113</v>
      </c>
      <c r="B100" s="15" t="s">
        <v>773</v>
      </c>
      <c r="C100" s="12">
        <v>54359</v>
      </c>
      <c r="D100" s="11" t="s">
        <v>103</v>
      </c>
      <c r="E100" s="11" t="s">
        <v>968</v>
      </c>
      <c r="F100" s="11" t="s">
        <v>414</v>
      </c>
      <c r="G100" s="13" t="s">
        <v>352</v>
      </c>
      <c r="H100" s="11" t="s">
        <v>774</v>
      </c>
      <c r="I100" s="3" t="s">
        <v>1636</v>
      </c>
      <c r="J100" s="3" t="s">
        <v>1636</v>
      </c>
      <c r="K100" s="11" t="s">
        <v>1974</v>
      </c>
      <c r="L100" s="4" t="s">
        <v>775</v>
      </c>
      <c r="M100" s="4" t="s">
        <v>776</v>
      </c>
      <c r="N100" s="4" t="s">
        <v>257</v>
      </c>
      <c r="O100" s="4" t="s">
        <v>777</v>
      </c>
      <c r="P100" s="5" t="s">
        <v>60</v>
      </c>
      <c r="Q100" s="4" t="s">
        <v>778</v>
      </c>
      <c r="R100" s="4">
        <v>0</v>
      </c>
      <c r="S100" s="4" t="s">
        <v>779</v>
      </c>
      <c r="T100" s="4">
        <v>0</v>
      </c>
      <c r="U100" s="4">
        <v>0</v>
      </c>
      <c r="V100" s="4">
        <v>0</v>
      </c>
      <c r="W100" s="4">
        <v>0</v>
      </c>
      <c r="X100" s="4" t="s">
        <v>55</v>
      </c>
      <c r="Y100" s="4" t="s">
        <v>56</v>
      </c>
      <c r="Z100" s="4">
        <v>44867</v>
      </c>
      <c r="AA100" s="4">
        <v>44865</v>
      </c>
      <c r="AB100" s="4">
        <v>0</v>
      </c>
      <c r="AC100" s="4" t="s">
        <v>780</v>
      </c>
      <c r="AD100" s="4" t="s">
        <v>781</v>
      </c>
      <c r="AE100" s="4">
        <v>54359</v>
      </c>
      <c r="AF100" s="4" t="s">
        <v>774</v>
      </c>
      <c r="AG100" s="7">
        <v>893</v>
      </c>
      <c r="AH100" s="7">
        <v>900</v>
      </c>
      <c r="AI100" s="7">
        <v>1017</v>
      </c>
      <c r="AJ100" s="7">
        <v>2810</v>
      </c>
      <c r="AK100" s="7"/>
      <c r="AL100" s="25" t="s">
        <v>78</v>
      </c>
      <c r="AM100" s="25" t="s">
        <v>58</v>
      </c>
      <c r="AN100" s="25" t="s">
        <v>59</v>
      </c>
      <c r="AO100" s="25" t="s">
        <v>95</v>
      </c>
      <c r="AP100" s="19" t="s">
        <v>1974</v>
      </c>
      <c r="AQ100" s="19" t="s">
        <v>1869</v>
      </c>
      <c r="AR100" s="19" t="s">
        <v>60</v>
      </c>
      <c r="AS100" s="19"/>
      <c r="AT100" s="19" t="s">
        <v>2289</v>
      </c>
      <c r="AU100" s="19" t="s">
        <v>2091</v>
      </c>
      <c r="AV100" s="19">
        <v>9354241930</v>
      </c>
      <c r="AW100" s="20">
        <v>46133</v>
      </c>
      <c r="AX100" s="19" t="s">
        <v>1990</v>
      </c>
      <c r="AY100" s="27" t="s">
        <v>414</v>
      </c>
      <c r="AZ100" s="27" t="s">
        <v>968</v>
      </c>
      <c r="BA100" s="19" t="s">
        <v>2469</v>
      </c>
      <c r="BB100" s="19" t="s">
        <v>2716</v>
      </c>
      <c r="BC100" s="19" t="s">
        <v>95</v>
      </c>
      <c r="BD100" s="75" t="s">
        <v>774</v>
      </c>
      <c r="BE100" s="100" t="s">
        <v>3800</v>
      </c>
      <c r="BF100" s="100" t="s">
        <v>4115</v>
      </c>
      <c r="BG100" s="100"/>
    </row>
    <row r="101" spans="1:59" s="10" customFormat="1" ht="13.5" x14ac:dyDescent="0.25">
      <c r="A101" s="59">
        <v>71</v>
      </c>
      <c r="B101" s="15" t="s">
        <v>60</v>
      </c>
      <c r="C101" s="12">
        <v>332002</v>
      </c>
      <c r="D101" s="11" t="s">
        <v>40</v>
      </c>
      <c r="E101" s="11" t="s">
        <v>199</v>
      </c>
      <c r="F101" s="11" t="s">
        <v>214</v>
      </c>
      <c r="G101" s="13" t="s">
        <v>43</v>
      </c>
      <c r="H101" s="11" t="s">
        <v>1957</v>
      </c>
      <c r="I101" s="3" t="s">
        <v>1674</v>
      </c>
      <c r="J101" s="3" t="s">
        <v>1674</v>
      </c>
      <c r="K101" s="11" t="s">
        <v>1867</v>
      </c>
      <c r="L101" s="4">
        <v>8077308036</v>
      </c>
      <c r="M101" s="4">
        <v>8077308036</v>
      </c>
      <c r="N101" s="4">
        <v>8077308036</v>
      </c>
      <c r="O101" s="4" t="s">
        <v>1064</v>
      </c>
      <c r="P101" s="5" t="s">
        <v>60</v>
      </c>
      <c r="Q101" s="4" t="s">
        <v>1065</v>
      </c>
      <c r="R101" s="4">
        <v>0</v>
      </c>
      <c r="S101" s="4" t="s">
        <v>1066</v>
      </c>
      <c r="T101" s="4">
        <v>0</v>
      </c>
      <c r="U101" s="4">
        <v>0</v>
      </c>
      <c r="V101" s="4" t="s">
        <v>977</v>
      </c>
      <c r="W101" s="4">
        <v>0</v>
      </c>
      <c r="X101" s="4" t="s">
        <v>835</v>
      </c>
      <c r="Y101" s="4" t="s">
        <v>56</v>
      </c>
      <c r="Z101" s="4">
        <v>45798</v>
      </c>
      <c r="AA101" s="4">
        <v>45797</v>
      </c>
      <c r="AB101" s="4">
        <v>0</v>
      </c>
      <c r="AC101" s="4">
        <v>0</v>
      </c>
      <c r="AD101" s="4">
        <v>0</v>
      </c>
      <c r="AE101" s="4">
        <v>332002</v>
      </c>
      <c r="AF101" s="4" t="s">
        <v>1063</v>
      </c>
      <c r="AG101" s="7">
        <v>1145</v>
      </c>
      <c r="AH101" s="7">
        <v>1152</v>
      </c>
      <c r="AI101" s="7">
        <v>1732</v>
      </c>
      <c r="AJ101" s="7">
        <v>4029</v>
      </c>
      <c r="AK101" s="7"/>
      <c r="AL101" s="25" t="s">
        <v>78</v>
      </c>
      <c r="AM101" s="25" t="s">
        <v>58</v>
      </c>
      <c r="AN101" s="25" t="s">
        <v>59</v>
      </c>
      <c r="AO101" s="25" t="s">
        <v>52</v>
      </c>
      <c r="AP101" s="19" t="s">
        <v>1867</v>
      </c>
      <c r="AQ101" s="19" t="s">
        <v>1869</v>
      </c>
      <c r="AR101" s="19" t="s">
        <v>60</v>
      </c>
      <c r="AS101" s="19"/>
      <c r="AT101" s="19" t="s">
        <v>2072</v>
      </c>
      <c r="AU101" s="19" t="s">
        <v>2096</v>
      </c>
      <c r="AV101" s="19">
        <v>7688959606</v>
      </c>
      <c r="AW101" s="20">
        <v>46134</v>
      </c>
      <c r="AX101" s="19" t="s">
        <v>1990</v>
      </c>
      <c r="AY101" s="27" t="s">
        <v>214</v>
      </c>
      <c r="AZ101" s="27" t="s">
        <v>199</v>
      </c>
      <c r="BA101" s="19" t="s">
        <v>2428</v>
      </c>
      <c r="BB101" s="19" t="s">
        <v>2713</v>
      </c>
      <c r="BC101" s="19" t="s">
        <v>2764</v>
      </c>
      <c r="BD101" s="75" t="s">
        <v>1957</v>
      </c>
      <c r="BE101" s="100" t="s">
        <v>3759</v>
      </c>
      <c r="BF101" s="100" t="s">
        <v>4116</v>
      </c>
      <c r="BG101" s="100"/>
    </row>
    <row r="102" spans="1:59" s="10" customFormat="1" ht="13.5" x14ac:dyDescent="0.25">
      <c r="A102" s="59">
        <v>92</v>
      </c>
      <c r="B102" s="15" t="s">
        <v>60</v>
      </c>
      <c r="C102" s="12">
        <v>332002</v>
      </c>
      <c r="D102" s="11" t="s">
        <v>40</v>
      </c>
      <c r="E102" s="11" t="s">
        <v>61</v>
      </c>
      <c r="F102" s="11" t="s">
        <v>1601</v>
      </c>
      <c r="G102" s="13" t="s">
        <v>43</v>
      </c>
      <c r="H102" s="11" t="s">
        <v>1956</v>
      </c>
      <c r="I102" s="3" t="s">
        <v>1674</v>
      </c>
      <c r="J102" s="3" t="s">
        <v>1674</v>
      </c>
      <c r="K102" s="11" t="s">
        <v>1822</v>
      </c>
      <c r="L102" s="4">
        <v>8077308036</v>
      </c>
      <c r="M102" s="4">
        <v>8077308036</v>
      </c>
      <c r="N102" s="4">
        <v>8077308036</v>
      </c>
      <c r="O102" s="26" t="s">
        <v>1064</v>
      </c>
      <c r="P102" s="5" t="s">
        <v>60</v>
      </c>
      <c r="Q102" s="1" t="s">
        <v>1065</v>
      </c>
      <c r="R102" s="1"/>
      <c r="S102" s="1" t="s">
        <v>1066</v>
      </c>
      <c r="T102" s="1"/>
      <c r="U102" s="1"/>
      <c r="V102" s="1" t="s">
        <v>977</v>
      </c>
      <c r="W102" s="1"/>
      <c r="X102" s="1" t="s">
        <v>835</v>
      </c>
      <c r="Y102" s="1" t="s">
        <v>56</v>
      </c>
      <c r="Z102" s="3">
        <v>45798</v>
      </c>
      <c r="AA102" s="3">
        <v>45797</v>
      </c>
      <c r="AB102" s="6"/>
      <c r="AC102" s="1"/>
      <c r="AD102" s="4"/>
      <c r="AE102" s="2">
        <v>332002</v>
      </c>
      <c r="AF102" s="3" t="s">
        <v>1063</v>
      </c>
      <c r="AG102" s="7">
        <v>1145</v>
      </c>
      <c r="AH102" s="7">
        <v>1152</v>
      </c>
      <c r="AI102" s="7">
        <v>1732</v>
      </c>
      <c r="AJ102" s="7">
        <v>4029</v>
      </c>
      <c r="AK102" s="7"/>
      <c r="AL102" s="25" t="s">
        <v>78</v>
      </c>
      <c r="AM102" s="25" t="s">
        <v>58</v>
      </c>
      <c r="AN102" s="25" t="s">
        <v>59</v>
      </c>
      <c r="AO102" s="25" t="s">
        <v>52</v>
      </c>
      <c r="AP102" s="19" t="s">
        <v>3700</v>
      </c>
      <c r="AQ102" s="19" t="s">
        <v>1869</v>
      </c>
      <c r="AR102" s="19" t="s">
        <v>60</v>
      </c>
      <c r="AS102" s="19"/>
      <c r="AT102" s="19" t="s">
        <v>1674</v>
      </c>
      <c r="AU102" s="19" t="s">
        <v>2092</v>
      </c>
      <c r="AV102" s="19">
        <v>7753851136</v>
      </c>
      <c r="AW102" s="20">
        <v>46129</v>
      </c>
      <c r="AX102" s="19" t="s">
        <v>1990</v>
      </c>
      <c r="AY102" s="27" t="s">
        <v>1601</v>
      </c>
      <c r="AZ102" s="27" t="s">
        <v>61</v>
      </c>
      <c r="BA102" s="19" t="s">
        <v>2428</v>
      </c>
      <c r="BB102" s="19" t="s">
        <v>2713</v>
      </c>
      <c r="BC102" s="19" t="s">
        <v>2764</v>
      </c>
      <c r="BD102" s="75" t="s">
        <v>1956</v>
      </c>
      <c r="BE102" s="100" t="s">
        <v>3780</v>
      </c>
      <c r="BF102" s="100" t="s">
        <v>4117</v>
      </c>
      <c r="BG102" s="100"/>
    </row>
    <row r="103" spans="1:59" s="10" customFormat="1" ht="13.5" x14ac:dyDescent="0.25">
      <c r="A103" s="59">
        <v>68</v>
      </c>
      <c r="B103" s="15" t="s">
        <v>60</v>
      </c>
      <c r="C103" s="12">
        <v>351050</v>
      </c>
      <c r="D103" s="11" t="s">
        <v>40</v>
      </c>
      <c r="E103" s="11" t="s">
        <v>199</v>
      </c>
      <c r="F103" s="11" t="s">
        <v>214</v>
      </c>
      <c r="G103" s="13" t="s">
        <v>43</v>
      </c>
      <c r="H103" s="11" t="s">
        <v>1742</v>
      </c>
      <c r="I103" s="3" t="s">
        <v>1153</v>
      </c>
      <c r="J103" s="3" t="s">
        <v>1153</v>
      </c>
      <c r="K103" s="11" t="s">
        <v>1154</v>
      </c>
      <c r="L103" s="4">
        <v>9828920222</v>
      </c>
      <c r="M103" s="4">
        <v>9828920222</v>
      </c>
      <c r="N103" s="4">
        <v>9828920222</v>
      </c>
      <c r="O103" s="26" t="s">
        <v>1155</v>
      </c>
      <c r="P103" s="5" t="s">
        <v>60</v>
      </c>
      <c r="Q103" s="1" t="s">
        <v>1156</v>
      </c>
      <c r="R103" s="1"/>
      <c r="S103" s="1" t="s">
        <v>1157</v>
      </c>
      <c r="T103" s="1"/>
      <c r="U103" s="1"/>
      <c r="V103" s="1"/>
      <c r="W103" s="1"/>
      <c r="X103" s="1" t="s">
        <v>55</v>
      </c>
      <c r="Y103" s="1" t="s">
        <v>56</v>
      </c>
      <c r="Z103" s="3">
        <v>45845</v>
      </c>
      <c r="AA103" s="3">
        <v>45844</v>
      </c>
      <c r="AB103" s="6"/>
      <c r="AC103" s="1"/>
      <c r="AD103" s="4"/>
      <c r="AE103" s="2">
        <v>351050</v>
      </c>
      <c r="AF103" s="3" t="s">
        <v>1152</v>
      </c>
      <c r="AG103" s="7" t="s">
        <v>60</v>
      </c>
      <c r="AH103" s="7" t="s">
        <v>60</v>
      </c>
      <c r="AI103" s="7" t="s">
        <v>60</v>
      </c>
      <c r="AJ103" s="7" t="s">
        <v>60</v>
      </c>
      <c r="AK103" s="7">
        <v>6</v>
      </c>
      <c r="AL103" s="25" t="s">
        <v>70</v>
      </c>
      <c r="AM103" s="25" t="s">
        <v>58</v>
      </c>
      <c r="AN103" s="25" t="s">
        <v>59</v>
      </c>
      <c r="AO103" s="25" t="e">
        <v>#N/A</v>
      </c>
      <c r="AP103" s="19" t="s">
        <v>1154</v>
      </c>
      <c r="AQ103" s="19" t="s">
        <v>1869</v>
      </c>
      <c r="AR103" s="19" t="s">
        <v>60</v>
      </c>
      <c r="AS103" s="19"/>
      <c r="AT103" s="19" t="s">
        <v>2310</v>
      </c>
      <c r="AU103" s="19" t="s">
        <v>2092</v>
      </c>
      <c r="AV103" s="19">
        <v>7753851136</v>
      </c>
      <c r="AW103" s="20">
        <v>46134</v>
      </c>
      <c r="AX103" s="19" t="s">
        <v>1990</v>
      </c>
      <c r="AY103" s="27" t="s">
        <v>214</v>
      </c>
      <c r="AZ103" s="27" t="s">
        <v>199</v>
      </c>
      <c r="BA103" s="19" t="s">
        <v>60</v>
      </c>
      <c r="BB103" s="19" t="s">
        <v>2527</v>
      </c>
      <c r="BC103" s="19" t="s">
        <v>1042</v>
      </c>
      <c r="BD103" s="75" t="s">
        <v>1742</v>
      </c>
      <c r="BE103" s="100" t="s">
        <v>3756</v>
      </c>
      <c r="BF103" s="100" t="s">
        <v>4072</v>
      </c>
      <c r="BG103" s="100" t="s">
        <v>4073</v>
      </c>
    </row>
    <row r="104" spans="1:59" s="10" customFormat="1" ht="13.5" x14ac:dyDescent="0.25">
      <c r="A104" s="59">
        <v>35</v>
      </c>
      <c r="B104" s="15" t="s">
        <v>60</v>
      </c>
      <c r="C104" s="12">
        <v>305020</v>
      </c>
      <c r="D104" s="11" t="s">
        <v>40</v>
      </c>
      <c r="E104" s="11" t="s">
        <v>199</v>
      </c>
      <c r="F104" s="11" t="s">
        <v>837</v>
      </c>
      <c r="G104" s="13" t="s">
        <v>43</v>
      </c>
      <c r="H104" s="11" t="s">
        <v>1718</v>
      </c>
      <c r="I104" s="3" t="s">
        <v>1651</v>
      </c>
      <c r="J104" s="3" t="s">
        <v>1651</v>
      </c>
      <c r="K104" s="11" t="s">
        <v>1802</v>
      </c>
      <c r="L104" s="4">
        <v>9602662666</v>
      </c>
      <c r="M104" s="4">
        <v>9602662666</v>
      </c>
      <c r="N104" s="4">
        <v>9602662666</v>
      </c>
      <c r="O104" s="26" t="s">
        <v>900</v>
      </c>
      <c r="P104" s="5" t="s">
        <v>60</v>
      </c>
      <c r="Q104" s="1" t="s">
        <v>901</v>
      </c>
      <c r="R104" s="1"/>
      <c r="S104" s="1" t="s">
        <v>902</v>
      </c>
      <c r="T104" s="1"/>
      <c r="U104" s="1"/>
      <c r="V104" s="1" t="s">
        <v>93</v>
      </c>
      <c r="W104" s="1"/>
      <c r="X104" s="1" t="s">
        <v>55</v>
      </c>
      <c r="Y104" s="1" t="s">
        <v>56</v>
      </c>
      <c r="Z104" s="3">
        <v>45679</v>
      </c>
      <c r="AA104" s="3">
        <v>45679</v>
      </c>
      <c r="AB104" s="6"/>
      <c r="AC104" s="1"/>
      <c r="AD104" s="4"/>
      <c r="AE104" s="2">
        <v>305020</v>
      </c>
      <c r="AF104" s="3" t="s">
        <v>899</v>
      </c>
      <c r="AG104" s="7">
        <v>99</v>
      </c>
      <c r="AH104" s="7">
        <v>114</v>
      </c>
      <c r="AI104" s="7">
        <v>123</v>
      </c>
      <c r="AJ104" s="7">
        <v>336</v>
      </c>
      <c r="AK104" s="7"/>
      <c r="AL104" s="25" t="s">
        <v>78</v>
      </c>
      <c r="AM104" s="25" t="s">
        <v>58</v>
      </c>
      <c r="AN104" s="25" t="s">
        <v>59</v>
      </c>
      <c r="AO104" s="25" t="s">
        <v>549</v>
      </c>
      <c r="AP104" s="19" t="s">
        <v>1802</v>
      </c>
      <c r="AQ104" s="19" t="s">
        <v>1869</v>
      </c>
      <c r="AR104" s="19" t="s">
        <v>60</v>
      </c>
      <c r="AS104" s="19"/>
      <c r="AT104" s="19" t="s">
        <v>2297</v>
      </c>
      <c r="AU104" s="19" t="s">
        <v>2096</v>
      </c>
      <c r="AV104" s="19">
        <v>7688959606</v>
      </c>
      <c r="AW104" s="20">
        <v>46121</v>
      </c>
      <c r="AX104" s="19" t="s">
        <v>1990</v>
      </c>
      <c r="AY104" s="27" t="s">
        <v>837</v>
      </c>
      <c r="AZ104" s="27" t="s">
        <v>837</v>
      </c>
      <c r="BA104" s="19" t="s">
        <v>2388</v>
      </c>
      <c r="BB104" s="19" t="s">
        <v>2389</v>
      </c>
      <c r="BC104" s="19" t="s">
        <v>2390</v>
      </c>
      <c r="BD104" s="75" t="s">
        <v>1718</v>
      </c>
      <c r="BE104" s="100" t="s">
        <v>3730</v>
      </c>
      <c r="BF104" s="100" t="s">
        <v>4119</v>
      </c>
      <c r="BG104" s="100"/>
    </row>
    <row r="105" spans="1:59" s="10" customFormat="1" ht="13.5" x14ac:dyDescent="0.25">
      <c r="A105" s="59">
        <v>104</v>
      </c>
      <c r="B105" s="15" t="s">
        <v>323</v>
      </c>
      <c r="C105" s="12">
        <v>26018</v>
      </c>
      <c r="D105" s="11" t="s">
        <v>103</v>
      </c>
      <c r="E105" s="11" t="s">
        <v>104</v>
      </c>
      <c r="F105" s="11" t="s">
        <v>105</v>
      </c>
      <c r="G105" s="13" t="s">
        <v>43</v>
      </c>
      <c r="H105" s="11" t="s">
        <v>324</v>
      </c>
      <c r="I105" s="3" t="s">
        <v>325</v>
      </c>
      <c r="J105" s="3" t="s">
        <v>325</v>
      </c>
      <c r="K105" s="11" t="s">
        <v>1966</v>
      </c>
      <c r="L105" s="4" t="s">
        <v>326</v>
      </c>
      <c r="M105" s="4" t="s">
        <v>327</v>
      </c>
      <c r="N105" s="4" t="s">
        <v>328</v>
      </c>
      <c r="O105" s="26" t="s">
        <v>329</v>
      </c>
      <c r="P105" s="5" t="s">
        <v>330</v>
      </c>
      <c r="Q105" s="1" t="s">
        <v>331</v>
      </c>
      <c r="R105" s="1"/>
      <c r="S105" s="1" t="s">
        <v>332</v>
      </c>
      <c r="T105" s="1"/>
      <c r="U105" s="1"/>
      <c r="V105" s="1" t="s">
        <v>93</v>
      </c>
      <c r="W105" s="1"/>
      <c r="X105" s="1" t="s">
        <v>55</v>
      </c>
      <c r="Y105" s="1" t="s">
        <v>56</v>
      </c>
      <c r="Z105" s="3">
        <v>43297</v>
      </c>
      <c r="AA105" s="3">
        <v>43297</v>
      </c>
      <c r="AB105" s="6"/>
      <c r="AC105" s="1"/>
      <c r="AD105" s="4" t="s">
        <v>333</v>
      </c>
      <c r="AE105" s="2">
        <v>26018</v>
      </c>
      <c r="AF105" s="3" t="s">
        <v>324</v>
      </c>
      <c r="AG105" s="7">
        <v>1762</v>
      </c>
      <c r="AH105" s="7">
        <v>1483</v>
      </c>
      <c r="AI105" s="7">
        <v>1338</v>
      </c>
      <c r="AJ105" s="7">
        <v>4583</v>
      </c>
      <c r="AK105" s="7">
        <v>5</v>
      </c>
      <c r="AL105" s="25" t="s">
        <v>57</v>
      </c>
      <c r="AM105" s="25" t="s">
        <v>58</v>
      </c>
      <c r="AN105" s="25" t="s">
        <v>59</v>
      </c>
      <c r="AO105" s="25" t="s">
        <v>322</v>
      </c>
      <c r="AP105" s="19" t="s">
        <v>60</v>
      </c>
      <c r="AQ105" s="19" t="s">
        <v>1884</v>
      </c>
      <c r="AR105" s="19" t="s">
        <v>1910</v>
      </c>
      <c r="AS105" s="19" t="s">
        <v>60</v>
      </c>
      <c r="AT105" s="19" t="s">
        <v>60</v>
      </c>
      <c r="AU105" s="19" t="s">
        <v>60</v>
      </c>
      <c r="AV105" s="19" t="s">
        <v>60</v>
      </c>
      <c r="AW105" s="19" t="s">
        <v>60</v>
      </c>
      <c r="AX105" s="19" t="s">
        <v>60</v>
      </c>
      <c r="AY105" s="19" t="s">
        <v>105</v>
      </c>
      <c r="AZ105" s="19" t="s">
        <v>104</v>
      </c>
      <c r="BA105" s="19" t="s">
        <v>2733</v>
      </c>
      <c r="BB105" s="19" t="s">
        <v>2734</v>
      </c>
      <c r="BC105" s="19" t="s">
        <v>2680</v>
      </c>
      <c r="BD105" s="75" t="s">
        <v>324</v>
      </c>
      <c r="BE105" s="100" t="s">
        <v>60</v>
      </c>
      <c r="BF105" s="100" t="s">
        <v>60</v>
      </c>
      <c r="BG105" s="100" t="s">
        <v>60</v>
      </c>
    </row>
    <row r="106" spans="1:59" s="10" customFormat="1" ht="13.5" x14ac:dyDescent="0.25">
      <c r="A106" s="59">
        <v>75</v>
      </c>
      <c r="B106" s="15" t="s">
        <v>903</v>
      </c>
      <c r="C106" s="12">
        <v>25660</v>
      </c>
      <c r="D106" s="11" t="s">
        <v>40</v>
      </c>
      <c r="E106" s="11" t="s">
        <v>199</v>
      </c>
      <c r="F106" s="11" t="s">
        <v>837</v>
      </c>
      <c r="G106" s="13" t="s">
        <v>43</v>
      </c>
      <c r="H106" s="11" t="s">
        <v>904</v>
      </c>
      <c r="I106" s="3" t="s">
        <v>905</v>
      </c>
      <c r="J106" s="3" t="s">
        <v>905</v>
      </c>
      <c r="K106" s="11" t="s">
        <v>906</v>
      </c>
      <c r="L106" s="4" t="s">
        <v>907</v>
      </c>
      <c r="M106" s="4" t="s">
        <v>908</v>
      </c>
      <c r="N106" s="4" t="s">
        <v>909</v>
      </c>
      <c r="O106" s="26" t="s">
        <v>910</v>
      </c>
      <c r="P106" s="5" t="s">
        <v>60</v>
      </c>
      <c r="Q106" s="1" t="s">
        <v>911</v>
      </c>
      <c r="R106" s="1" t="s">
        <v>912</v>
      </c>
      <c r="S106" s="1" t="s">
        <v>913</v>
      </c>
      <c r="T106" s="1"/>
      <c r="U106" s="1" t="s">
        <v>914</v>
      </c>
      <c r="V106" s="1" t="s">
        <v>93</v>
      </c>
      <c r="W106" s="1" t="s">
        <v>94</v>
      </c>
      <c r="X106" s="1" t="s">
        <v>55</v>
      </c>
      <c r="Y106" s="1" t="s">
        <v>56</v>
      </c>
      <c r="Z106" s="3">
        <v>41876</v>
      </c>
      <c r="AA106" s="3">
        <v>41851</v>
      </c>
      <c r="AB106" s="6"/>
      <c r="AC106" s="1"/>
      <c r="AD106" s="4"/>
      <c r="AE106" s="2">
        <v>25660</v>
      </c>
      <c r="AF106" s="3" t="s">
        <v>904</v>
      </c>
      <c r="AG106" s="7">
        <v>66</v>
      </c>
      <c r="AH106" s="7">
        <v>36</v>
      </c>
      <c r="AI106" s="7">
        <v>34</v>
      </c>
      <c r="AJ106" s="7">
        <v>136</v>
      </c>
      <c r="AK106" s="7"/>
      <c r="AL106" s="25" t="s">
        <v>78</v>
      </c>
      <c r="AM106" s="25" t="s">
        <v>58</v>
      </c>
      <c r="AN106" s="25" t="s">
        <v>59</v>
      </c>
      <c r="AO106" s="25" t="s">
        <v>60</v>
      </c>
      <c r="AP106" s="19" t="s">
        <v>906</v>
      </c>
      <c r="AQ106" s="19" t="s">
        <v>1869</v>
      </c>
      <c r="AR106" s="19" t="s">
        <v>60</v>
      </c>
      <c r="AS106" s="19"/>
      <c r="AT106" s="19" t="s">
        <v>2058</v>
      </c>
      <c r="AU106" s="19" t="s">
        <v>2096</v>
      </c>
      <c r="AV106" s="19">
        <v>7688959606</v>
      </c>
      <c r="AW106" s="20">
        <v>46122</v>
      </c>
      <c r="AX106" s="19" t="s">
        <v>1990</v>
      </c>
      <c r="AY106" s="27" t="s">
        <v>837</v>
      </c>
      <c r="AZ106" s="27" t="s">
        <v>199</v>
      </c>
      <c r="BA106" s="19" t="s">
        <v>2431</v>
      </c>
      <c r="BB106" s="19" t="s">
        <v>2432</v>
      </c>
      <c r="BC106" s="19" t="s">
        <v>954</v>
      </c>
      <c r="BD106" s="75" t="s">
        <v>904</v>
      </c>
      <c r="BE106" s="100" t="s">
        <v>3763</v>
      </c>
      <c r="BF106" s="100" t="s">
        <v>4120</v>
      </c>
      <c r="BG106" s="100"/>
    </row>
    <row r="107" spans="1:59" s="10" customFormat="1" ht="13.5" x14ac:dyDescent="0.25">
      <c r="A107" s="59">
        <v>172</v>
      </c>
      <c r="B107" s="15" t="s">
        <v>718</v>
      </c>
      <c r="C107" s="12">
        <v>51577</v>
      </c>
      <c r="D107" s="11" t="s">
        <v>40</v>
      </c>
      <c r="E107" s="11" t="s">
        <v>199</v>
      </c>
      <c r="F107" s="11" t="s">
        <v>214</v>
      </c>
      <c r="G107" s="13" t="s">
        <v>63</v>
      </c>
      <c r="H107" s="11" t="s">
        <v>719</v>
      </c>
      <c r="I107" s="3" t="s">
        <v>720</v>
      </c>
      <c r="J107" s="3" t="s">
        <v>720</v>
      </c>
      <c r="K107" s="11" t="s">
        <v>721</v>
      </c>
      <c r="L107" s="4" t="s">
        <v>722</v>
      </c>
      <c r="M107" s="4" t="s">
        <v>723</v>
      </c>
      <c r="N107" s="4" t="s">
        <v>722</v>
      </c>
      <c r="O107" s="26" t="s">
        <v>724</v>
      </c>
      <c r="P107" s="5" t="s">
        <v>60</v>
      </c>
      <c r="Q107" s="1" t="s">
        <v>725</v>
      </c>
      <c r="R107" s="1" t="s">
        <v>52</v>
      </c>
      <c r="S107" s="1" t="s">
        <v>726</v>
      </c>
      <c r="T107" s="1"/>
      <c r="U107" s="1"/>
      <c r="V107" s="1" t="s">
        <v>77</v>
      </c>
      <c r="W107" s="1"/>
      <c r="X107" s="1" t="s">
        <v>55</v>
      </c>
      <c r="Y107" s="1" t="s">
        <v>56</v>
      </c>
      <c r="Z107" s="3">
        <v>41815</v>
      </c>
      <c r="AA107" s="3">
        <v>41814</v>
      </c>
      <c r="AB107" s="6"/>
      <c r="AC107" s="1"/>
      <c r="AD107" s="4"/>
      <c r="AE107" s="2">
        <v>51577</v>
      </c>
      <c r="AF107" s="3" t="s">
        <v>719</v>
      </c>
      <c r="AG107" s="7" t="s">
        <v>60</v>
      </c>
      <c r="AH107" s="7" t="s">
        <v>60</v>
      </c>
      <c r="AI107" s="7" t="s">
        <v>60</v>
      </c>
      <c r="AJ107" s="7" t="s">
        <v>60</v>
      </c>
      <c r="AK107" s="7"/>
      <c r="AL107" s="25" t="s">
        <v>70</v>
      </c>
      <c r="AM107" s="25" t="s">
        <v>58</v>
      </c>
      <c r="AN107" s="25" t="s">
        <v>59</v>
      </c>
      <c r="AO107" s="25" t="e">
        <v>#N/A</v>
      </c>
      <c r="AP107" s="19" t="s">
        <v>721</v>
      </c>
      <c r="AQ107" s="19" t="s">
        <v>1869</v>
      </c>
      <c r="AR107" s="19" t="s">
        <v>60</v>
      </c>
      <c r="AS107" s="19"/>
      <c r="AT107" s="19" t="s">
        <v>2043</v>
      </c>
      <c r="AU107" s="19" t="s">
        <v>2096</v>
      </c>
      <c r="AV107" s="19">
        <v>7688959606</v>
      </c>
      <c r="AW107" s="20">
        <v>46125</v>
      </c>
      <c r="AX107" s="19" t="s">
        <v>1990</v>
      </c>
      <c r="AY107" s="27" t="s">
        <v>214</v>
      </c>
      <c r="AZ107" s="27" t="s">
        <v>199</v>
      </c>
      <c r="BA107" s="19" t="s">
        <v>60</v>
      </c>
      <c r="BB107" s="19" t="s">
        <v>2419</v>
      </c>
      <c r="BC107" s="19" t="s">
        <v>538</v>
      </c>
      <c r="BD107" s="75" t="s">
        <v>719</v>
      </c>
      <c r="BE107" s="100" t="s">
        <v>3850</v>
      </c>
      <c r="BF107" s="100" t="s">
        <v>4196</v>
      </c>
      <c r="BG107" s="100" t="s">
        <v>4197</v>
      </c>
    </row>
    <row r="108" spans="1:59" s="10" customFormat="1" ht="13.5" x14ac:dyDescent="0.25">
      <c r="A108" s="59">
        <v>131</v>
      </c>
      <c r="B108" s="15" t="s">
        <v>758</v>
      </c>
      <c r="C108" s="12">
        <v>55833</v>
      </c>
      <c r="D108" s="11" t="s">
        <v>40</v>
      </c>
      <c r="E108" s="11" t="s">
        <v>41</v>
      </c>
      <c r="F108" s="11" t="s">
        <v>42</v>
      </c>
      <c r="G108" s="13" t="s">
        <v>352</v>
      </c>
      <c r="H108" s="11" t="s">
        <v>759</v>
      </c>
      <c r="I108" s="3" t="s">
        <v>760</v>
      </c>
      <c r="J108" s="3" t="s">
        <v>760</v>
      </c>
      <c r="K108" s="11" t="s">
        <v>1890</v>
      </c>
      <c r="L108" s="28" t="s">
        <v>761</v>
      </c>
      <c r="M108" s="28" t="s">
        <v>761</v>
      </c>
      <c r="N108" s="28" t="s">
        <v>761</v>
      </c>
      <c r="O108" s="28" t="s">
        <v>762</v>
      </c>
      <c r="P108" s="28" t="s">
        <v>763</v>
      </c>
      <c r="Q108" s="28" t="s">
        <v>764</v>
      </c>
      <c r="R108" s="28">
        <v>0</v>
      </c>
      <c r="S108" s="28" t="e">
        <v>#N/A</v>
      </c>
      <c r="T108" s="28">
        <v>0</v>
      </c>
      <c r="U108" s="28">
        <v>0</v>
      </c>
      <c r="V108" s="28">
        <v>0</v>
      </c>
      <c r="W108" s="28">
        <v>0</v>
      </c>
      <c r="X108" s="28" t="s">
        <v>55</v>
      </c>
      <c r="Y108" s="28" t="s">
        <v>56</v>
      </c>
      <c r="Z108" s="28">
        <v>42606</v>
      </c>
      <c r="AA108" s="28">
        <v>44884</v>
      </c>
      <c r="AB108" s="28">
        <v>0</v>
      </c>
      <c r="AC108" s="28">
        <v>0</v>
      </c>
      <c r="AD108" s="28" t="s">
        <v>766</v>
      </c>
      <c r="AE108" s="28">
        <v>55833</v>
      </c>
      <c r="AF108" s="28" t="s">
        <v>759</v>
      </c>
      <c r="AG108" s="7">
        <v>170</v>
      </c>
      <c r="AH108" s="7">
        <v>164</v>
      </c>
      <c r="AI108" s="7">
        <v>193</v>
      </c>
      <c r="AJ108" s="7">
        <v>527</v>
      </c>
      <c r="AK108" s="7"/>
      <c r="AL108" s="25" t="s">
        <v>78</v>
      </c>
      <c r="AM108" s="25" t="s">
        <v>58</v>
      </c>
      <c r="AN108" s="25" t="s">
        <v>59</v>
      </c>
      <c r="AO108" s="25" t="s">
        <v>95</v>
      </c>
      <c r="AP108" s="19" t="s">
        <v>1890</v>
      </c>
      <c r="AQ108" s="19" t="s">
        <v>1869</v>
      </c>
      <c r="AR108" s="19" t="s">
        <v>60</v>
      </c>
      <c r="AS108" s="19"/>
      <c r="AT108" s="19" t="s">
        <v>2046</v>
      </c>
      <c r="AU108" s="19" t="s">
        <v>2093</v>
      </c>
      <c r="AV108" s="19">
        <v>9990034588</v>
      </c>
      <c r="AW108" s="20">
        <v>46134</v>
      </c>
      <c r="AX108" s="19" t="s">
        <v>1990</v>
      </c>
      <c r="AY108" s="27" t="s">
        <v>42</v>
      </c>
      <c r="AZ108" s="27" t="s">
        <v>41</v>
      </c>
      <c r="BA108" s="19" t="s">
        <v>2490</v>
      </c>
      <c r="BB108" s="19" t="s">
        <v>2584</v>
      </c>
      <c r="BC108" s="19" t="s">
        <v>95</v>
      </c>
      <c r="BD108" s="75" t="s">
        <v>759</v>
      </c>
      <c r="BE108" s="100" t="s">
        <v>3814</v>
      </c>
      <c r="BF108" s="100" t="s">
        <v>4123</v>
      </c>
      <c r="BG108" s="100"/>
    </row>
    <row r="109" spans="1:59" s="10" customFormat="1" ht="27" x14ac:dyDescent="0.25">
      <c r="A109" s="59">
        <v>17</v>
      </c>
      <c r="B109" s="15" t="s">
        <v>609</v>
      </c>
      <c r="C109" s="12">
        <v>12698</v>
      </c>
      <c r="D109" s="11" t="s">
        <v>40</v>
      </c>
      <c r="E109" s="11" t="s">
        <v>129</v>
      </c>
      <c r="F109" s="11" t="s">
        <v>129</v>
      </c>
      <c r="G109" s="13" t="s">
        <v>43</v>
      </c>
      <c r="H109" s="11" t="s">
        <v>1699</v>
      </c>
      <c r="I109" s="3" t="s">
        <v>611</v>
      </c>
      <c r="J109" s="3" t="s">
        <v>611</v>
      </c>
      <c r="K109" s="23" t="s">
        <v>1779</v>
      </c>
      <c r="L109" s="4" t="s">
        <v>612</v>
      </c>
      <c r="M109" s="4" t="s">
        <v>613</v>
      </c>
      <c r="N109" s="4" t="s">
        <v>612</v>
      </c>
      <c r="O109" s="26" t="s">
        <v>614</v>
      </c>
      <c r="P109" s="5" t="s">
        <v>60</v>
      </c>
      <c r="Q109" s="1" t="s">
        <v>615</v>
      </c>
      <c r="R109" s="1" t="s">
        <v>52</v>
      </c>
      <c r="S109" s="1" t="s">
        <v>616</v>
      </c>
      <c r="T109" s="1" t="s">
        <v>617</v>
      </c>
      <c r="U109" s="1"/>
      <c r="V109" s="1" t="s">
        <v>618</v>
      </c>
      <c r="W109" s="1"/>
      <c r="X109" s="1" t="s">
        <v>197</v>
      </c>
      <c r="Y109" s="1" t="s">
        <v>56</v>
      </c>
      <c r="Z109" s="3">
        <v>44468</v>
      </c>
      <c r="AA109" s="3">
        <v>44467</v>
      </c>
      <c r="AB109" s="6"/>
      <c r="AC109" s="1"/>
      <c r="AD109" s="4"/>
      <c r="AE109" s="2">
        <v>12698</v>
      </c>
      <c r="AF109" s="3" t="s">
        <v>610</v>
      </c>
      <c r="AG109" s="7">
        <v>783</v>
      </c>
      <c r="AH109" s="7">
        <v>793</v>
      </c>
      <c r="AI109" s="7">
        <v>796</v>
      </c>
      <c r="AJ109" s="7">
        <v>2372</v>
      </c>
      <c r="AK109" s="7"/>
      <c r="AL109" s="25" t="s">
        <v>78</v>
      </c>
      <c r="AM109" s="25" t="s">
        <v>58</v>
      </c>
      <c r="AN109" s="25" t="s">
        <v>59</v>
      </c>
      <c r="AO109" s="25" t="s">
        <v>60</v>
      </c>
      <c r="AP109" s="19" t="s">
        <v>1779</v>
      </c>
      <c r="AQ109" s="19" t="s">
        <v>1869</v>
      </c>
      <c r="AR109" s="19" t="s">
        <v>60</v>
      </c>
      <c r="AS109" s="19"/>
      <c r="AT109" s="19" t="s">
        <v>2035</v>
      </c>
      <c r="AU109" s="19" t="s">
        <v>2097</v>
      </c>
      <c r="AV109" s="19">
        <v>9149204613</v>
      </c>
      <c r="AW109" s="20">
        <v>46128</v>
      </c>
      <c r="AX109" s="19" t="s">
        <v>1990</v>
      </c>
      <c r="AY109" s="27" t="s">
        <v>129</v>
      </c>
      <c r="AZ109" s="27" t="s">
        <v>129</v>
      </c>
      <c r="BA109" s="19" t="s">
        <v>2686</v>
      </c>
      <c r="BB109" s="19" t="s">
        <v>2687</v>
      </c>
      <c r="BC109" s="19" t="s">
        <v>60</v>
      </c>
      <c r="BD109" s="75" t="s">
        <v>1699</v>
      </c>
      <c r="BE109" s="100" t="s">
        <v>3716</v>
      </c>
      <c r="BF109" s="100" t="s">
        <v>4124</v>
      </c>
      <c r="BG109" s="100"/>
    </row>
    <row r="110" spans="1:59" s="10" customFormat="1" ht="13.5" x14ac:dyDescent="0.25">
      <c r="A110" s="59">
        <v>54</v>
      </c>
      <c r="B110" s="15" t="s">
        <v>630</v>
      </c>
      <c r="C110" s="12">
        <v>24712</v>
      </c>
      <c r="D110" s="11" t="s">
        <v>40</v>
      </c>
      <c r="E110" s="11" t="s">
        <v>41</v>
      </c>
      <c r="F110" s="11" t="s">
        <v>631</v>
      </c>
      <c r="G110" s="13" t="s">
        <v>43</v>
      </c>
      <c r="H110" s="11" t="s">
        <v>632</v>
      </c>
      <c r="I110" s="3" t="s">
        <v>633</v>
      </c>
      <c r="J110" s="3" t="s">
        <v>633</v>
      </c>
      <c r="K110" s="11" t="s">
        <v>1888</v>
      </c>
      <c r="L110" s="4" t="s">
        <v>634</v>
      </c>
      <c r="M110" s="4" t="s">
        <v>635</v>
      </c>
      <c r="N110" s="4" t="s">
        <v>636</v>
      </c>
      <c r="O110" s="26" t="s">
        <v>637</v>
      </c>
      <c r="P110" s="5" t="s">
        <v>638</v>
      </c>
      <c r="Q110" s="1" t="s">
        <v>639</v>
      </c>
      <c r="R110" s="1" t="s">
        <v>60</v>
      </c>
      <c r="S110" s="1" t="s">
        <v>640</v>
      </c>
      <c r="T110" s="1"/>
      <c r="U110" s="1"/>
      <c r="V110" s="1" t="s">
        <v>93</v>
      </c>
      <c r="W110" s="1"/>
      <c r="X110" s="1" t="s">
        <v>69</v>
      </c>
      <c r="Y110" s="1" t="s">
        <v>56</v>
      </c>
      <c r="Z110" s="3">
        <v>44482</v>
      </c>
      <c r="AA110" s="3">
        <v>44480</v>
      </c>
      <c r="AB110" s="6"/>
      <c r="AC110" s="1"/>
      <c r="AD110" s="4"/>
      <c r="AE110" s="2">
        <v>24712</v>
      </c>
      <c r="AF110" s="3" t="s">
        <v>632</v>
      </c>
      <c r="AG110" s="7">
        <v>751</v>
      </c>
      <c r="AH110" s="7">
        <v>744</v>
      </c>
      <c r="AI110" s="7">
        <v>652</v>
      </c>
      <c r="AJ110" s="7">
        <v>2147</v>
      </c>
      <c r="AK110" s="7"/>
      <c r="AL110" s="25" t="s">
        <v>78</v>
      </c>
      <c r="AM110" s="25" t="s">
        <v>58</v>
      </c>
      <c r="AN110" s="25" t="s">
        <v>59</v>
      </c>
      <c r="AO110" s="25" t="s">
        <v>95</v>
      </c>
      <c r="AP110" s="19" t="s">
        <v>1888</v>
      </c>
      <c r="AQ110" s="19" t="s">
        <v>1869</v>
      </c>
      <c r="AR110" s="19" t="s">
        <v>60</v>
      </c>
      <c r="AS110" s="19"/>
      <c r="AT110" s="19" t="s">
        <v>2037</v>
      </c>
      <c r="AU110" s="19" t="s">
        <v>2093</v>
      </c>
      <c r="AV110" s="19">
        <v>9990034588</v>
      </c>
      <c r="AW110" s="20">
        <v>46126</v>
      </c>
      <c r="AX110" s="19" t="s">
        <v>1990</v>
      </c>
      <c r="AY110" s="27" t="s">
        <v>631</v>
      </c>
      <c r="AZ110" s="27" t="s">
        <v>41</v>
      </c>
      <c r="BA110" s="19" t="s">
        <v>2411</v>
      </c>
      <c r="BB110" s="19" t="s">
        <v>2412</v>
      </c>
      <c r="BC110" s="19" t="s">
        <v>2757</v>
      </c>
      <c r="BD110" s="75" t="s">
        <v>632</v>
      </c>
      <c r="BE110" s="100" t="s">
        <v>3746</v>
      </c>
      <c r="BF110" s="100" t="s">
        <v>4057</v>
      </c>
      <c r="BG110" s="100"/>
    </row>
    <row r="111" spans="1:59" s="10" customFormat="1" ht="13.5" x14ac:dyDescent="0.25">
      <c r="A111" s="59">
        <v>42</v>
      </c>
      <c r="B111" s="15" t="s">
        <v>60</v>
      </c>
      <c r="C111" s="12">
        <v>379994</v>
      </c>
      <c r="D111" s="11" t="s">
        <v>103</v>
      </c>
      <c r="E111" s="11" t="s">
        <v>237</v>
      </c>
      <c r="F111" s="11" t="s">
        <v>226</v>
      </c>
      <c r="G111" s="13" t="s">
        <v>43</v>
      </c>
      <c r="H111" s="11" t="s">
        <v>1236</v>
      </c>
      <c r="I111" s="3" t="s">
        <v>1237</v>
      </c>
      <c r="J111" s="3" t="s">
        <v>1237</v>
      </c>
      <c r="K111" s="11" t="s">
        <v>1238</v>
      </c>
      <c r="L111" s="4" t="s">
        <v>1239</v>
      </c>
      <c r="M111" s="4" t="s">
        <v>1239</v>
      </c>
      <c r="N111" s="4" t="s">
        <v>1239</v>
      </c>
      <c r="O111" s="26" t="s">
        <v>1240</v>
      </c>
      <c r="P111" s="5" t="s">
        <v>60</v>
      </c>
      <c r="Q111" s="1" t="s">
        <v>1241</v>
      </c>
      <c r="R111" s="1"/>
      <c r="S111" s="1" t="s">
        <v>1242</v>
      </c>
      <c r="T111" s="1"/>
      <c r="U111" s="1"/>
      <c r="V111" s="1"/>
      <c r="W111" s="1"/>
      <c r="X111" s="1" t="s">
        <v>835</v>
      </c>
      <c r="Y111" s="1" t="s">
        <v>56</v>
      </c>
      <c r="Z111" s="3">
        <v>45934</v>
      </c>
      <c r="AA111" s="3">
        <v>45934</v>
      </c>
      <c r="AB111" s="6"/>
      <c r="AC111" s="1"/>
      <c r="AD111" s="4"/>
      <c r="AE111" s="2">
        <v>379994</v>
      </c>
      <c r="AF111" s="3" t="s">
        <v>1236</v>
      </c>
      <c r="AG111" s="7">
        <v>218</v>
      </c>
      <c r="AH111" s="7">
        <v>232</v>
      </c>
      <c r="AI111" s="7">
        <v>161</v>
      </c>
      <c r="AJ111" s="7">
        <v>611</v>
      </c>
      <c r="AK111" s="7">
        <v>1</v>
      </c>
      <c r="AL111" s="25" t="s">
        <v>57</v>
      </c>
      <c r="AM111" s="25" t="s">
        <v>58</v>
      </c>
      <c r="AN111" s="25" t="s">
        <v>59</v>
      </c>
      <c r="AO111" s="25" t="s">
        <v>322</v>
      </c>
      <c r="AP111" s="19" t="s">
        <v>1238</v>
      </c>
      <c r="AQ111" s="19" t="s">
        <v>1869</v>
      </c>
      <c r="AR111" s="19" t="s">
        <v>60</v>
      </c>
      <c r="AS111" s="19"/>
      <c r="AT111" s="19" t="s">
        <v>2317</v>
      </c>
      <c r="AU111" s="19" t="s">
        <v>2091</v>
      </c>
      <c r="AV111" s="19">
        <v>9354241930</v>
      </c>
      <c r="AW111" s="20">
        <v>46127</v>
      </c>
      <c r="AX111" s="19" t="s">
        <v>1990</v>
      </c>
      <c r="AY111" s="27" t="s">
        <v>226</v>
      </c>
      <c r="AZ111" s="27" t="s">
        <v>237</v>
      </c>
      <c r="BA111" s="19" t="s">
        <v>2397</v>
      </c>
      <c r="BB111" s="19" t="s">
        <v>2398</v>
      </c>
      <c r="BC111" s="19" t="s">
        <v>2680</v>
      </c>
      <c r="BD111" s="75" t="s">
        <v>1236</v>
      </c>
      <c r="BE111" s="100" t="s">
        <v>3736</v>
      </c>
      <c r="BF111" s="100" t="s">
        <v>4096</v>
      </c>
      <c r="BG111" s="100" t="s">
        <v>4097</v>
      </c>
    </row>
    <row r="112" spans="1:59" s="10" customFormat="1" ht="13.5" x14ac:dyDescent="0.25">
      <c r="A112" s="59">
        <v>174</v>
      </c>
      <c r="B112" s="15" t="s">
        <v>727</v>
      </c>
      <c r="C112" s="12">
        <v>26483</v>
      </c>
      <c r="D112" s="11" t="s">
        <v>40</v>
      </c>
      <c r="E112" s="11" t="s">
        <v>199</v>
      </c>
      <c r="F112" s="11" t="s">
        <v>540</v>
      </c>
      <c r="G112" s="13" t="s">
        <v>63</v>
      </c>
      <c r="H112" s="11" t="s">
        <v>728</v>
      </c>
      <c r="I112" s="3" t="s">
        <v>729</v>
      </c>
      <c r="J112" s="3" t="s">
        <v>729</v>
      </c>
      <c r="K112" s="11" t="s">
        <v>730</v>
      </c>
      <c r="L112" s="4" t="s">
        <v>731</v>
      </c>
      <c r="M112" s="4" t="s">
        <v>731</v>
      </c>
      <c r="N112" s="4" t="s">
        <v>732</v>
      </c>
      <c r="O112" s="26" t="s">
        <v>733</v>
      </c>
      <c r="P112" s="5" t="s">
        <v>60</v>
      </c>
      <c r="Q112" s="1" t="s">
        <v>734</v>
      </c>
      <c r="R112" s="1"/>
      <c r="S112" s="1" t="s">
        <v>735</v>
      </c>
      <c r="T112" s="1"/>
      <c r="U112" s="1"/>
      <c r="V112" s="1" t="s">
        <v>141</v>
      </c>
      <c r="W112" s="1"/>
      <c r="X112" s="1" t="s">
        <v>55</v>
      </c>
      <c r="Y112" s="1" t="s">
        <v>56</v>
      </c>
      <c r="Z112" s="3">
        <v>43049</v>
      </c>
      <c r="AA112" s="3">
        <v>43033</v>
      </c>
      <c r="AB112" s="6"/>
      <c r="AC112" s="1"/>
      <c r="AD112" s="4" t="s">
        <v>736</v>
      </c>
      <c r="AE112" s="2">
        <v>26483</v>
      </c>
      <c r="AF112" s="3" t="s">
        <v>728</v>
      </c>
      <c r="AG112" s="7" t="s">
        <v>60</v>
      </c>
      <c r="AH112" s="7" t="s">
        <v>60</v>
      </c>
      <c r="AI112" s="7" t="s">
        <v>60</v>
      </c>
      <c r="AJ112" s="7" t="s">
        <v>60</v>
      </c>
      <c r="AK112" s="7">
        <v>15</v>
      </c>
      <c r="AL112" s="25" t="s">
        <v>70</v>
      </c>
      <c r="AM112" s="25" t="s">
        <v>58</v>
      </c>
      <c r="AN112" s="25" t="s">
        <v>59</v>
      </c>
      <c r="AO112" s="25" t="e">
        <v>#N/A</v>
      </c>
      <c r="AP112" s="19" t="s">
        <v>730</v>
      </c>
      <c r="AQ112" s="19" t="s">
        <v>1869</v>
      </c>
      <c r="AR112" s="19" t="s">
        <v>60</v>
      </c>
      <c r="AS112" s="19"/>
      <c r="AT112" s="19" t="s">
        <v>2288</v>
      </c>
      <c r="AU112" s="19" t="s">
        <v>2092</v>
      </c>
      <c r="AV112" s="19">
        <v>7753851136</v>
      </c>
      <c r="AW112" s="20">
        <v>46132</v>
      </c>
      <c r="AX112" s="19" t="s">
        <v>1990</v>
      </c>
      <c r="AY112" s="27" t="s">
        <v>540</v>
      </c>
      <c r="AZ112" s="27" t="s">
        <v>199</v>
      </c>
      <c r="BA112" s="19" t="s">
        <v>60</v>
      </c>
      <c r="BB112" s="19" t="s">
        <v>2551</v>
      </c>
      <c r="BC112" s="19" t="s">
        <v>2552</v>
      </c>
      <c r="BD112" s="75" t="s">
        <v>728</v>
      </c>
      <c r="BE112" s="100" t="s">
        <v>3852</v>
      </c>
      <c r="BF112" s="100" t="s">
        <v>4200</v>
      </c>
      <c r="BG112" s="100" t="s">
        <v>4201</v>
      </c>
    </row>
    <row r="113" spans="1:59" s="10" customFormat="1" ht="13.5" x14ac:dyDescent="0.25">
      <c r="A113" s="59">
        <v>94</v>
      </c>
      <c r="B113" s="15" t="s">
        <v>413</v>
      </c>
      <c r="C113" s="12">
        <v>26568</v>
      </c>
      <c r="D113" s="11" t="s">
        <v>103</v>
      </c>
      <c r="E113" s="11" t="s">
        <v>968</v>
      </c>
      <c r="F113" s="11" t="s">
        <v>414</v>
      </c>
      <c r="G113" s="13" t="s">
        <v>43</v>
      </c>
      <c r="H113" s="11" t="s">
        <v>1695</v>
      </c>
      <c r="I113" s="3" t="s">
        <v>416</v>
      </c>
      <c r="J113" s="3" t="s">
        <v>417</v>
      </c>
      <c r="K113" s="11" t="s">
        <v>418</v>
      </c>
      <c r="L113" s="4" t="s">
        <v>419</v>
      </c>
      <c r="M113" s="4" t="s">
        <v>420</v>
      </c>
      <c r="N113" s="4" t="s">
        <v>421</v>
      </c>
      <c r="O113" s="26" t="s">
        <v>422</v>
      </c>
      <c r="P113" s="5" t="s">
        <v>60</v>
      </c>
      <c r="Q113" s="1" t="s">
        <v>423</v>
      </c>
      <c r="R113" s="1"/>
      <c r="S113" s="1" t="s">
        <v>424</v>
      </c>
      <c r="T113" s="1"/>
      <c r="U113" s="1"/>
      <c r="V113" s="1" t="s">
        <v>93</v>
      </c>
      <c r="W113" s="1"/>
      <c r="X113" s="1" t="s">
        <v>425</v>
      </c>
      <c r="Y113" s="1" t="s">
        <v>56</v>
      </c>
      <c r="Z113" s="3">
        <v>43789</v>
      </c>
      <c r="AA113" s="3">
        <v>43783</v>
      </c>
      <c r="AB113" s="6"/>
      <c r="AC113" s="1"/>
      <c r="AD113" s="4" t="s">
        <v>426</v>
      </c>
      <c r="AE113" s="2">
        <v>26568</v>
      </c>
      <c r="AF113" s="3" t="s">
        <v>415</v>
      </c>
      <c r="AG113" s="7">
        <v>50</v>
      </c>
      <c r="AH113" s="7">
        <v>43</v>
      </c>
      <c r="AI113" s="7">
        <v>45</v>
      </c>
      <c r="AJ113" s="7">
        <v>138</v>
      </c>
      <c r="AK113" s="7"/>
      <c r="AL113" s="25" t="s">
        <v>78</v>
      </c>
      <c r="AM113" s="25" t="s">
        <v>58</v>
      </c>
      <c r="AN113" s="25" t="s">
        <v>59</v>
      </c>
      <c r="AO113" s="25" t="s">
        <v>427</v>
      </c>
      <c r="AP113" s="19" t="s">
        <v>418</v>
      </c>
      <c r="AQ113" s="19" t="s">
        <v>1869</v>
      </c>
      <c r="AR113" s="19" t="s">
        <v>3419</v>
      </c>
      <c r="AS113" s="19"/>
      <c r="AT113" s="19" t="s">
        <v>2281</v>
      </c>
      <c r="AU113" s="19" t="s">
        <v>2091</v>
      </c>
      <c r="AV113" s="19">
        <v>9354241930</v>
      </c>
      <c r="AW113" s="20">
        <v>46137</v>
      </c>
      <c r="AX113" s="19" t="s">
        <v>1990</v>
      </c>
      <c r="AY113" s="27" t="s">
        <v>414</v>
      </c>
      <c r="AZ113" s="27" t="s">
        <v>968</v>
      </c>
      <c r="BA113" s="19" t="s">
        <v>2444</v>
      </c>
      <c r="BB113" s="19" t="s">
        <v>2445</v>
      </c>
      <c r="BC113" s="19" t="s">
        <v>427</v>
      </c>
      <c r="BD113" s="75" t="s">
        <v>1695</v>
      </c>
      <c r="BE113" s="100" t="s">
        <v>3782</v>
      </c>
      <c r="BF113" s="100" t="s">
        <v>4100</v>
      </c>
      <c r="BG113" s="100" t="s">
        <v>4222</v>
      </c>
    </row>
    <row r="114" spans="1:59" s="10" customFormat="1" ht="13.5" x14ac:dyDescent="0.25">
      <c r="A114" s="59">
        <v>151</v>
      </c>
      <c r="B114" s="15" t="s">
        <v>290</v>
      </c>
      <c r="C114" s="12">
        <v>25936</v>
      </c>
      <c r="D114" s="11" t="s">
        <v>40</v>
      </c>
      <c r="E114" s="11" t="s">
        <v>129</v>
      </c>
      <c r="F114" s="11" t="s">
        <v>129</v>
      </c>
      <c r="G114" s="13" t="s">
        <v>185</v>
      </c>
      <c r="H114" s="11" t="s">
        <v>291</v>
      </c>
      <c r="I114" s="3" t="s">
        <v>292</v>
      </c>
      <c r="J114" s="3" t="s">
        <v>292</v>
      </c>
      <c r="K114" s="11" t="s">
        <v>293</v>
      </c>
      <c r="L114" s="4" t="s">
        <v>294</v>
      </c>
      <c r="M114" s="4" t="s">
        <v>295</v>
      </c>
      <c r="N114" s="4" t="s">
        <v>294</v>
      </c>
      <c r="O114" s="26" t="s">
        <v>296</v>
      </c>
      <c r="P114" s="5" t="s">
        <v>297</v>
      </c>
      <c r="Q114" s="1" t="s">
        <v>298</v>
      </c>
      <c r="R114" s="1"/>
      <c r="S114" s="1" t="s">
        <v>299</v>
      </c>
      <c r="T114" s="1"/>
      <c r="U114" s="1"/>
      <c r="V114" s="1" t="s">
        <v>93</v>
      </c>
      <c r="W114" s="1"/>
      <c r="X114" s="1" t="s">
        <v>55</v>
      </c>
      <c r="Y114" s="1" t="s">
        <v>56</v>
      </c>
      <c r="Z114" s="3">
        <v>43040</v>
      </c>
      <c r="AA114" s="3">
        <v>43038</v>
      </c>
      <c r="AB114" s="6"/>
      <c r="AC114" s="1"/>
      <c r="AD114" s="4"/>
      <c r="AE114" s="2">
        <v>25936</v>
      </c>
      <c r="AF114" s="3" t="s">
        <v>291</v>
      </c>
      <c r="AG114" s="7">
        <v>677</v>
      </c>
      <c r="AH114" s="7">
        <v>610</v>
      </c>
      <c r="AI114" s="7">
        <v>647</v>
      </c>
      <c r="AJ114" s="7">
        <v>1934</v>
      </c>
      <c r="AK114" s="7"/>
      <c r="AL114" s="25" t="s">
        <v>78</v>
      </c>
      <c r="AM114" s="25" t="s">
        <v>58</v>
      </c>
      <c r="AN114" s="25" t="s">
        <v>59</v>
      </c>
      <c r="AO114" s="25" t="s">
        <v>300</v>
      </c>
      <c r="AP114" s="19" t="s">
        <v>293</v>
      </c>
      <c r="AQ114" s="19" t="s">
        <v>1869</v>
      </c>
      <c r="AR114" s="19" t="s">
        <v>60</v>
      </c>
      <c r="AS114" s="19"/>
      <c r="AT114" s="19" t="s">
        <v>2008</v>
      </c>
      <c r="AU114" s="19" t="s">
        <v>2346</v>
      </c>
      <c r="AV114" s="19">
        <v>9217935065</v>
      </c>
      <c r="AW114" s="20">
        <v>46121</v>
      </c>
      <c r="AX114" s="19" t="s">
        <v>1990</v>
      </c>
      <c r="AY114" s="27" t="s">
        <v>129</v>
      </c>
      <c r="AZ114" s="27" t="s">
        <v>129</v>
      </c>
      <c r="BA114" s="19" t="s">
        <v>2517</v>
      </c>
      <c r="BB114" s="19" t="s">
        <v>2518</v>
      </c>
      <c r="BC114" s="19" t="s">
        <v>2810</v>
      </c>
      <c r="BD114" s="75" t="s">
        <v>291</v>
      </c>
      <c r="BE114" s="100" t="s">
        <v>3830</v>
      </c>
      <c r="BF114" s="100" t="s">
        <v>4130</v>
      </c>
      <c r="BG114" s="100"/>
    </row>
    <row r="115" spans="1:59" s="10" customFormat="1" ht="13.5" x14ac:dyDescent="0.25">
      <c r="A115" s="59">
        <v>32</v>
      </c>
      <c r="B115" s="15" t="s">
        <v>60</v>
      </c>
      <c r="C115" s="12">
        <v>67899</v>
      </c>
      <c r="D115" s="11" t="s">
        <v>103</v>
      </c>
      <c r="E115" s="11" t="s">
        <v>465</v>
      </c>
      <c r="F115" s="11" t="s">
        <v>801</v>
      </c>
      <c r="G115" s="13" t="s">
        <v>43</v>
      </c>
      <c r="H115" s="11" t="s">
        <v>802</v>
      </c>
      <c r="I115" s="3" t="s">
        <v>1638</v>
      </c>
      <c r="J115" s="3" t="s">
        <v>1638</v>
      </c>
      <c r="K115" s="11" t="s">
        <v>1892</v>
      </c>
      <c r="L115" s="4" t="s">
        <v>803</v>
      </c>
      <c r="M115" s="4" t="s">
        <v>804</v>
      </c>
      <c r="N115" s="4" t="s">
        <v>803</v>
      </c>
      <c r="O115" s="26" t="s">
        <v>805</v>
      </c>
      <c r="P115" s="5" t="s">
        <v>60</v>
      </c>
      <c r="Q115" s="1" t="s">
        <v>806</v>
      </c>
      <c r="R115" s="1"/>
      <c r="S115" s="1" t="s">
        <v>807</v>
      </c>
      <c r="T115" s="1"/>
      <c r="U115" s="1"/>
      <c r="V115" s="1" t="s">
        <v>93</v>
      </c>
      <c r="W115" s="1"/>
      <c r="X115" s="1" t="s">
        <v>55</v>
      </c>
      <c r="Y115" s="1" t="s">
        <v>56</v>
      </c>
      <c r="Z115" s="3">
        <v>45133</v>
      </c>
      <c r="AA115" s="3">
        <v>45131</v>
      </c>
      <c r="AB115" s="6"/>
      <c r="AC115" s="1"/>
      <c r="AD115" s="4"/>
      <c r="AE115" s="2">
        <v>67899</v>
      </c>
      <c r="AF115" s="3" t="s">
        <v>802</v>
      </c>
      <c r="AG115" s="7">
        <v>449</v>
      </c>
      <c r="AH115" s="7">
        <v>443</v>
      </c>
      <c r="AI115" s="7">
        <v>439</v>
      </c>
      <c r="AJ115" s="7">
        <v>1331</v>
      </c>
      <c r="AK115" s="7"/>
      <c r="AL115" s="25" t="s">
        <v>78</v>
      </c>
      <c r="AM115" s="25" t="s">
        <v>58</v>
      </c>
      <c r="AN115" s="25" t="s">
        <v>59</v>
      </c>
      <c r="AO115" s="25" t="s">
        <v>95</v>
      </c>
      <c r="AP115" s="19" t="s">
        <v>1892</v>
      </c>
      <c r="AQ115" s="19" t="s">
        <v>1869</v>
      </c>
      <c r="AR115" s="19" t="s">
        <v>60</v>
      </c>
      <c r="AS115" s="19"/>
      <c r="AT115" s="19" t="s">
        <v>1638</v>
      </c>
      <c r="AU115" s="19" t="s">
        <v>2091</v>
      </c>
      <c r="AV115" s="19">
        <v>9354241930</v>
      </c>
      <c r="AW115" s="20">
        <v>46128</v>
      </c>
      <c r="AX115" s="19" t="s">
        <v>1990</v>
      </c>
      <c r="AY115" s="27" t="s">
        <v>801</v>
      </c>
      <c r="AZ115" s="27" t="s">
        <v>465</v>
      </c>
      <c r="BA115" s="19" t="s">
        <v>2753</v>
      </c>
      <c r="BB115" s="19" t="s">
        <v>2754</v>
      </c>
      <c r="BC115" s="19" t="s">
        <v>2677</v>
      </c>
      <c r="BD115" s="75" t="s">
        <v>802</v>
      </c>
      <c r="BE115" s="100" t="s">
        <v>3728</v>
      </c>
      <c r="BF115" s="100" t="s">
        <v>4032</v>
      </c>
      <c r="BG115" s="100"/>
    </row>
    <row r="116" spans="1:59" s="10" customFormat="1" ht="13.5" x14ac:dyDescent="0.25">
      <c r="A116" s="59">
        <v>58</v>
      </c>
      <c r="B116" s="15" t="s">
        <v>948</v>
      </c>
      <c r="C116" s="12">
        <v>67902</v>
      </c>
      <c r="D116" s="11" t="s">
        <v>40</v>
      </c>
      <c r="E116" s="11" t="s">
        <v>41</v>
      </c>
      <c r="F116" s="11" t="s">
        <v>156</v>
      </c>
      <c r="G116" s="13" t="s">
        <v>43</v>
      </c>
      <c r="H116" s="11" t="s">
        <v>1722</v>
      </c>
      <c r="I116" s="3" t="s">
        <v>1656</v>
      </c>
      <c r="J116" s="3" t="s">
        <v>1656</v>
      </c>
      <c r="K116" s="11" t="s">
        <v>1807</v>
      </c>
      <c r="L116" s="4" t="s">
        <v>950</v>
      </c>
      <c r="M116" s="4" t="s">
        <v>950</v>
      </c>
      <c r="N116" s="4" t="s">
        <v>257</v>
      </c>
      <c r="O116" s="26" t="s">
        <v>951</v>
      </c>
      <c r="P116" s="5" t="s">
        <v>60</v>
      </c>
      <c r="Q116" s="1" t="s">
        <v>952</v>
      </c>
      <c r="R116" s="1"/>
      <c r="S116" s="1" t="s">
        <v>953</v>
      </c>
      <c r="T116" s="1"/>
      <c r="U116" s="1"/>
      <c r="V116" s="1" t="s">
        <v>93</v>
      </c>
      <c r="W116" s="1"/>
      <c r="X116" s="1" t="s">
        <v>55</v>
      </c>
      <c r="Y116" s="1" t="s">
        <v>56</v>
      </c>
      <c r="Z116" s="3">
        <v>45135</v>
      </c>
      <c r="AA116" s="3">
        <v>45132</v>
      </c>
      <c r="AB116" s="6"/>
      <c r="AC116" s="1"/>
      <c r="AD116" s="4"/>
      <c r="AE116" s="2">
        <v>67902</v>
      </c>
      <c r="AF116" s="3" t="s">
        <v>949</v>
      </c>
      <c r="AG116" s="7">
        <v>144</v>
      </c>
      <c r="AH116" s="7">
        <v>161</v>
      </c>
      <c r="AI116" s="7">
        <v>208</v>
      </c>
      <c r="AJ116" s="7">
        <v>513</v>
      </c>
      <c r="AK116" s="7"/>
      <c r="AL116" s="25" t="s">
        <v>78</v>
      </c>
      <c r="AM116" s="25" t="s">
        <v>58</v>
      </c>
      <c r="AN116" s="25" t="s">
        <v>59</v>
      </c>
      <c r="AO116" s="25" t="s">
        <v>954</v>
      </c>
      <c r="AP116" s="19" t="s">
        <v>1807</v>
      </c>
      <c r="AQ116" s="19" t="s">
        <v>1869</v>
      </c>
      <c r="AR116" s="19" t="s">
        <v>60</v>
      </c>
      <c r="AS116" s="19"/>
      <c r="AT116" s="19" t="s">
        <v>1656</v>
      </c>
      <c r="AU116" s="19" t="s">
        <v>2095</v>
      </c>
      <c r="AV116" s="19">
        <v>9582917652</v>
      </c>
      <c r="AW116" s="20">
        <v>46129</v>
      </c>
      <c r="AX116" s="19" t="s">
        <v>1990</v>
      </c>
      <c r="AY116" s="27" t="s">
        <v>156</v>
      </c>
      <c r="AZ116" s="27" t="s">
        <v>41</v>
      </c>
      <c r="BA116" s="19" t="s">
        <v>2415</v>
      </c>
      <c r="BB116" s="19" t="s">
        <v>2583</v>
      </c>
      <c r="BC116" s="19" t="s">
        <v>954</v>
      </c>
      <c r="BD116" s="75" t="s">
        <v>1722</v>
      </c>
      <c r="BE116" s="100" t="s">
        <v>3748</v>
      </c>
      <c r="BF116" s="100" t="s">
        <v>4131</v>
      </c>
      <c r="BG116" s="100"/>
    </row>
    <row r="117" spans="1:59" s="10" customFormat="1" ht="13.5" x14ac:dyDescent="0.25">
      <c r="A117" s="59">
        <v>178</v>
      </c>
      <c r="B117" s="15" t="s">
        <v>60</v>
      </c>
      <c r="C117" s="12">
        <v>351027</v>
      </c>
      <c r="D117" s="11" t="s">
        <v>40</v>
      </c>
      <c r="E117" s="11" t="s">
        <v>61</v>
      </c>
      <c r="F117" s="11" t="s">
        <v>270</v>
      </c>
      <c r="G117" s="13" t="s">
        <v>63</v>
      </c>
      <c r="H117" s="11" t="s">
        <v>1705</v>
      </c>
      <c r="I117" s="3" t="s">
        <v>738</v>
      </c>
      <c r="J117" s="3" t="s">
        <v>738</v>
      </c>
      <c r="K117" s="11" t="s">
        <v>1783</v>
      </c>
      <c r="L117" s="4" t="s">
        <v>739</v>
      </c>
      <c r="M117" s="4" t="s">
        <v>739</v>
      </c>
      <c r="N117" s="4" t="s">
        <v>739</v>
      </c>
      <c r="O117" s="26" t="s">
        <v>740</v>
      </c>
      <c r="P117" s="5" t="s">
        <v>60</v>
      </c>
      <c r="Q117" s="1" t="s">
        <v>741</v>
      </c>
      <c r="R117" s="1"/>
      <c r="S117" s="1" t="s">
        <v>742</v>
      </c>
      <c r="T117" s="1"/>
      <c r="U117" s="1"/>
      <c r="V117" s="1"/>
      <c r="W117" s="1"/>
      <c r="X117" s="1" t="s">
        <v>69</v>
      </c>
      <c r="Y117" s="1" t="s">
        <v>56</v>
      </c>
      <c r="Z117" s="3">
        <v>45836</v>
      </c>
      <c r="AA117" s="3">
        <v>45835</v>
      </c>
      <c r="AB117" s="6"/>
      <c r="AC117" s="1"/>
      <c r="AD117" s="4"/>
      <c r="AE117" s="2">
        <v>351027</v>
      </c>
      <c r="AF117" s="3" t="s">
        <v>737</v>
      </c>
      <c r="AG117" s="7" t="s">
        <v>60</v>
      </c>
      <c r="AH117" s="7" t="s">
        <v>60</v>
      </c>
      <c r="AI117" s="7" t="s">
        <v>60</v>
      </c>
      <c r="AJ117" s="7" t="s">
        <v>60</v>
      </c>
      <c r="AK117" s="7">
        <v>6</v>
      </c>
      <c r="AL117" s="25" t="s">
        <v>70</v>
      </c>
      <c r="AM117" s="25" t="s">
        <v>58</v>
      </c>
      <c r="AN117" s="25" t="s">
        <v>59</v>
      </c>
      <c r="AO117" s="25" t="e">
        <v>#N/A</v>
      </c>
      <c r="AP117" s="19" t="s">
        <v>1783</v>
      </c>
      <c r="AQ117" s="19" t="s">
        <v>1869</v>
      </c>
      <c r="AR117" s="19" t="s">
        <v>60</v>
      </c>
      <c r="AS117" s="19"/>
      <c r="AT117" s="19" t="s">
        <v>738</v>
      </c>
      <c r="AU117" s="19" t="s">
        <v>2092</v>
      </c>
      <c r="AV117" s="19">
        <v>7753851136</v>
      </c>
      <c r="AW117" s="20">
        <v>46130</v>
      </c>
      <c r="AX117" s="19" t="s">
        <v>1990</v>
      </c>
      <c r="AY117" s="27" t="s">
        <v>270</v>
      </c>
      <c r="AZ117" s="27" t="s">
        <v>61</v>
      </c>
      <c r="BA117" s="19" t="s">
        <v>60</v>
      </c>
      <c r="BB117" s="19" t="s">
        <v>2556</v>
      </c>
      <c r="BC117" s="19" t="s">
        <v>2557</v>
      </c>
      <c r="BD117" s="75" t="s">
        <v>1705</v>
      </c>
      <c r="BE117" s="100" t="s">
        <v>3855</v>
      </c>
      <c r="BF117" s="100" t="s">
        <v>4206</v>
      </c>
      <c r="BG117" s="100" t="s">
        <v>4207</v>
      </c>
    </row>
    <row r="118" spans="1:59" s="10" customFormat="1" ht="13.5" x14ac:dyDescent="0.25">
      <c r="A118" s="59">
        <v>129</v>
      </c>
      <c r="B118" s="15" t="s">
        <v>991</v>
      </c>
      <c r="C118" s="12">
        <v>131909</v>
      </c>
      <c r="D118" s="11" t="s">
        <v>40</v>
      </c>
      <c r="E118" s="11" t="s">
        <v>41</v>
      </c>
      <c r="F118" s="11" t="s">
        <v>992</v>
      </c>
      <c r="G118" s="13" t="s">
        <v>352</v>
      </c>
      <c r="H118" s="11" t="s">
        <v>1731</v>
      </c>
      <c r="I118" s="3" t="s">
        <v>1665</v>
      </c>
      <c r="J118" s="3" t="s">
        <v>1665</v>
      </c>
      <c r="K118" s="11" t="s">
        <v>1816</v>
      </c>
      <c r="L118" s="4">
        <v>9779786900</v>
      </c>
      <c r="M118" s="4" t="s">
        <v>994</v>
      </c>
      <c r="N118" s="4">
        <v>9779786900</v>
      </c>
      <c r="O118" s="26" t="s">
        <v>995</v>
      </c>
      <c r="P118" s="5" t="s">
        <v>60</v>
      </c>
      <c r="Q118" s="1" t="s">
        <v>996</v>
      </c>
      <c r="R118" s="1"/>
      <c r="S118" s="1" t="s">
        <v>997</v>
      </c>
      <c r="T118" s="1"/>
      <c r="U118" s="1"/>
      <c r="V118" s="1"/>
      <c r="W118" s="1"/>
      <c r="X118" s="1" t="s">
        <v>55</v>
      </c>
      <c r="Y118" s="1" t="s">
        <v>56</v>
      </c>
      <c r="Z118" s="3">
        <v>45422</v>
      </c>
      <c r="AA118" s="3">
        <v>45420</v>
      </c>
      <c r="AB118" s="6"/>
      <c r="AC118" s="1"/>
      <c r="AD118" s="4" t="s">
        <v>998</v>
      </c>
      <c r="AE118" s="2">
        <v>131909</v>
      </c>
      <c r="AF118" s="3" t="s">
        <v>993</v>
      </c>
      <c r="AG118" s="7">
        <v>94</v>
      </c>
      <c r="AH118" s="7">
        <v>111</v>
      </c>
      <c r="AI118" s="7">
        <v>128</v>
      </c>
      <c r="AJ118" s="7">
        <v>333</v>
      </c>
      <c r="AK118" s="7"/>
      <c r="AL118" s="25" t="s">
        <v>78</v>
      </c>
      <c r="AM118" s="25" t="s">
        <v>58</v>
      </c>
      <c r="AN118" s="25" t="s">
        <v>59</v>
      </c>
      <c r="AO118" s="25" t="s">
        <v>954</v>
      </c>
      <c r="AP118" s="19" t="s">
        <v>1816</v>
      </c>
      <c r="AQ118" s="19" t="s">
        <v>1869</v>
      </c>
      <c r="AR118" s="19" t="s">
        <v>60</v>
      </c>
      <c r="AS118" s="19"/>
      <c r="AT118" s="19" t="s">
        <v>2064</v>
      </c>
      <c r="AU118" s="19" t="s">
        <v>2093</v>
      </c>
      <c r="AV118" s="19">
        <v>9990034588</v>
      </c>
      <c r="AW118" s="20">
        <v>46125</v>
      </c>
      <c r="AX118" s="19" t="s">
        <v>1990</v>
      </c>
      <c r="AY118" s="27" t="s">
        <v>992</v>
      </c>
      <c r="AZ118" s="27" t="s">
        <v>41</v>
      </c>
      <c r="BA118" s="19" t="s">
        <v>2488</v>
      </c>
      <c r="BB118" s="19" t="s">
        <v>2489</v>
      </c>
      <c r="BC118" s="19" t="s">
        <v>954</v>
      </c>
      <c r="BD118" s="75" t="s">
        <v>1731</v>
      </c>
      <c r="BE118" s="100" t="s">
        <v>3813</v>
      </c>
      <c r="BF118" s="100" t="s">
        <v>4134</v>
      </c>
      <c r="BG118" s="100"/>
    </row>
    <row r="119" spans="1:59" s="10" customFormat="1" ht="13.5" x14ac:dyDescent="0.25">
      <c r="A119" s="59">
        <v>118</v>
      </c>
      <c r="B119" s="15" t="s">
        <v>496</v>
      </c>
      <c r="C119" s="12">
        <v>26232</v>
      </c>
      <c r="D119" s="11" t="s">
        <v>40</v>
      </c>
      <c r="E119" s="11" t="s">
        <v>129</v>
      </c>
      <c r="F119" s="11" t="s">
        <v>129</v>
      </c>
      <c r="G119" s="13" t="s">
        <v>352</v>
      </c>
      <c r="H119" s="11" t="s">
        <v>497</v>
      </c>
      <c r="I119" s="3" t="s">
        <v>498</v>
      </c>
      <c r="J119" s="3" t="s">
        <v>498</v>
      </c>
      <c r="K119" s="11" t="s">
        <v>1895</v>
      </c>
      <c r="L119" s="28" t="s">
        <v>499</v>
      </c>
      <c r="M119" s="28" t="s">
        <v>500</v>
      </c>
      <c r="N119" s="28" t="s">
        <v>501</v>
      </c>
      <c r="O119" s="28" t="s">
        <v>502</v>
      </c>
      <c r="P119" s="5" t="s">
        <v>60</v>
      </c>
      <c r="Q119" s="28" t="s">
        <v>503</v>
      </c>
      <c r="R119" s="28">
        <v>0</v>
      </c>
      <c r="S119" s="28" t="e">
        <v>#N/A</v>
      </c>
      <c r="T119" s="28">
        <v>0</v>
      </c>
      <c r="U119" s="28">
        <v>0</v>
      </c>
      <c r="V119" s="28">
        <v>0</v>
      </c>
      <c r="W119" s="28">
        <v>0</v>
      </c>
      <c r="X119" s="28" t="s">
        <v>55</v>
      </c>
      <c r="Y119" s="28" t="s">
        <v>56</v>
      </c>
      <c r="Z119" s="28">
        <v>44099</v>
      </c>
      <c r="AA119" s="28">
        <v>44097</v>
      </c>
      <c r="AB119" s="28">
        <v>0</v>
      </c>
      <c r="AC119" s="28">
        <v>0</v>
      </c>
      <c r="AD119" s="28" t="s">
        <v>505</v>
      </c>
      <c r="AE119" s="28">
        <v>26232</v>
      </c>
      <c r="AF119" s="28" t="s">
        <v>497</v>
      </c>
      <c r="AG119" s="7">
        <v>2181</v>
      </c>
      <c r="AH119" s="7">
        <v>1859</v>
      </c>
      <c r="AI119" s="7">
        <v>2073</v>
      </c>
      <c r="AJ119" s="7">
        <v>6113</v>
      </c>
      <c r="AK119" s="7"/>
      <c r="AL119" s="25" t="s">
        <v>78</v>
      </c>
      <c r="AM119" s="25" t="s">
        <v>58</v>
      </c>
      <c r="AN119" s="25" t="s">
        <v>59</v>
      </c>
      <c r="AO119" s="25" t="s">
        <v>143</v>
      </c>
      <c r="AP119" s="19" t="s">
        <v>60</v>
      </c>
      <c r="AQ119" s="19" t="s">
        <v>1884</v>
      </c>
      <c r="AR119" s="19" t="s">
        <v>1925</v>
      </c>
      <c r="AS119" s="19" t="s">
        <v>60</v>
      </c>
      <c r="AT119" s="19" t="s">
        <v>60</v>
      </c>
      <c r="AU119" s="19" t="s">
        <v>60</v>
      </c>
      <c r="AV119" s="19" t="s">
        <v>60</v>
      </c>
      <c r="AW119" s="19" t="s">
        <v>60</v>
      </c>
      <c r="AX119" s="19" t="s">
        <v>60</v>
      </c>
      <c r="AY119" s="19" t="s">
        <v>129</v>
      </c>
      <c r="AZ119" s="19" t="s">
        <v>129</v>
      </c>
      <c r="BA119" s="19" t="s">
        <v>2693</v>
      </c>
      <c r="BB119" s="19" t="s">
        <v>2694</v>
      </c>
      <c r="BC119" s="19" t="s">
        <v>2780</v>
      </c>
      <c r="BD119" s="75" t="s">
        <v>497</v>
      </c>
      <c r="BE119" s="100" t="s">
        <v>60</v>
      </c>
      <c r="BF119" s="100" t="s">
        <v>60</v>
      </c>
      <c r="BG119" s="100" t="s">
        <v>60</v>
      </c>
    </row>
    <row r="120" spans="1:59" s="10" customFormat="1" ht="13.5" x14ac:dyDescent="0.25">
      <c r="A120" s="59">
        <v>72</v>
      </c>
      <c r="B120" s="15" t="s">
        <v>523</v>
      </c>
      <c r="C120" s="12">
        <v>45813</v>
      </c>
      <c r="D120" s="11" t="s">
        <v>40</v>
      </c>
      <c r="E120" s="11" t="s">
        <v>199</v>
      </c>
      <c r="F120" s="11" t="s">
        <v>214</v>
      </c>
      <c r="G120" s="13" t="s">
        <v>43</v>
      </c>
      <c r="H120" s="11" t="s">
        <v>524</v>
      </c>
      <c r="I120" s="3" t="s">
        <v>525</v>
      </c>
      <c r="J120" s="3" t="s">
        <v>525</v>
      </c>
      <c r="K120" s="11" t="s">
        <v>1770</v>
      </c>
      <c r="L120" s="4" t="s">
        <v>526</v>
      </c>
      <c r="M120" s="4" t="s">
        <v>527</v>
      </c>
      <c r="N120" s="4" t="s">
        <v>528</v>
      </c>
      <c r="O120" s="26" t="s">
        <v>529</v>
      </c>
      <c r="P120" s="5" t="s">
        <v>530</v>
      </c>
      <c r="Q120" s="1" t="s">
        <v>531</v>
      </c>
      <c r="R120" s="1"/>
      <c r="S120" s="1" t="s">
        <v>532</v>
      </c>
      <c r="T120" s="1"/>
      <c r="U120" s="1"/>
      <c r="V120" s="1" t="s">
        <v>93</v>
      </c>
      <c r="W120" s="1"/>
      <c r="X120" s="1" t="s">
        <v>55</v>
      </c>
      <c r="Y120" s="1" t="s">
        <v>56</v>
      </c>
      <c r="Z120" s="3">
        <v>44227</v>
      </c>
      <c r="AA120" s="3">
        <v>44227</v>
      </c>
      <c r="AB120" s="6"/>
      <c r="AC120" s="1"/>
      <c r="AD120" s="4"/>
      <c r="AE120" s="2">
        <v>45813</v>
      </c>
      <c r="AF120" s="3" t="s">
        <v>524</v>
      </c>
      <c r="AG120" s="7">
        <v>276</v>
      </c>
      <c r="AH120" s="7">
        <v>399</v>
      </c>
      <c r="AI120" s="7">
        <v>313</v>
      </c>
      <c r="AJ120" s="7">
        <v>988</v>
      </c>
      <c r="AK120" s="7"/>
      <c r="AL120" s="25" t="s">
        <v>78</v>
      </c>
      <c r="AM120" s="25" t="s">
        <v>58</v>
      </c>
      <c r="AN120" s="25" t="s">
        <v>59</v>
      </c>
      <c r="AO120" s="25" t="s">
        <v>60</v>
      </c>
      <c r="AP120" s="19" t="s">
        <v>1770</v>
      </c>
      <c r="AQ120" s="19" t="s">
        <v>1869</v>
      </c>
      <c r="AR120" s="19" t="s">
        <v>60</v>
      </c>
      <c r="AS120" s="19"/>
      <c r="AT120" s="19" t="s">
        <v>2026</v>
      </c>
      <c r="AU120" s="19" t="s">
        <v>2092</v>
      </c>
      <c r="AV120" s="19">
        <v>7753851136</v>
      </c>
      <c r="AW120" s="20">
        <v>46133</v>
      </c>
      <c r="AX120" s="19" t="s">
        <v>1990</v>
      </c>
      <c r="AY120" s="27" t="s">
        <v>214</v>
      </c>
      <c r="AZ120" s="27" t="s">
        <v>199</v>
      </c>
      <c r="BA120" s="19" t="s">
        <v>2765</v>
      </c>
      <c r="BB120" s="19" t="s">
        <v>2766</v>
      </c>
      <c r="BC120" s="19" t="s">
        <v>2802</v>
      </c>
      <c r="BD120" s="75" t="s">
        <v>524</v>
      </c>
      <c r="BE120" s="100" t="s">
        <v>3760</v>
      </c>
      <c r="BF120" s="100" t="s">
        <v>4135</v>
      </c>
      <c r="BG120" s="100"/>
    </row>
    <row r="121" spans="1:59" s="10" customFormat="1" ht="13.5" x14ac:dyDescent="0.25">
      <c r="A121" s="59">
        <v>69</v>
      </c>
      <c r="B121" s="15" t="s">
        <v>60</v>
      </c>
      <c r="C121" s="12">
        <v>354991</v>
      </c>
      <c r="D121" s="11" t="s">
        <v>40</v>
      </c>
      <c r="E121" s="11" t="s">
        <v>199</v>
      </c>
      <c r="F121" s="11" t="s">
        <v>214</v>
      </c>
      <c r="G121" s="13" t="s">
        <v>43</v>
      </c>
      <c r="H121" s="11" t="s">
        <v>1707</v>
      </c>
      <c r="I121" s="3" t="s">
        <v>753</v>
      </c>
      <c r="J121" s="3" t="s">
        <v>753</v>
      </c>
      <c r="K121" s="11" t="s">
        <v>754</v>
      </c>
      <c r="L121" s="4">
        <v>7414012012</v>
      </c>
      <c r="M121" s="4">
        <v>7414012012</v>
      </c>
      <c r="N121" s="4">
        <v>7414012012</v>
      </c>
      <c r="O121" s="26" t="s">
        <v>755</v>
      </c>
      <c r="P121" s="5" t="s">
        <v>60</v>
      </c>
      <c r="Q121" s="1" t="s">
        <v>756</v>
      </c>
      <c r="R121" s="1"/>
      <c r="S121" s="1" t="s">
        <v>757</v>
      </c>
      <c r="T121" s="1"/>
      <c r="U121" s="1"/>
      <c r="V121" s="1"/>
      <c r="W121" s="1"/>
      <c r="X121" s="1" t="s">
        <v>55</v>
      </c>
      <c r="Y121" s="1" t="s">
        <v>56</v>
      </c>
      <c r="Z121" s="3">
        <v>45875</v>
      </c>
      <c r="AA121" s="3">
        <v>45874</v>
      </c>
      <c r="AB121" s="6"/>
      <c r="AC121" s="1"/>
      <c r="AD121" s="4"/>
      <c r="AE121" s="2">
        <v>354991</v>
      </c>
      <c r="AF121" s="3" t="s">
        <v>752</v>
      </c>
      <c r="AG121" s="7" t="s">
        <v>60</v>
      </c>
      <c r="AH121" s="7" t="s">
        <v>60</v>
      </c>
      <c r="AI121" s="7" t="s">
        <v>60</v>
      </c>
      <c r="AJ121" s="7" t="s">
        <v>60</v>
      </c>
      <c r="AK121" s="7">
        <v>1</v>
      </c>
      <c r="AL121" s="25" t="s">
        <v>70</v>
      </c>
      <c r="AM121" s="25" t="s">
        <v>58</v>
      </c>
      <c r="AN121" s="25" t="s">
        <v>59</v>
      </c>
      <c r="AO121" s="25" t="e">
        <v>#N/A</v>
      </c>
      <c r="AP121" s="19" t="s">
        <v>754</v>
      </c>
      <c r="AQ121" s="19" t="s">
        <v>1869</v>
      </c>
      <c r="AR121" s="19" t="s">
        <v>60</v>
      </c>
      <c r="AS121" s="19"/>
      <c r="AT121" s="19" t="s">
        <v>2045</v>
      </c>
      <c r="AU121" s="19" t="s">
        <v>2096</v>
      </c>
      <c r="AV121" s="19">
        <v>7688959606</v>
      </c>
      <c r="AW121" s="20">
        <v>46125</v>
      </c>
      <c r="AX121" s="19" t="s">
        <v>1990</v>
      </c>
      <c r="AY121" s="27" t="s">
        <v>214</v>
      </c>
      <c r="AZ121" s="27" t="s">
        <v>199</v>
      </c>
      <c r="BA121" s="19" t="s">
        <v>60</v>
      </c>
      <c r="BB121" s="19" t="s">
        <v>2528</v>
      </c>
      <c r="BC121" s="19" t="s">
        <v>60</v>
      </c>
      <c r="BD121" s="75" t="s">
        <v>1707</v>
      </c>
      <c r="BE121" s="100" t="s">
        <v>3757</v>
      </c>
      <c r="BF121" s="100" t="s">
        <v>4074</v>
      </c>
      <c r="BG121" s="100" t="s">
        <v>4075</v>
      </c>
    </row>
    <row r="122" spans="1:59" s="10" customFormat="1" ht="13.5" x14ac:dyDescent="0.25">
      <c r="A122" s="59">
        <v>60</v>
      </c>
      <c r="B122" s="15" t="s">
        <v>60</v>
      </c>
      <c r="C122" s="12">
        <v>406000</v>
      </c>
      <c r="D122" s="11" t="s">
        <v>40</v>
      </c>
      <c r="E122" s="11" t="s">
        <v>41</v>
      </c>
      <c r="F122" s="11" t="s">
        <v>156</v>
      </c>
      <c r="G122" s="13" t="s">
        <v>43</v>
      </c>
      <c r="H122" s="11" t="s">
        <v>1219</v>
      </c>
      <c r="I122" s="3" t="s">
        <v>1220</v>
      </c>
      <c r="J122" s="3" t="s">
        <v>1220</v>
      </c>
      <c r="K122" s="11" t="s">
        <v>1834</v>
      </c>
      <c r="L122" s="4" t="s">
        <v>1221</v>
      </c>
      <c r="M122" s="4" t="s">
        <v>1221</v>
      </c>
      <c r="N122" s="4" t="s">
        <v>1221</v>
      </c>
      <c r="O122" s="26" t="s">
        <v>1222</v>
      </c>
      <c r="P122" s="5" t="s">
        <v>60</v>
      </c>
      <c r="Q122" s="1" t="s">
        <v>1223</v>
      </c>
      <c r="R122" s="1"/>
      <c r="S122" s="1" t="s">
        <v>1224</v>
      </c>
      <c r="T122" s="1"/>
      <c r="U122" s="1"/>
      <c r="V122" s="1"/>
      <c r="W122" s="1"/>
      <c r="X122" s="1" t="s">
        <v>55</v>
      </c>
      <c r="Y122" s="1" t="s">
        <v>56</v>
      </c>
      <c r="Z122" s="3">
        <v>45943</v>
      </c>
      <c r="AA122" s="3">
        <v>45943</v>
      </c>
      <c r="AB122" s="6"/>
      <c r="AC122" s="1"/>
      <c r="AD122" s="4"/>
      <c r="AE122" s="2">
        <v>406000</v>
      </c>
      <c r="AF122" s="3" t="s">
        <v>1219</v>
      </c>
      <c r="AG122" s="7">
        <v>0</v>
      </c>
      <c r="AH122" s="7">
        <v>210</v>
      </c>
      <c r="AI122" s="7">
        <v>354</v>
      </c>
      <c r="AJ122" s="7">
        <v>564</v>
      </c>
      <c r="AK122" s="7"/>
      <c r="AL122" s="25" t="s">
        <v>78</v>
      </c>
      <c r="AM122" s="25" t="s">
        <v>58</v>
      </c>
      <c r="AN122" s="25" t="s">
        <v>59</v>
      </c>
      <c r="AO122" s="25" t="s">
        <v>60</v>
      </c>
      <c r="AP122" s="19" t="s">
        <v>1834</v>
      </c>
      <c r="AQ122" s="19" t="s">
        <v>1869</v>
      </c>
      <c r="AR122" s="19" t="s">
        <v>60</v>
      </c>
      <c r="AS122" s="19"/>
      <c r="AT122" s="19" t="s">
        <v>2316</v>
      </c>
      <c r="AU122" s="19" t="s">
        <v>2090</v>
      </c>
      <c r="AV122" s="19">
        <v>9354183359</v>
      </c>
      <c r="AW122" s="20">
        <v>46135</v>
      </c>
      <c r="AX122" s="19" t="s">
        <v>1990</v>
      </c>
      <c r="AY122" s="27" t="s">
        <v>156</v>
      </c>
      <c r="AZ122" s="27" t="s">
        <v>41</v>
      </c>
      <c r="BA122" s="19" t="s">
        <v>2416</v>
      </c>
      <c r="BB122" s="19" t="s">
        <v>2417</v>
      </c>
      <c r="BC122" s="19" t="s">
        <v>579</v>
      </c>
      <c r="BD122" s="75" t="s">
        <v>1219</v>
      </c>
      <c r="BE122" s="100" t="s">
        <v>3750</v>
      </c>
      <c r="BF122" s="100" t="s">
        <v>4138</v>
      </c>
      <c r="BG122" s="100"/>
    </row>
    <row r="123" spans="1:59" s="10" customFormat="1" ht="13.5" x14ac:dyDescent="0.25">
      <c r="A123" s="59">
        <v>79</v>
      </c>
      <c r="B123" s="15" t="s">
        <v>1003</v>
      </c>
      <c r="C123" s="12">
        <v>45635</v>
      </c>
      <c r="D123" s="11" t="s">
        <v>40</v>
      </c>
      <c r="E123" s="11" t="s">
        <v>199</v>
      </c>
      <c r="F123" s="11" t="s">
        <v>540</v>
      </c>
      <c r="G123" s="13" t="s">
        <v>43</v>
      </c>
      <c r="H123" s="11" t="s">
        <v>1284</v>
      </c>
      <c r="I123" s="3" t="s">
        <v>1667</v>
      </c>
      <c r="J123" s="3" t="s">
        <v>1667</v>
      </c>
      <c r="K123" s="11" t="s">
        <v>1005</v>
      </c>
      <c r="L123" s="4" t="s">
        <v>1006</v>
      </c>
      <c r="M123" s="4" t="s">
        <v>1006</v>
      </c>
      <c r="N123" s="4" t="s">
        <v>1007</v>
      </c>
      <c r="O123" s="26" t="s">
        <v>1008</v>
      </c>
      <c r="P123" s="5" t="s">
        <v>1009</v>
      </c>
      <c r="Q123" s="1" t="s">
        <v>1010</v>
      </c>
      <c r="R123" s="1" t="s">
        <v>1011</v>
      </c>
      <c r="S123" s="1" t="s">
        <v>1012</v>
      </c>
      <c r="T123" s="1"/>
      <c r="U123" s="1"/>
      <c r="V123" s="1" t="s">
        <v>93</v>
      </c>
      <c r="W123" s="1"/>
      <c r="X123" s="1" t="s">
        <v>69</v>
      </c>
      <c r="Y123" s="1" t="s">
        <v>56</v>
      </c>
      <c r="Z123" s="3">
        <v>44481</v>
      </c>
      <c r="AA123" s="3">
        <v>44480</v>
      </c>
      <c r="AB123" s="6"/>
      <c r="AC123" s="1"/>
      <c r="AD123" s="4" t="s">
        <v>629</v>
      </c>
      <c r="AE123" s="2">
        <v>45635</v>
      </c>
      <c r="AF123" s="3" t="s">
        <v>1004</v>
      </c>
      <c r="AG123" s="7">
        <v>552</v>
      </c>
      <c r="AH123" s="7">
        <v>624</v>
      </c>
      <c r="AI123" s="7">
        <v>607</v>
      </c>
      <c r="AJ123" s="7">
        <v>1783</v>
      </c>
      <c r="AK123" s="7"/>
      <c r="AL123" s="25" t="s">
        <v>78</v>
      </c>
      <c r="AM123" s="25" t="s">
        <v>58</v>
      </c>
      <c r="AN123" s="25" t="s">
        <v>59</v>
      </c>
      <c r="AO123" s="25" t="s">
        <v>52</v>
      </c>
      <c r="AP123" s="19" t="s">
        <v>1005</v>
      </c>
      <c r="AQ123" s="19" t="s">
        <v>1869</v>
      </c>
      <c r="AR123" s="19" t="s">
        <v>60</v>
      </c>
      <c r="AS123" s="19"/>
      <c r="AT123" s="19" t="s">
        <v>1667</v>
      </c>
      <c r="AU123" s="19" t="s">
        <v>2092</v>
      </c>
      <c r="AV123" s="19">
        <v>7753851136</v>
      </c>
      <c r="AW123" s="20">
        <v>46135</v>
      </c>
      <c r="AX123" s="19" t="s">
        <v>1990</v>
      </c>
      <c r="AY123" s="27" t="s">
        <v>540</v>
      </c>
      <c r="AZ123" s="27" t="s">
        <v>199</v>
      </c>
      <c r="BA123" s="19" t="s">
        <v>2769</v>
      </c>
      <c r="BB123" s="19" t="s">
        <v>2770</v>
      </c>
      <c r="BC123" s="19" t="s">
        <v>2771</v>
      </c>
      <c r="BD123" s="75" t="s">
        <v>1284</v>
      </c>
      <c r="BE123" s="100" t="s">
        <v>3767</v>
      </c>
      <c r="BF123" s="100" t="s">
        <v>4139</v>
      </c>
      <c r="BG123" s="100"/>
    </row>
    <row r="124" spans="1:59" s="10" customFormat="1" ht="13.5" x14ac:dyDescent="0.25">
      <c r="A124" s="59">
        <v>168</v>
      </c>
      <c r="B124" s="15" t="s">
        <v>60</v>
      </c>
      <c r="C124" s="12">
        <v>338997</v>
      </c>
      <c r="D124" s="11" t="s">
        <v>40</v>
      </c>
      <c r="E124" s="11" t="s">
        <v>96</v>
      </c>
      <c r="F124" s="11" t="s">
        <v>1052</v>
      </c>
      <c r="G124" s="13" t="s">
        <v>63</v>
      </c>
      <c r="H124" s="11" t="s">
        <v>1736</v>
      </c>
      <c r="I124" s="3" t="s">
        <v>1054</v>
      </c>
      <c r="J124" s="3" t="s">
        <v>1054</v>
      </c>
      <c r="K124" s="11" t="s">
        <v>1821</v>
      </c>
      <c r="L124" s="4">
        <v>9812053874</v>
      </c>
      <c r="M124" s="4">
        <v>9812053874</v>
      </c>
      <c r="N124" s="4">
        <v>9812053874</v>
      </c>
      <c r="O124" s="26" t="s">
        <v>1055</v>
      </c>
      <c r="P124" s="5" t="s">
        <v>60</v>
      </c>
      <c r="Q124" s="1" t="s">
        <v>1056</v>
      </c>
      <c r="R124" s="1"/>
      <c r="S124" s="1" t="s">
        <v>1057</v>
      </c>
      <c r="T124" s="1"/>
      <c r="U124" s="1"/>
      <c r="V124" s="1" t="s">
        <v>224</v>
      </c>
      <c r="W124" s="1"/>
      <c r="X124" s="1" t="s">
        <v>55</v>
      </c>
      <c r="Y124" s="1" t="s">
        <v>56</v>
      </c>
      <c r="Z124" s="3">
        <v>45778</v>
      </c>
      <c r="AA124" s="3">
        <v>45775</v>
      </c>
      <c r="AB124" s="6"/>
      <c r="AC124" s="1"/>
      <c r="AD124" s="4"/>
      <c r="AE124" s="2">
        <v>338997</v>
      </c>
      <c r="AF124" s="3" t="s">
        <v>1053</v>
      </c>
      <c r="AG124" s="7" t="s">
        <v>60</v>
      </c>
      <c r="AH124" s="7" t="s">
        <v>60</v>
      </c>
      <c r="AI124" s="7" t="s">
        <v>60</v>
      </c>
      <c r="AJ124" s="7" t="s">
        <v>60</v>
      </c>
      <c r="AK124" s="7">
        <v>1</v>
      </c>
      <c r="AL124" s="25" t="s">
        <v>70</v>
      </c>
      <c r="AM124" s="25" t="s">
        <v>58</v>
      </c>
      <c r="AN124" s="25" t="s">
        <v>59</v>
      </c>
      <c r="AO124" s="25" t="e">
        <v>#N/A</v>
      </c>
      <c r="AP124" s="19" t="s">
        <v>1821</v>
      </c>
      <c r="AQ124" s="19" t="s">
        <v>1869</v>
      </c>
      <c r="AR124" s="19" t="s">
        <v>60</v>
      </c>
      <c r="AS124" s="19"/>
      <c r="AT124" s="19" t="s">
        <v>2071</v>
      </c>
      <c r="AU124" s="19" t="s">
        <v>2094</v>
      </c>
      <c r="AV124" s="19">
        <v>8287823681</v>
      </c>
      <c r="AW124" s="20">
        <v>46134</v>
      </c>
      <c r="AX124" s="19" t="s">
        <v>1990</v>
      </c>
      <c r="AY124" s="27" t="s">
        <v>1052</v>
      </c>
      <c r="AZ124" s="27" t="s">
        <v>96</v>
      </c>
      <c r="BA124" s="19" t="s">
        <v>60</v>
      </c>
      <c r="BB124" s="19" t="s">
        <v>2545</v>
      </c>
      <c r="BC124" s="19" t="s">
        <v>2392</v>
      </c>
      <c r="BD124" s="75" t="s">
        <v>1736</v>
      </c>
      <c r="BE124" s="100" t="s">
        <v>3846</v>
      </c>
      <c r="BF124" s="100" t="s">
        <v>4188</v>
      </c>
      <c r="BG124" s="100" t="s">
        <v>4189</v>
      </c>
    </row>
    <row r="125" spans="1:59" s="10" customFormat="1" ht="40.5" x14ac:dyDescent="0.25">
      <c r="A125" s="59">
        <v>124</v>
      </c>
      <c r="B125" s="21" t="s">
        <v>1909</v>
      </c>
      <c r="C125" s="22">
        <v>118900</v>
      </c>
      <c r="D125" s="23" t="s">
        <v>103</v>
      </c>
      <c r="E125" s="23" t="s">
        <v>104</v>
      </c>
      <c r="F125" s="23" t="s">
        <v>105</v>
      </c>
      <c r="G125" s="24" t="s">
        <v>352</v>
      </c>
      <c r="H125" s="23" t="s">
        <v>1734</v>
      </c>
      <c r="I125" s="8" t="s">
        <v>1669</v>
      </c>
      <c r="J125" s="8" t="s">
        <v>1669</v>
      </c>
      <c r="K125" s="23" t="s">
        <v>1899</v>
      </c>
      <c r="L125" s="29">
        <v>9990774499</v>
      </c>
      <c r="M125" s="29">
        <v>9990774499</v>
      </c>
      <c r="N125" s="29">
        <v>9990774499</v>
      </c>
      <c r="O125" s="29" t="s">
        <v>1030</v>
      </c>
      <c r="P125" s="30" t="s">
        <v>60</v>
      </c>
      <c r="Q125" s="29" t="s">
        <v>1031</v>
      </c>
      <c r="R125" s="29">
        <v>0</v>
      </c>
      <c r="S125" s="29" t="e">
        <v>#N/A</v>
      </c>
      <c r="T125" s="29">
        <v>0</v>
      </c>
      <c r="U125" s="29">
        <v>0</v>
      </c>
      <c r="V125" s="29">
        <v>0</v>
      </c>
      <c r="W125" s="29">
        <v>0</v>
      </c>
      <c r="X125" s="29" t="s">
        <v>55</v>
      </c>
      <c r="Y125" s="29" t="s">
        <v>56</v>
      </c>
      <c r="Z125" s="29">
        <v>45687</v>
      </c>
      <c r="AA125" s="29">
        <v>45686</v>
      </c>
      <c r="AB125" s="29">
        <v>0</v>
      </c>
      <c r="AC125" s="29">
        <v>0</v>
      </c>
      <c r="AD125" s="29" t="s">
        <v>1033</v>
      </c>
      <c r="AE125" s="29">
        <v>118900</v>
      </c>
      <c r="AF125" s="29" t="s">
        <v>1029</v>
      </c>
      <c r="AG125" s="31">
        <v>127</v>
      </c>
      <c r="AH125" s="31">
        <v>140</v>
      </c>
      <c r="AI125" s="31">
        <v>178</v>
      </c>
      <c r="AJ125" s="31">
        <v>445</v>
      </c>
      <c r="AK125" s="31"/>
      <c r="AL125" s="32" t="s">
        <v>78</v>
      </c>
      <c r="AM125" s="32" t="s">
        <v>58</v>
      </c>
      <c r="AN125" s="32" t="s">
        <v>59</v>
      </c>
      <c r="AO125" s="32" t="s">
        <v>707</v>
      </c>
      <c r="AP125" s="19" t="s">
        <v>60</v>
      </c>
      <c r="AQ125" s="19" t="s">
        <v>1884</v>
      </c>
      <c r="AR125" s="19" t="s">
        <v>1931</v>
      </c>
      <c r="AS125" s="19" t="s">
        <v>60</v>
      </c>
      <c r="AT125" s="19" t="s">
        <v>60</v>
      </c>
      <c r="AU125" s="19" t="s">
        <v>60</v>
      </c>
      <c r="AV125" s="19" t="s">
        <v>60</v>
      </c>
      <c r="AW125" s="19" t="s">
        <v>60</v>
      </c>
      <c r="AX125" s="19" t="s">
        <v>60</v>
      </c>
      <c r="AY125" s="19" t="s">
        <v>105</v>
      </c>
      <c r="AZ125" s="19" t="s">
        <v>104</v>
      </c>
      <c r="BA125" s="19" t="s">
        <v>2481</v>
      </c>
      <c r="BB125" s="19" t="s">
        <v>2482</v>
      </c>
      <c r="BC125" s="19"/>
      <c r="BD125" s="76" t="s">
        <v>1734</v>
      </c>
      <c r="BE125" s="100" t="s">
        <v>60</v>
      </c>
      <c r="BF125" s="100" t="s">
        <v>60</v>
      </c>
      <c r="BG125" s="100" t="s">
        <v>60</v>
      </c>
    </row>
    <row r="126" spans="1:59" s="10" customFormat="1" ht="13.5" x14ac:dyDescent="0.25">
      <c r="A126" s="59">
        <v>16</v>
      </c>
      <c r="B126" s="15" t="s">
        <v>60</v>
      </c>
      <c r="C126" s="12">
        <v>149914</v>
      </c>
      <c r="D126" s="11" t="s">
        <v>40</v>
      </c>
      <c r="E126" s="11" t="s">
        <v>129</v>
      </c>
      <c r="F126" s="11" t="s">
        <v>129</v>
      </c>
      <c r="G126" s="13" t="s">
        <v>43</v>
      </c>
      <c r="H126" s="11" t="s">
        <v>846</v>
      </c>
      <c r="I126" s="3" t="s">
        <v>1642</v>
      </c>
      <c r="J126" s="3" t="s">
        <v>1642</v>
      </c>
      <c r="K126" s="11" t="s">
        <v>1793</v>
      </c>
      <c r="L126" s="4" t="s">
        <v>847</v>
      </c>
      <c r="M126" s="4" t="s">
        <v>848</v>
      </c>
      <c r="N126" s="4" t="s">
        <v>847</v>
      </c>
      <c r="O126" s="26" t="s">
        <v>849</v>
      </c>
      <c r="P126" s="5" t="s">
        <v>60</v>
      </c>
      <c r="Q126" s="1" t="s">
        <v>850</v>
      </c>
      <c r="R126" s="1"/>
      <c r="S126" s="1" t="s">
        <v>851</v>
      </c>
      <c r="T126" s="1"/>
      <c r="U126" s="1"/>
      <c r="V126" s="1" t="s">
        <v>93</v>
      </c>
      <c r="W126" s="1"/>
      <c r="X126" s="1" t="s">
        <v>55</v>
      </c>
      <c r="Y126" s="1" t="s">
        <v>56</v>
      </c>
      <c r="Z126" s="3">
        <v>45313</v>
      </c>
      <c r="AA126" s="3">
        <v>45310</v>
      </c>
      <c r="AB126" s="6"/>
      <c r="AC126" s="1"/>
      <c r="AD126" s="4"/>
      <c r="AE126" s="2">
        <v>149914</v>
      </c>
      <c r="AF126" s="3" t="s">
        <v>846</v>
      </c>
      <c r="AG126" s="7">
        <v>228</v>
      </c>
      <c r="AH126" s="7">
        <v>248</v>
      </c>
      <c r="AI126" s="7">
        <v>200</v>
      </c>
      <c r="AJ126" s="7">
        <v>676</v>
      </c>
      <c r="AK126" s="7">
        <v>3</v>
      </c>
      <c r="AL126" s="25" t="s">
        <v>57</v>
      </c>
      <c r="AM126" s="25" t="s">
        <v>58</v>
      </c>
      <c r="AN126" s="25" t="s">
        <v>59</v>
      </c>
      <c r="AO126" s="25" t="s">
        <v>60</v>
      </c>
      <c r="AP126" s="19" t="s">
        <v>1793</v>
      </c>
      <c r="AQ126" s="19" t="s">
        <v>1869</v>
      </c>
      <c r="AR126" s="19" t="s">
        <v>60</v>
      </c>
      <c r="AS126" s="19"/>
      <c r="AT126" s="19" t="s">
        <v>2051</v>
      </c>
      <c r="AU126" s="19" t="s">
        <v>2090</v>
      </c>
      <c r="AV126" s="19">
        <v>9354183359</v>
      </c>
      <c r="AW126" s="20">
        <v>46126</v>
      </c>
      <c r="AX126" s="19" t="s">
        <v>1990</v>
      </c>
      <c r="AY126" s="27" t="s">
        <v>129</v>
      </c>
      <c r="AZ126" s="27" t="s">
        <v>129</v>
      </c>
      <c r="BA126" s="19" t="s">
        <v>2369</v>
      </c>
      <c r="BB126" s="19" t="s">
        <v>2685</v>
      </c>
      <c r="BC126" s="19" t="s">
        <v>2392</v>
      </c>
      <c r="BD126" s="75" t="s">
        <v>846</v>
      </c>
      <c r="BE126" s="100" t="s">
        <v>3715</v>
      </c>
      <c r="BF126" s="100" t="s">
        <v>4105</v>
      </c>
      <c r="BG126" s="100" t="s">
        <v>4106</v>
      </c>
    </row>
    <row r="127" spans="1:59" s="10" customFormat="1" ht="13.5" x14ac:dyDescent="0.25">
      <c r="A127" s="59">
        <v>126</v>
      </c>
      <c r="B127" s="15" t="s">
        <v>572</v>
      </c>
      <c r="C127" s="12">
        <v>45746</v>
      </c>
      <c r="D127" s="11" t="s">
        <v>40</v>
      </c>
      <c r="E127" s="11" t="s">
        <v>96</v>
      </c>
      <c r="F127" s="11" t="s">
        <v>573</v>
      </c>
      <c r="G127" s="13" t="s">
        <v>352</v>
      </c>
      <c r="H127" s="11" t="s">
        <v>574</v>
      </c>
      <c r="I127" s="3" t="s">
        <v>575</v>
      </c>
      <c r="J127" s="3" t="s">
        <v>575</v>
      </c>
      <c r="K127" s="11" t="s">
        <v>1897</v>
      </c>
      <c r="L127" s="28" t="s">
        <v>576</v>
      </c>
      <c r="M127" s="28" t="s">
        <v>577</v>
      </c>
      <c r="N127" s="28" t="s">
        <v>576</v>
      </c>
      <c r="O127" s="28" t="s">
        <v>578</v>
      </c>
      <c r="P127" s="28" t="s">
        <v>579</v>
      </c>
      <c r="Q127" s="28" t="s">
        <v>580</v>
      </c>
      <c r="R127" s="28">
        <v>0</v>
      </c>
      <c r="S127" s="28" t="e">
        <v>#N/A</v>
      </c>
      <c r="T127" s="28">
        <v>0</v>
      </c>
      <c r="U127" s="28">
        <v>0</v>
      </c>
      <c r="V127" s="28">
        <v>0</v>
      </c>
      <c r="W127" s="28">
        <v>0</v>
      </c>
      <c r="X127" s="28" t="s">
        <v>69</v>
      </c>
      <c r="Y127" s="28" t="s">
        <v>56</v>
      </c>
      <c r="Z127" s="28">
        <v>44412</v>
      </c>
      <c r="AA127" s="28">
        <v>44411</v>
      </c>
      <c r="AB127" s="28">
        <v>0</v>
      </c>
      <c r="AC127" s="28">
        <v>0</v>
      </c>
      <c r="AD127" s="28">
        <v>0</v>
      </c>
      <c r="AE127" s="28">
        <v>45746</v>
      </c>
      <c r="AF127" s="28" t="s">
        <v>574</v>
      </c>
      <c r="AG127" s="7">
        <v>471</v>
      </c>
      <c r="AH127" s="7">
        <v>450</v>
      </c>
      <c r="AI127" s="7">
        <v>506</v>
      </c>
      <c r="AJ127" s="7">
        <v>1427</v>
      </c>
      <c r="AK127" s="7"/>
      <c r="AL127" s="25" t="s">
        <v>78</v>
      </c>
      <c r="AM127" s="25" t="s">
        <v>58</v>
      </c>
      <c r="AN127" s="25" t="s">
        <v>59</v>
      </c>
      <c r="AO127" s="25" t="s">
        <v>143</v>
      </c>
      <c r="AP127" s="19" t="s">
        <v>60</v>
      </c>
      <c r="AQ127" s="19" t="s">
        <v>1884</v>
      </c>
      <c r="AR127" s="19" t="s">
        <v>1930</v>
      </c>
      <c r="AS127" s="19" t="s">
        <v>60</v>
      </c>
      <c r="AT127" s="19" t="s">
        <v>60</v>
      </c>
      <c r="AU127" s="19" t="s">
        <v>60</v>
      </c>
      <c r="AV127" s="19" t="s">
        <v>60</v>
      </c>
      <c r="AW127" s="19" t="s">
        <v>60</v>
      </c>
      <c r="AX127" s="19" t="s">
        <v>60</v>
      </c>
      <c r="AY127" s="19" t="s">
        <v>573</v>
      </c>
      <c r="AZ127" s="19" t="s">
        <v>96</v>
      </c>
      <c r="BA127" s="19" t="s">
        <v>2483</v>
      </c>
      <c r="BB127" s="19" t="s">
        <v>2484</v>
      </c>
      <c r="BC127" s="19" t="s">
        <v>2781</v>
      </c>
      <c r="BD127" s="75" t="s">
        <v>574</v>
      </c>
      <c r="BE127" s="100" t="s">
        <v>60</v>
      </c>
      <c r="BF127" s="100" t="s">
        <v>60</v>
      </c>
      <c r="BG127" s="100" t="s">
        <v>60</v>
      </c>
    </row>
    <row r="128" spans="1:59" s="10" customFormat="1" ht="13.5" x14ac:dyDescent="0.25">
      <c r="A128" s="59">
        <v>125</v>
      </c>
      <c r="B128" s="15" t="s">
        <v>572</v>
      </c>
      <c r="C128" s="12">
        <v>45746</v>
      </c>
      <c r="D128" s="11" t="s">
        <v>40</v>
      </c>
      <c r="E128" s="11" t="s">
        <v>96</v>
      </c>
      <c r="F128" s="11" t="s">
        <v>573</v>
      </c>
      <c r="G128" s="13" t="s">
        <v>352</v>
      </c>
      <c r="H128" s="11" t="s">
        <v>574</v>
      </c>
      <c r="I128" s="3" t="s">
        <v>575</v>
      </c>
      <c r="J128" s="3" t="s">
        <v>575</v>
      </c>
      <c r="K128" s="11" t="s">
        <v>1896</v>
      </c>
      <c r="L128" s="4" t="s">
        <v>576</v>
      </c>
      <c r="M128" s="4" t="s">
        <v>577</v>
      </c>
      <c r="N128" s="4" t="s">
        <v>576</v>
      </c>
      <c r="O128" s="26" t="s">
        <v>578</v>
      </c>
      <c r="P128" s="5" t="s">
        <v>579</v>
      </c>
      <c r="Q128" s="1" t="s">
        <v>580</v>
      </c>
      <c r="R128" s="1"/>
      <c r="S128" s="1" t="s">
        <v>581</v>
      </c>
      <c r="T128" s="1"/>
      <c r="U128" s="1"/>
      <c r="V128" s="1"/>
      <c r="W128" s="1"/>
      <c r="X128" s="1" t="s">
        <v>69</v>
      </c>
      <c r="Y128" s="1" t="s">
        <v>56</v>
      </c>
      <c r="Z128" s="3">
        <v>44412</v>
      </c>
      <c r="AA128" s="3">
        <v>44411</v>
      </c>
      <c r="AB128" s="6"/>
      <c r="AC128" s="1"/>
      <c r="AD128" s="4"/>
      <c r="AE128" s="2">
        <v>45746</v>
      </c>
      <c r="AF128" s="3" t="s">
        <v>574</v>
      </c>
      <c r="AG128" s="7">
        <v>471</v>
      </c>
      <c r="AH128" s="7">
        <v>450</v>
      </c>
      <c r="AI128" s="7">
        <v>506</v>
      </c>
      <c r="AJ128" s="7">
        <v>1427</v>
      </c>
      <c r="AK128" s="7"/>
      <c r="AL128" s="25" t="s">
        <v>78</v>
      </c>
      <c r="AM128" s="25" t="s">
        <v>58</v>
      </c>
      <c r="AN128" s="25" t="s">
        <v>59</v>
      </c>
      <c r="AO128" s="25" t="s">
        <v>143</v>
      </c>
      <c r="AP128" s="19" t="s">
        <v>1896</v>
      </c>
      <c r="AQ128" s="19" t="s">
        <v>1869</v>
      </c>
      <c r="AR128" s="19" t="s">
        <v>60</v>
      </c>
      <c r="AS128" s="19"/>
      <c r="AT128" s="19" t="s">
        <v>2031</v>
      </c>
      <c r="AU128" s="19" t="s">
        <v>2098</v>
      </c>
      <c r="AV128" s="19">
        <v>7460008081</v>
      </c>
      <c r="AW128" s="20">
        <v>46123</v>
      </c>
      <c r="AX128" s="19" t="s">
        <v>1990</v>
      </c>
      <c r="AY128" s="27" t="s">
        <v>573</v>
      </c>
      <c r="AZ128" s="27" t="s">
        <v>96</v>
      </c>
      <c r="BA128" s="19" t="s">
        <v>2483</v>
      </c>
      <c r="BB128" s="19" t="s">
        <v>2484</v>
      </c>
      <c r="BC128" s="19" t="s">
        <v>2781</v>
      </c>
      <c r="BD128" s="75" t="s">
        <v>574</v>
      </c>
      <c r="BE128" s="100" t="s">
        <v>3810</v>
      </c>
      <c r="BF128" s="100" t="s">
        <v>4144</v>
      </c>
      <c r="BG128" s="100"/>
    </row>
    <row r="129" spans="1:59" s="10" customFormat="1" ht="13.5" x14ac:dyDescent="0.25">
      <c r="A129" s="59">
        <v>73</v>
      </c>
      <c r="B129" s="15" t="s">
        <v>60</v>
      </c>
      <c r="C129" s="12">
        <v>317996</v>
      </c>
      <c r="D129" s="11" t="s">
        <v>40</v>
      </c>
      <c r="E129" s="11" t="s">
        <v>199</v>
      </c>
      <c r="F129" s="11" t="s">
        <v>214</v>
      </c>
      <c r="G129" s="13" t="s">
        <v>43</v>
      </c>
      <c r="H129" s="11" t="s">
        <v>1034</v>
      </c>
      <c r="I129" s="3" t="s">
        <v>1670</v>
      </c>
      <c r="J129" s="3" t="s">
        <v>1670</v>
      </c>
      <c r="K129" s="11" t="s">
        <v>1818</v>
      </c>
      <c r="L129" s="4">
        <v>9351343991</v>
      </c>
      <c r="M129" s="4">
        <v>9351343991</v>
      </c>
      <c r="N129" s="4">
        <v>9351343991</v>
      </c>
      <c r="O129" s="26" t="s">
        <v>1035</v>
      </c>
      <c r="P129" s="5" t="s">
        <v>60</v>
      </c>
      <c r="Q129" s="1" t="s">
        <v>1036</v>
      </c>
      <c r="R129" s="1"/>
      <c r="S129" s="1" t="s">
        <v>1037</v>
      </c>
      <c r="T129" s="1"/>
      <c r="U129" s="1"/>
      <c r="V129" s="1" t="s">
        <v>93</v>
      </c>
      <c r="W129" s="1"/>
      <c r="X129" s="1" t="s">
        <v>55</v>
      </c>
      <c r="Y129" s="1" t="s">
        <v>56</v>
      </c>
      <c r="Z129" s="3">
        <v>45722</v>
      </c>
      <c r="AA129" s="3">
        <v>45721</v>
      </c>
      <c r="AB129" s="6"/>
      <c r="AC129" s="1"/>
      <c r="AD129" s="4"/>
      <c r="AE129" s="2">
        <v>317996</v>
      </c>
      <c r="AF129" s="3" t="s">
        <v>1034</v>
      </c>
      <c r="AG129" s="7">
        <v>70</v>
      </c>
      <c r="AH129" s="7">
        <v>159</v>
      </c>
      <c r="AI129" s="7">
        <v>118</v>
      </c>
      <c r="AJ129" s="7">
        <v>347</v>
      </c>
      <c r="AK129" s="7"/>
      <c r="AL129" s="25" t="s">
        <v>57</v>
      </c>
      <c r="AM129" s="25" t="s">
        <v>58</v>
      </c>
      <c r="AN129" s="25" t="s">
        <v>59</v>
      </c>
      <c r="AO129" s="25" t="s">
        <v>52</v>
      </c>
      <c r="AP129" s="19" t="s">
        <v>1818</v>
      </c>
      <c r="AQ129" s="19" t="s">
        <v>1869</v>
      </c>
      <c r="AR129" s="19" t="s">
        <v>3414</v>
      </c>
      <c r="AS129" s="19"/>
      <c r="AT129" s="19" t="s">
        <v>2068</v>
      </c>
      <c r="AU129" s="19" t="s">
        <v>2096</v>
      </c>
      <c r="AV129" s="19">
        <v>7688959606</v>
      </c>
      <c r="AW129" s="20">
        <v>46128</v>
      </c>
      <c r="AX129" s="19" t="s">
        <v>1990</v>
      </c>
      <c r="AY129" s="27" t="s">
        <v>214</v>
      </c>
      <c r="AZ129" s="27" t="s">
        <v>199</v>
      </c>
      <c r="BA129" s="19" t="s">
        <v>2767</v>
      </c>
      <c r="BB129" s="19" t="s">
        <v>2768</v>
      </c>
      <c r="BC129" s="19" t="s">
        <v>2803</v>
      </c>
      <c r="BD129" s="75" t="s">
        <v>1034</v>
      </c>
      <c r="BE129" s="100" t="s">
        <v>3761</v>
      </c>
      <c r="BF129" s="100" t="s">
        <v>4145</v>
      </c>
      <c r="BG129" s="100"/>
    </row>
    <row r="130" spans="1:59" s="10" customFormat="1" ht="13.5" x14ac:dyDescent="0.25">
      <c r="A130" s="59">
        <v>144</v>
      </c>
      <c r="B130" s="15" t="s">
        <v>60</v>
      </c>
      <c r="C130" s="12">
        <v>56283</v>
      </c>
      <c r="D130" s="11" t="s">
        <v>40</v>
      </c>
      <c r="E130" s="11" t="s">
        <v>61</v>
      </c>
      <c r="F130" s="11" t="s">
        <v>62</v>
      </c>
      <c r="G130" s="13" t="s">
        <v>352</v>
      </c>
      <c r="H130" s="11" t="s">
        <v>1749</v>
      </c>
      <c r="I130" s="3" t="s">
        <v>1683</v>
      </c>
      <c r="J130" s="3" t="s">
        <v>1683</v>
      </c>
      <c r="K130" s="11" t="s">
        <v>1836</v>
      </c>
      <c r="L130" s="4">
        <v>9839044301</v>
      </c>
      <c r="M130" s="4">
        <v>9839044301</v>
      </c>
      <c r="N130" s="4">
        <v>9839044301</v>
      </c>
      <c r="O130" s="26" t="s">
        <v>1231</v>
      </c>
      <c r="P130" s="5" t="s">
        <v>60</v>
      </c>
      <c r="Q130" s="1" t="s">
        <v>1232</v>
      </c>
      <c r="R130" s="1"/>
      <c r="S130" s="1" t="s">
        <v>1233</v>
      </c>
      <c r="T130" s="1"/>
      <c r="U130" s="1"/>
      <c r="V130" s="1"/>
      <c r="W130" s="1"/>
      <c r="X130" s="1" t="s">
        <v>197</v>
      </c>
      <c r="Y130" s="1" t="s">
        <v>56</v>
      </c>
      <c r="Z130" s="3">
        <v>45923</v>
      </c>
      <c r="AA130" s="3">
        <v>45922</v>
      </c>
      <c r="AB130" s="6"/>
      <c r="AC130" s="1" t="s">
        <v>1234</v>
      </c>
      <c r="AD130" s="4" t="s">
        <v>1234</v>
      </c>
      <c r="AE130" s="2">
        <v>56283</v>
      </c>
      <c r="AF130" s="3" t="s">
        <v>1230</v>
      </c>
      <c r="AG130" s="7">
        <v>191</v>
      </c>
      <c r="AH130" s="7">
        <v>0</v>
      </c>
      <c r="AI130" s="7">
        <v>0</v>
      </c>
      <c r="AJ130" s="7">
        <v>191</v>
      </c>
      <c r="AK130" s="7"/>
      <c r="AL130" s="25" t="s">
        <v>78</v>
      </c>
      <c r="AM130" s="25" t="s">
        <v>58</v>
      </c>
      <c r="AN130" s="25" t="s">
        <v>59</v>
      </c>
      <c r="AO130" s="25" t="s">
        <v>60</v>
      </c>
      <c r="AP130" s="19" t="s">
        <v>1836</v>
      </c>
      <c r="AQ130" s="19" t="s">
        <v>1869</v>
      </c>
      <c r="AR130" s="19" t="s">
        <v>60</v>
      </c>
      <c r="AS130" s="19"/>
      <c r="AT130" s="19" t="s">
        <v>2085</v>
      </c>
      <c r="AU130" s="19" t="s">
        <v>1994</v>
      </c>
      <c r="AV130" s="19">
        <v>9810670823</v>
      </c>
      <c r="AW130" s="20">
        <v>46126</v>
      </c>
      <c r="AX130" s="19" t="s">
        <v>1990</v>
      </c>
      <c r="AY130" s="27" t="s">
        <v>62</v>
      </c>
      <c r="AZ130" s="27" t="s">
        <v>61</v>
      </c>
      <c r="BA130" s="19" t="s">
        <v>2506</v>
      </c>
      <c r="BB130" s="19" t="s">
        <v>2507</v>
      </c>
      <c r="BC130" s="19" t="s">
        <v>579</v>
      </c>
      <c r="BD130" s="75" t="s">
        <v>1749</v>
      </c>
      <c r="BE130" s="100" t="s">
        <v>3825</v>
      </c>
      <c r="BF130" s="100" t="s">
        <v>4146</v>
      </c>
      <c r="BG130" s="100"/>
    </row>
    <row r="131" spans="1:59" s="10" customFormat="1" ht="13.5" x14ac:dyDescent="0.25">
      <c r="A131" s="59">
        <v>130</v>
      </c>
      <c r="B131" s="15" t="s">
        <v>758</v>
      </c>
      <c r="C131" s="12">
        <v>55833</v>
      </c>
      <c r="D131" s="11" t="s">
        <v>40</v>
      </c>
      <c r="E131" s="11" t="s">
        <v>41</v>
      </c>
      <c r="F131" s="11" t="s">
        <v>42</v>
      </c>
      <c r="G131" s="13" t="s">
        <v>352</v>
      </c>
      <c r="H131" s="11" t="s">
        <v>759</v>
      </c>
      <c r="I131" s="3" t="s">
        <v>760</v>
      </c>
      <c r="J131" s="3" t="s">
        <v>760</v>
      </c>
      <c r="K131" s="11" t="s">
        <v>1785</v>
      </c>
      <c r="L131" s="4" t="s">
        <v>761</v>
      </c>
      <c r="M131" s="4" t="s">
        <v>761</v>
      </c>
      <c r="N131" s="4" t="s">
        <v>761</v>
      </c>
      <c r="O131" s="26" t="s">
        <v>762</v>
      </c>
      <c r="P131" s="5" t="s">
        <v>763</v>
      </c>
      <c r="Q131" s="1" t="s">
        <v>764</v>
      </c>
      <c r="R131" s="1"/>
      <c r="S131" s="1" t="s">
        <v>765</v>
      </c>
      <c r="T131" s="1"/>
      <c r="U131" s="1"/>
      <c r="V131" s="1"/>
      <c r="W131" s="1"/>
      <c r="X131" s="1" t="s">
        <v>55</v>
      </c>
      <c r="Y131" s="1" t="s">
        <v>56</v>
      </c>
      <c r="Z131" s="3">
        <v>42606</v>
      </c>
      <c r="AA131" s="3">
        <v>44884</v>
      </c>
      <c r="AB131" s="6"/>
      <c r="AC131" s="1"/>
      <c r="AD131" s="4" t="s">
        <v>766</v>
      </c>
      <c r="AE131" s="2">
        <v>55833</v>
      </c>
      <c r="AF131" s="3" t="s">
        <v>759</v>
      </c>
      <c r="AG131" s="7">
        <v>170</v>
      </c>
      <c r="AH131" s="7">
        <v>164</v>
      </c>
      <c r="AI131" s="7">
        <v>193</v>
      </c>
      <c r="AJ131" s="7">
        <v>527</v>
      </c>
      <c r="AK131" s="7"/>
      <c r="AL131" s="25" t="s">
        <v>78</v>
      </c>
      <c r="AM131" s="25" t="s">
        <v>58</v>
      </c>
      <c r="AN131" s="25" t="s">
        <v>59</v>
      </c>
      <c r="AO131" s="25" t="s">
        <v>95</v>
      </c>
      <c r="AP131" s="19" t="s">
        <v>60</v>
      </c>
      <c r="AQ131" s="19" t="s">
        <v>1884</v>
      </c>
      <c r="AR131" s="19" t="s">
        <v>1927</v>
      </c>
      <c r="AS131" s="19" t="s">
        <v>60</v>
      </c>
      <c r="AT131" s="19" t="s">
        <v>60</v>
      </c>
      <c r="AU131" s="19" t="s">
        <v>60</v>
      </c>
      <c r="AV131" s="19" t="s">
        <v>60</v>
      </c>
      <c r="AW131" s="19" t="s">
        <v>60</v>
      </c>
      <c r="AX131" s="19" t="s">
        <v>60</v>
      </c>
      <c r="AY131" s="19" t="s">
        <v>42</v>
      </c>
      <c r="AZ131" s="19" t="s">
        <v>41</v>
      </c>
      <c r="BA131" s="19" t="s">
        <v>2490</v>
      </c>
      <c r="BB131" s="19" t="s">
        <v>2584</v>
      </c>
      <c r="BC131" s="19" t="s">
        <v>95</v>
      </c>
      <c r="BD131" s="75" t="s">
        <v>759</v>
      </c>
      <c r="BE131" s="100" t="s">
        <v>60</v>
      </c>
      <c r="BF131" s="100" t="s">
        <v>60</v>
      </c>
      <c r="BG131" s="100" t="s">
        <v>60</v>
      </c>
    </row>
    <row r="132" spans="1:59" s="10" customFormat="1" ht="13.5" x14ac:dyDescent="0.25">
      <c r="A132" s="59">
        <v>122</v>
      </c>
      <c r="B132" s="15" t="s">
        <v>60</v>
      </c>
      <c r="C132" s="12">
        <v>317007</v>
      </c>
      <c r="D132" s="11" t="s">
        <v>40</v>
      </c>
      <c r="E132" s="11" t="s">
        <v>129</v>
      </c>
      <c r="F132" s="11" t="s">
        <v>129</v>
      </c>
      <c r="G132" s="13" t="s">
        <v>352</v>
      </c>
      <c r="H132" s="11" t="s">
        <v>1753</v>
      </c>
      <c r="I132" s="3" t="s">
        <v>1686</v>
      </c>
      <c r="J132" s="3" t="s">
        <v>1686</v>
      </c>
      <c r="K132" s="11" t="s">
        <v>1839</v>
      </c>
      <c r="L132" s="4">
        <v>9210475277</v>
      </c>
      <c r="M132" s="4">
        <v>9210475277</v>
      </c>
      <c r="N132" s="4">
        <v>9210475277</v>
      </c>
      <c r="O132" s="26" t="s">
        <v>1260</v>
      </c>
      <c r="P132" s="5" t="s">
        <v>60</v>
      </c>
      <c r="Q132" s="1" t="s">
        <v>1261</v>
      </c>
      <c r="R132" s="1"/>
      <c r="S132" s="1" t="s">
        <v>1262</v>
      </c>
      <c r="T132" s="1"/>
      <c r="U132" s="1"/>
      <c r="V132" s="1"/>
      <c r="W132" s="1"/>
      <c r="X132" s="1" t="s">
        <v>835</v>
      </c>
      <c r="Y132" s="1" t="s">
        <v>56</v>
      </c>
      <c r="Z132" s="3">
        <v>45972</v>
      </c>
      <c r="AA132" s="3">
        <v>45970</v>
      </c>
      <c r="AB132" s="6"/>
      <c r="AC132" s="1"/>
      <c r="AD132" s="4" t="s">
        <v>1263</v>
      </c>
      <c r="AE132" s="2">
        <v>317007</v>
      </c>
      <c r="AF132" s="3" t="s">
        <v>1259</v>
      </c>
      <c r="AG132" s="7">
        <v>183</v>
      </c>
      <c r="AH132" s="7">
        <v>226</v>
      </c>
      <c r="AI132" s="7">
        <v>251</v>
      </c>
      <c r="AJ132" s="7">
        <v>660</v>
      </c>
      <c r="AK132" s="7"/>
      <c r="AL132" s="25" t="s">
        <v>78</v>
      </c>
      <c r="AM132" s="25" t="s">
        <v>58</v>
      </c>
      <c r="AN132" s="25" t="s">
        <v>59</v>
      </c>
      <c r="AO132" s="25" t="s">
        <v>707</v>
      </c>
      <c r="AP132" s="19" t="s">
        <v>1839</v>
      </c>
      <c r="AQ132" s="19" t="s">
        <v>1869</v>
      </c>
      <c r="AR132" s="19" t="s">
        <v>60</v>
      </c>
      <c r="AS132" s="19"/>
      <c r="AT132" s="19" t="s">
        <v>2319</v>
      </c>
      <c r="AU132" s="19" t="s">
        <v>2346</v>
      </c>
      <c r="AV132" s="19">
        <v>9217935065</v>
      </c>
      <c r="AW132" s="20">
        <v>46122</v>
      </c>
      <c r="AX132" s="19" t="s">
        <v>1990</v>
      </c>
      <c r="AY132" s="27" t="s">
        <v>129</v>
      </c>
      <c r="AZ132" s="27" t="s">
        <v>129</v>
      </c>
      <c r="BA132" s="19" t="s">
        <v>2479</v>
      </c>
      <c r="BB132" s="19" t="s">
        <v>2480</v>
      </c>
      <c r="BC132" s="19" t="s">
        <v>60</v>
      </c>
      <c r="BD132" s="75" t="s">
        <v>1753</v>
      </c>
      <c r="BE132" s="100" t="s">
        <v>3808</v>
      </c>
      <c r="BF132" s="100" t="s">
        <v>4147</v>
      </c>
      <c r="BG132" s="100"/>
    </row>
    <row r="133" spans="1:59" s="10" customFormat="1" ht="13.5" x14ac:dyDescent="0.25">
      <c r="A133" s="59">
        <v>140</v>
      </c>
      <c r="B133" s="15" t="s">
        <v>60</v>
      </c>
      <c r="C133" s="12">
        <v>243984</v>
      </c>
      <c r="D133" s="11" t="s">
        <v>40</v>
      </c>
      <c r="E133" s="11" t="s">
        <v>61</v>
      </c>
      <c r="F133" s="11" t="s">
        <v>1584</v>
      </c>
      <c r="G133" s="13" t="s">
        <v>352</v>
      </c>
      <c r="H133" s="11" t="s">
        <v>1715</v>
      </c>
      <c r="I133" s="3" t="s">
        <v>1646</v>
      </c>
      <c r="J133" s="3" t="s">
        <v>1646</v>
      </c>
      <c r="K133" s="11" t="s">
        <v>1798</v>
      </c>
      <c r="L133" s="4">
        <v>7525048911</v>
      </c>
      <c r="M133" s="4">
        <v>7525048911</v>
      </c>
      <c r="N133" s="4">
        <v>7525048911</v>
      </c>
      <c r="O133" s="26" t="s">
        <v>875</v>
      </c>
      <c r="P133" s="5" t="s">
        <v>60</v>
      </c>
      <c r="Q133" s="1" t="s">
        <v>876</v>
      </c>
      <c r="R133" s="1"/>
      <c r="S133" s="1" t="s">
        <v>877</v>
      </c>
      <c r="T133" s="1"/>
      <c r="U133" s="1"/>
      <c r="V133" s="1"/>
      <c r="W133" s="1"/>
      <c r="X133" s="1" t="s">
        <v>55</v>
      </c>
      <c r="Y133" s="1" t="s">
        <v>56</v>
      </c>
      <c r="Z133" s="3">
        <v>45492</v>
      </c>
      <c r="AA133" s="3">
        <v>45497</v>
      </c>
      <c r="AB133" s="6"/>
      <c r="AC133" s="1"/>
      <c r="AD133" s="4"/>
      <c r="AE133" s="2">
        <v>243984</v>
      </c>
      <c r="AF133" s="3" t="s">
        <v>874</v>
      </c>
      <c r="AG133" s="7">
        <v>294</v>
      </c>
      <c r="AH133" s="7">
        <v>307</v>
      </c>
      <c r="AI133" s="7">
        <v>299</v>
      </c>
      <c r="AJ133" s="7">
        <v>900</v>
      </c>
      <c r="AK133" s="7"/>
      <c r="AL133" s="25" t="s">
        <v>78</v>
      </c>
      <c r="AM133" s="25" t="s">
        <v>58</v>
      </c>
      <c r="AN133" s="25" t="s">
        <v>59</v>
      </c>
      <c r="AO133" s="25" t="s">
        <v>143</v>
      </c>
      <c r="AP133" s="19" t="s">
        <v>1798</v>
      </c>
      <c r="AQ133" s="19" t="s">
        <v>1869</v>
      </c>
      <c r="AR133" s="19" t="s">
        <v>60</v>
      </c>
      <c r="AS133" s="19"/>
      <c r="AT133" s="19" t="s">
        <v>2054</v>
      </c>
      <c r="AU133" s="19" t="s">
        <v>2092</v>
      </c>
      <c r="AV133" s="19">
        <v>7753851136</v>
      </c>
      <c r="AW133" s="20">
        <v>46118</v>
      </c>
      <c r="AX133" s="19" t="s">
        <v>1990</v>
      </c>
      <c r="AY133" s="27" t="s">
        <v>1584</v>
      </c>
      <c r="AZ133" s="27" t="s">
        <v>61</v>
      </c>
      <c r="BA133" s="19" t="s">
        <v>2697</v>
      </c>
      <c r="BB133" s="19" t="s">
        <v>2698</v>
      </c>
      <c r="BC133" s="19" t="s">
        <v>143</v>
      </c>
      <c r="BD133" s="75" t="s">
        <v>1715</v>
      </c>
      <c r="BE133" s="100" t="s">
        <v>3822</v>
      </c>
      <c r="BF133" s="100" t="s">
        <v>4148</v>
      </c>
      <c r="BG133" s="100"/>
    </row>
    <row r="134" spans="1:59" s="10" customFormat="1" ht="13.5" x14ac:dyDescent="0.25">
      <c r="A134" s="59">
        <v>132</v>
      </c>
      <c r="B134" s="15" t="s">
        <v>619</v>
      </c>
      <c r="C134" s="12">
        <v>26119</v>
      </c>
      <c r="D134" s="11" t="s">
        <v>40</v>
      </c>
      <c r="E134" s="11" t="s">
        <v>41</v>
      </c>
      <c r="F134" s="11" t="s">
        <v>42</v>
      </c>
      <c r="G134" s="13" t="s">
        <v>352</v>
      </c>
      <c r="H134" s="11" t="s">
        <v>620</v>
      </c>
      <c r="I134" s="3" t="s">
        <v>621</v>
      </c>
      <c r="J134" s="3" t="s">
        <v>621</v>
      </c>
      <c r="K134" s="11" t="s">
        <v>622</v>
      </c>
      <c r="L134" s="4" t="s">
        <v>623</v>
      </c>
      <c r="M134" s="4" t="s">
        <v>624</v>
      </c>
      <c r="N134" s="4" t="s">
        <v>623</v>
      </c>
      <c r="O134" s="26" t="s">
        <v>625</v>
      </c>
      <c r="P134" s="5" t="s">
        <v>626</v>
      </c>
      <c r="Q134" s="1" t="s">
        <v>627</v>
      </c>
      <c r="R134" s="1" t="s">
        <v>60</v>
      </c>
      <c r="S134" s="1" t="s">
        <v>628</v>
      </c>
      <c r="T134" s="1"/>
      <c r="U134" s="1"/>
      <c r="V134" s="1"/>
      <c r="W134" s="1"/>
      <c r="X134" s="1" t="s">
        <v>69</v>
      </c>
      <c r="Y134" s="1" t="s">
        <v>56</v>
      </c>
      <c r="Z134" s="3">
        <v>44496</v>
      </c>
      <c r="AA134" s="3">
        <v>44491</v>
      </c>
      <c r="AB134" s="6"/>
      <c r="AC134" s="1"/>
      <c r="AD134" s="4" t="s">
        <v>629</v>
      </c>
      <c r="AE134" s="2">
        <v>26119</v>
      </c>
      <c r="AF134" s="3" t="s">
        <v>620</v>
      </c>
      <c r="AG134" s="7">
        <v>437</v>
      </c>
      <c r="AH134" s="7">
        <v>394</v>
      </c>
      <c r="AI134" s="7">
        <v>421</v>
      </c>
      <c r="AJ134" s="7">
        <v>1252</v>
      </c>
      <c r="AK134" s="7"/>
      <c r="AL134" s="25" t="s">
        <v>78</v>
      </c>
      <c r="AM134" s="25" t="s">
        <v>58</v>
      </c>
      <c r="AN134" s="25" t="s">
        <v>59</v>
      </c>
      <c r="AO134" s="25" t="s">
        <v>95</v>
      </c>
      <c r="AP134" s="19" t="s">
        <v>622</v>
      </c>
      <c r="AQ134" s="19" t="s">
        <v>1869</v>
      </c>
      <c r="AR134" s="19" t="s">
        <v>60</v>
      </c>
      <c r="AS134" s="19"/>
      <c r="AT134" s="19" t="s">
        <v>2036</v>
      </c>
      <c r="AU134" s="19" t="s">
        <v>2090</v>
      </c>
      <c r="AV134" s="19">
        <v>9354183359</v>
      </c>
      <c r="AW134" s="20">
        <v>46133</v>
      </c>
      <c r="AX134" s="19" t="s">
        <v>1990</v>
      </c>
      <c r="AY134" s="27" t="s">
        <v>42</v>
      </c>
      <c r="AZ134" s="27" t="s">
        <v>41</v>
      </c>
      <c r="BA134" s="19" t="s">
        <v>2783</v>
      </c>
      <c r="BB134" s="19" t="s">
        <v>2784</v>
      </c>
      <c r="BC134" s="19" t="s">
        <v>2809</v>
      </c>
      <c r="BD134" s="75" t="s">
        <v>620</v>
      </c>
      <c r="BE134" s="100" t="s">
        <v>3815</v>
      </c>
      <c r="BF134" s="100" t="s">
        <v>4149</v>
      </c>
      <c r="BG134" s="100"/>
    </row>
    <row r="135" spans="1:59" s="10" customFormat="1" ht="13.5" x14ac:dyDescent="0.25">
      <c r="A135" s="59">
        <v>150</v>
      </c>
      <c r="B135" s="15" t="s">
        <v>1851</v>
      </c>
      <c r="C135" s="12">
        <v>400003</v>
      </c>
      <c r="D135" s="11" t="s">
        <v>103</v>
      </c>
      <c r="E135" s="11" t="s">
        <v>104</v>
      </c>
      <c r="F135" s="11" t="s">
        <v>105</v>
      </c>
      <c r="G135" s="13" t="s">
        <v>352</v>
      </c>
      <c r="H135" s="11" t="s">
        <v>1750</v>
      </c>
      <c r="I135" s="3" t="s">
        <v>1244</v>
      </c>
      <c r="J135" s="3" t="s">
        <v>1244</v>
      </c>
      <c r="K135" s="11" t="s">
        <v>1837</v>
      </c>
      <c r="L135" s="4" t="s">
        <v>1245</v>
      </c>
      <c r="M135" s="4" t="s">
        <v>1245</v>
      </c>
      <c r="N135" s="4" t="s">
        <v>1245</v>
      </c>
      <c r="O135" s="26" t="s">
        <v>1246</v>
      </c>
      <c r="P135" s="5" t="s">
        <v>60</v>
      </c>
      <c r="Q135" s="1" t="s">
        <v>1247</v>
      </c>
      <c r="R135" s="1"/>
      <c r="S135" s="1" t="s">
        <v>1248</v>
      </c>
      <c r="T135" s="1"/>
      <c r="U135" s="1"/>
      <c r="V135" s="1"/>
      <c r="W135" s="1"/>
      <c r="X135" s="1" t="s">
        <v>55</v>
      </c>
      <c r="Y135" s="1" t="s">
        <v>56</v>
      </c>
      <c r="Z135" s="3">
        <v>45953</v>
      </c>
      <c r="AA135" s="3">
        <v>45953</v>
      </c>
      <c r="AB135" s="6"/>
      <c r="AC135" s="1"/>
      <c r="AD135" s="4"/>
      <c r="AE135" s="2">
        <v>400003</v>
      </c>
      <c r="AF135" s="3" t="s">
        <v>1243</v>
      </c>
      <c r="AG135" s="7">
        <v>0</v>
      </c>
      <c r="AH135" s="7">
        <v>27</v>
      </c>
      <c r="AI135" s="7">
        <v>30</v>
      </c>
      <c r="AJ135" s="7">
        <v>57</v>
      </c>
      <c r="AK135" s="7"/>
      <c r="AL135" s="25" t="s">
        <v>78</v>
      </c>
      <c r="AM135" s="25" t="s">
        <v>58</v>
      </c>
      <c r="AN135" s="25" t="s">
        <v>59</v>
      </c>
      <c r="AO135" s="25" t="s">
        <v>707</v>
      </c>
      <c r="AP135" s="19" t="s">
        <v>1837</v>
      </c>
      <c r="AQ135" s="19" t="s">
        <v>1869</v>
      </c>
      <c r="AR135" s="19" t="s">
        <v>60</v>
      </c>
      <c r="AS135" s="19"/>
      <c r="AT135" s="19" t="s">
        <v>2318</v>
      </c>
      <c r="AU135" s="19" t="s">
        <v>2091</v>
      </c>
      <c r="AV135" s="19">
        <v>9354241930</v>
      </c>
      <c r="AW135" s="20">
        <v>46122</v>
      </c>
      <c r="AX135" s="19" t="s">
        <v>1990</v>
      </c>
      <c r="AY135" s="27" t="s">
        <v>105</v>
      </c>
      <c r="AZ135" s="27" t="s">
        <v>104</v>
      </c>
      <c r="BA135" s="19" t="s">
        <v>2515</v>
      </c>
      <c r="BB135" s="19" t="s">
        <v>2516</v>
      </c>
      <c r="BC135" s="19" t="s">
        <v>60</v>
      </c>
      <c r="BD135" s="75" t="s">
        <v>1750</v>
      </c>
      <c r="BE135" s="100" t="s">
        <v>3829</v>
      </c>
      <c r="BF135" s="100" t="s">
        <v>4150</v>
      </c>
      <c r="BG135" s="100"/>
    </row>
    <row r="136" spans="1:59" s="10" customFormat="1" ht="13.5" x14ac:dyDescent="0.25">
      <c r="A136" s="59">
        <v>135</v>
      </c>
      <c r="B136" s="15" t="s">
        <v>836</v>
      </c>
      <c r="C136" s="12">
        <v>53088</v>
      </c>
      <c r="D136" s="11" t="s">
        <v>40</v>
      </c>
      <c r="E136" s="11" t="s">
        <v>199</v>
      </c>
      <c r="F136" s="11" t="s">
        <v>837</v>
      </c>
      <c r="G136" s="13" t="s">
        <v>352</v>
      </c>
      <c r="H136" s="11" t="s">
        <v>838</v>
      </c>
      <c r="I136" s="3" t="s">
        <v>839</v>
      </c>
      <c r="J136" s="3" t="s">
        <v>839</v>
      </c>
      <c r="K136" s="11" t="s">
        <v>1792</v>
      </c>
      <c r="L136" s="4" t="s">
        <v>840</v>
      </c>
      <c r="M136" s="4" t="s">
        <v>840</v>
      </c>
      <c r="N136" s="4" t="s">
        <v>840</v>
      </c>
      <c r="O136" s="26" t="s">
        <v>841</v>
      </c>
      <c r="P136" s="5" t="s">
        <v>60</v>
      </c>
      <c r="Q136" s="1" t="s">
        <v>842</v>
      </c>
      <c r="R136" s="1"/>
      <c r="S136" s="1" t="s">
        <v>843</v>
      </c>
      <c r="T136" s="1"/>
      <c r="U136" s="1"/>
      <c r="V136" s="1"/>
      <c r="W136" s="1"/>
      <c r="X136" s="1" t="s">
        <v>55</v>
      </c>
      <c r="Y136" s="1" t="s">
        <v>56</v>
      </c>
      <c r="Z136" s="3">
        <v>45225</v>
      </c>
      <c r="AA136" s="3">
        <v>45222</v>
      </c>
      <c r="AB136" s="6"/>
      <c r="AC136" s="1"/>
      <c r="AD136" s="4" t="s">
        <v>844</v>
      </c>
      <c r="AE136" s="2">
        <v>53088</v>
      </c>
      <c r="AF136" s="3" t="s">
        <v>838</v>
      </c>
      <c r="AG136" s="7">
        <v>281</v>
      </c>
      <c r="AH136" s="7">
        <v>418</v>
      </c>
      <c r="AI136" s="7">
        <v>360</v>
      </c>
      <c r="AJ136" s="7">
        <v>1059</v>
      </c>
      <c r="AK136" s="7"/>
      <c r="AL136" s="25" t="s">
        <v>78</v>
      </c>
      <c r="AM136" s="25" t="s">
        <v>58</v>
      </c>
      <c r="AN136" s="25" t="s">
        <v>59</v>
      </c>
      <c r="AO136" s="25" t="s">
        <v>845</v>
      </c>
      <c r="AP136" s="19" t="s">
        <v>60</v>
      </c>
      <c r="AQ136" s="19" t="s">
        <v>1884</v>
      </c>
      <c r="AR136" s="19" t="s">
        <v>1864</v>
      </c>
      <c r="AS136" s="19" t="s">
        <v>60</v>
      </c>
      <c r="AT136" s="19" t="s">
        <v>60</v>
      </c>
      <c r="AU136" s="19" t="s">
        <v>60</v>
      </c>
      <c r="AV136" s="19" t="s">
        <v>60</v>
      </c>
      <c r="AW136" s="19" t="s">
        <v>60</v>
      </c>
      <c r="AX136" s="19" t="s">
        <v>60</v>
      </c>
      <c r="AY136" s="19" t="s">
        <v>837</v>
      </c>
      <c r="AZ136" s="19" t="s">
        <v>199</v>
      </c>
      <c r="BA136" s="19" t="s">
        <v>2495</v>
      </c>
      <c r="BB136" s="19" t="s">
        <v>2496</v>
      </c>
      <c r="BC136" s="19" t="s">
        <v>845</v>
      </c>
      <c r="BD136" s="75" t="s">
        <v>838</v>
      </c>
      <c r="BE136" s="100" t="s">
        <v>60</v>
      </c>
      <c r="BF136" s="100" t="s">
        <v>60</v>
      </c>
      <c r="BG136" s="100" t="s">
        <v>60</v>
      </c>
    </row>
    <row r="137" spans="1:59" s="10" customFormat="1" ht="13.5" x14ac:dyDescent="0.25">
      <c r="A137" s="59">
        <v>123</v>
      </c>
      <c r="B137" s="15" t="s">
        <v>1850</v>
      </c>
      <c r="C137" s="12">
        <v>118900</v>
      </c>
      <c r="D137" s="11" t="s">
        <v>40</v>
      </c>
      <c r="E137" s="11" t="s">
        <v>129</v>
      </c>
      <c r="F137" s="11" t="s">
        <v>129</v>
      </c>
      <c r="G137" s="13" t="s">
        <v>352</v>
      </c>
      <c r="H137" s="11" t="s">
        <v>1734</v>
      </c>
      <c r="I137" s="3" t="s">
        <v>1669</v>
      </c>
      <c r="J137" s="3" t="s">
        <v>1669</v>
      </c>
      <c r="K137" s="11" t="s">
        <v>1898</v>
      </c>
      <c r="L137" s="4">
        <v>9990774499</v>
      </c>
      <c r="M137" s="4">
        <v>9990774499</v>
      </c>
      <c r="N137" s="4">
        <v>9990774499</v>
      </c>
      <c r="O137" s="26" t="s">
        <v>1030</v>
      </c>
      <c r="P137" s="5" t="s">
        <v>60</v>
      </c>
      <c r="Q137" s="1" t="s">
        <v>1031</v>
      </c>
      <c r="R137" s="1"/>
      <c r="S137" s="1" t="s">
        <v>1032</v>
      </c>
      <c r="T137" s="1"/>
      <c r="U137" s="1"/>
      <c r="V137" s="1"/>
      <c r="W137" s="1"/>
      <c r="X137" s="1" t="s">
        <v>55</v>
      </c>
      <c r="Y137" s="1" t="s">
        <v>56</v>
      </c>
      <c r="Z137" s="3">
        <v>45687</v>
      </c>
      <c r="AA137" s="3">
        <v>45686</v>
      </c>
      <c r="AB137" s="6"/>
      <c r="AC137" s="1"/>
      <c r="AD137" s="4" t="s">
        <v>1033</v>
      </c>
      <c r="AE137" s="2">
        <v>118900</v>
      </c>
      <c r="AF137" s="3" t="s">
        <v>1029</v>
      </c>
      <c r="AG137" s="7">
        <v>127</v>
      </c>
      <c r="AH137" s="7">
        <v>140</v>
      </c>
      <c r="AI137" s="7">
        <v>178</v>
      </c>
      <c r="AJ137" s="7">
        <v>445</v>
      </c>
      <c r="AK137" s="7"/>
      <c r="AL137" s="25" t="s">
        <v>78</v>
      </c>
      <c r="AM137" s="25" t="s">
        <v>58</v>
      </c>
      <c r="AN137" s="25" t="s">
        <v>59</v>
      </c>
      <c r="AO137" s="25" t="s">
        <v>707</v>
      </c>
      <c r="AP137" s="19" t="s">
        <v>1898</v>
      </c>
      <c r="AQ137" s="19" t="s">
        <v>1869</v>
      </c>
      <c r="AR137" s="19" t="s">
        <v>60</v>
      </c>
      <c r="AS137" s="19"/>
      <c r="AT137" s="19" t="s">
        <v>2067</v>
      </c>
      <c r="AU137" s="19" t="s">
        <v>2346</v>
      </c>
      <c r="AV137" s="19">
        <v>9217935065</v>
      </c>
      <c r="AW137" s="20">
        <v>46120</v>
      </c>
      <c r="AX137" s="19" t="s">
        <v>1990</v>
      </c>
      <c r="AY137" s="27" t="s">
        <v>129</v>
      </c>
      <c r="AZ137" s="27" t="s">
        <v>129</v>
      </c>
      <c r="BA137" s="19" t="s">
        <v>2481</v>
      </c>
      <c r="BB137" s="19" t="s">
        <v>2482</v>
      </c>
      <c r="BC137" s="19" t="s">
        <v>60</v>
      </c>
      <c r="BD137" s="75" t="s">
        <v>1734</v>
      </c>
      <c r="BE137" s="100" t="s">
        <v>3809</v>
      </c>
      <c r="BF137" s="100" t="s">
        <v>4151</v>
      </c>
      <c r="BG137" s="100"/>
    </row>
    <row r="138" spans="1:59" s="10" customFormat="1" ht="13.5" x14ac:dyDescent="0.25">
      <c r="A138" s="59">
        <v>133</v>
      </c>
      <c r="B138" s="15" t="s">
        <v>1079</v>
      </c>
      <c r="C138" s="12">
        <v>26376</v>
      </c>
      <c r="D138" s="11" t="s">
        <v>40</v>
      </c>
      <c r="E138" s="11" t="s">
        <v>199</v>
      </c>
      <c r="F138" s="11" t="s">
        <v>214</v>
      </c>
      <c r="G138" s="13" t="s">
        <v>352</v>
      </c>
      <c r="H138" s="11" t="s">
        <v>1080</v>
      </c>
      <c r="I138" s="3" t="s">
        <v>1081</v>
      </c>
      <c r="J138" s="3" t="s">
        <v>1081</v>
      </c>
      <c r="K138" s="11" t="s">
        <v>1082</v>
      </c>
      <c r="L138" s="4" t="s">
        <v>1083</v>
      </c>
      <c r="M138" s="4" t="s">
        <v>1084</v>
      </c>
      <c r="N138" s="4" t="s">
        <v>1083</v>
      </c>
      <c r="O138" s="26" t="s">
        <v>1085</v>
      </c>
      <c r="P138" s="5" t="s">
        <v>60</v>
      </c>
      <c r="Q138" s="1" t="s">
        <v>1086</v>
      </c>
      <c r="R138" s="1"/>
      <c r="S138" s="1" t="s">
        <v>1087</v>
      </c>
      <c r="T138" s="1"/>
      <c r="U138" s="1"/>
      <c r="V138" s="1"/>
      <c r="W138" s="1"/>
      <c r="X138" s="1" t="s">
        <v>69</v>
      </c>
      <c r="Y138" s="1" t="s">
        <v>56</v>
      </c>
      <c r="Z138" s="3">
        <v>44340</v>
      </c>
      <c r="AA138" s="3">
        <v>44354</v>
      </c>
      <c r="AB138" s="6"/>
      <c r="AC138" s="1"/>
      <c r="AD138" s="4" t="s">
        <v>1088</v>
      </c>
      <c r="AE138" s="2">
        <v>26376</v>
      </c>
      <c r="AF138" s="3" t="s">
        <v>1080</v>
      </c>
      <c r="AG138" s="7">
        <v>95</v>
      </c>
      <c r="AH138" s="7">
        <v>91</v>
      </c>
      <c r="AI138" s="7">
        <v>87</v>
      </c>
      <c r="AJ138" s="7">
        <v>273</v>
      </c>
      <c r="AK138" s="7"/>
      <c r="AL138" s="25" t="s">
        <v>78</v>
      </c>
      <c r="AM138" s="25" t="s">
        <v>58</v>
      </c>
      <c r="AN138" s="25" t="s">
        <v>59</v>
      </c>
      <c r="AO138" s="25" t="s">
        <v>60</v>
      </c>
      <c r="AP138" s="19" t="s">
        <v>1082</v>
      </c>
      <c r="AQ138" s="19" t="s">
        <v>1869</v>
      </c>
      <c r="AR138" s="19" t="s">
        <v>60</v>
      </c>
      <c r="AS138" s="19"/>
      <c r="AT138" s="19" t="s">
        <v>2075</v>
      </c>
      <c r="AU138" s="19" t="s">
        <v>2092</v>
      </c>
      <c r="AV138" s="19">
        <v>7753851136</v>
      </c>
      <c r="AW138" s="20">
        <v>46133</v>
      </c>
      <c r="AX138" s="19" t="s">
        <v>1990</v>
      </c>
      <c r="AY138" s="27" t="s">
        <v>214</v>
      </c>
      <c r="AZ138" s="27" t="s">
        <v>199</v>
      </c>
      <c r="BA138" s="19" t="s">
        <v>2491</v>
      </c>
      <c r="BB138" s="19" t="s">
        <v>2492</v>
      </c>
      <c r="BC138" s="19" t="s">
        <v>579</v>
      </c>
      <c r="BD138" s="75" t="s">
        <v>1080</v>
      </c>
      <c r="BE138" s="100" t="s">
        <v>3816</v>
      </c>
      <c r="BF138" s="100" t="s">
        <v>4152</v>
      </c>
      <c r="BG138" s="100"/>
    </row>
    <row r="139" spans="1:59" s="10" customFormat="1" ht="13.5" x14ac:dyDescent="0.25">
      <c r="A139" s="59">
        <v>27</v>
      </c>
      <c r="B139" s="15" t="s">
        <v>60</v>
      </c>
      <c r="C139" s="12">
        <v>332001</v>
      </c>
      <c r="D139" s="11" t="s">
        <v>40</v>
      </c>
      <c r="E139" s="11" t="s">
        <v>96</v>
      </c>
      <c r="F139" s="11" t="s">
        <v>830</v>
      </c>
      <c r="G139" s="13" t="s">
        <v>43</v>
      </c>
      <c r="H139" s="11" t="s">
        <v>1710</v>
      </c>
      <c r="I139" s="3" t="s">
        <v>1641</v>
      </c>
      <c r="J139" s="3" t="s">
        <v>1641</v>
      </c>
      <c r="K139" s="11" t="s">
        <v>1791</v>
      </c>
      <c r="L139" s="4">
        <v>9609000001</v>
      </c>
      <c r="M139" s="4">
        <v>9609000001</v>
      </c>
      <c r="N139" s="4">
        <v>9609000001</v>
      </c>
      <c r="O139" s="26" t="s">
        <v>832</v>
      </c>
      <c r="P139" s="5" t="s">
        <v>60</v>
      </c>
      <c r="Q139" s="1" t="s">
        <v>833</v>
      </c>
      <c r="R139" s="1"/>
      <c r="S139" s="1" t="s">
        <v>834</v>
      </c>
      <c r="T139" s="1"/>
      <c r="U139" s="1"/>
      <c r="V139" s="1" t="s">
        <v>93</v>
      </c>
      <c r="W139" s="1"/>
      <c r="X139" s="1" t="s">
        <v>835</v>
      </c>
      <c r="Y139" s="1" t="s">
        <v>56</v>
      </c>
      <c r="Z139" s="3">
        <v>45790</v>
      </c>
      <c r="AA139" s="3">
        <v>45791</v>
      </c>
      <c r="AB139" s="6"/>
      <c r="AC139" s="1"/>
      <c r="AD139" s="4"/>
      <c r="AE139" s="2">
        <v>332001</v>
      </c>
      <c r="AF139" s="3" t="s">
        <v>831</v>
      </c>
      <c r="AG139" s="7" t="s">
        <v>60</v>
      </c>
      <c r="AH139" s="7" t="s">
        <v>60</v>
      </c>
      <c r="AI139" s="7" t="s">
        <v>60</v>
      </c>
      <c r="AJ139" s="7" t="s">
        <v>60</v>
      </c>
      <c r="AK139" s="7">
        <v>12</v>
      </c>
      <c r="AL139" s="25" t="s">
        <v>70</v>
      </c>
      <c r="AM139" s="25" t="s">
        <v>58</v>
      </c>
      <c r="AN139" s="25" t="s">
        <v>59</v>
      </c>
      <c r="AO139" s="25" t="e">
        <v>#N/A</v>
      </c>
      <c r="AP139" s="19" t="s">
        <v>1791</v>
      </c>
      <c r="AQ139" s="19" t="s">
        <v>1869</v>
      </c>
      <c r="AR139" s="19" t="s">
        <v>60</v>
      </c>
      <c r="AS139" s="19"/>
      <c r="AT139" s="19" t="s">
        <v>2050</v>
      </c>
      <c r="AU139" s="19" t="s">
        <v>2093</v>
      </c>
      <c r="AV139" s="19">
        <v>9990034588</v>
      </c>
      <c r="AW139" s="20">
        <v>46127</v>
      </c>
      <c r="AX139" s="19" t="s">
        <v>1990</v>
      </c>
      <c r="AY139" s="27" t="s">
        <v>830</v>
      </c>
      <c r="AZ139" s="27" t="s">
        <v>96</v>
      </c>
      <c r="BA139" s="19" t="s">
        <v>60</v>
      </c>
      <c r="BB139" s="19" t="s">
        <v>2689</v>
      </c>
      <c r="BC139" s="19" t="s">
        <v>2523</v>
      </c>
      <c r="BD139" s="75" t="s">
        <v>1710</v>
      </c>
      <c r="BE139" s="100" t="s">
        <v>3724</v>
      </c>
      <c r="BF139" s="100" t="s">
        <v>4025</v>
      </c>
      <c r="BG139" s="100" t="s">
        <v>4026</v>
      </c>
    </row>
    <row r="140" spans="1:59" s="10" customFormat="1" ht="13.5" x14ac:dyDescent="0.25">
      <c r="A140" s="59">
        <v>163</v>
      </c>
      <c r="B140" s="15" t="s">
        <v>341</v>
      </c>
      <c r="C140" s="12">
        <v>26224</v>
      </c>
      <c r="D140" s="11" t="s">
        <v>103</v>
      </c>
      <c r="E140" s="11" t="s">
        <v>1621</v>
      </c>
      <c r="F140" s="11" t="s">
        <v>342</v>
      </c>
      <c r="G140" s="13" t="s">
        <v>63</v>
      </c>
      <c r="H140" s="11" t="s">
        <v>1692</v>
      </c>
      <c r="I140" s="3" t="s">
        <v>344</v>
      </c>
      <c r="J140" s="3" t="s">
        <v>344</v>
      </c>
      <c r="K140" s="11" t="s">
        <v>345</v>
      </c>
      <c r="L140" s="4" t="s">
        <v>346</v>
      </c>
      <c r="M140" s="4" t="s">
        <v>346</v>
      </c>
      <c r="N140" s="4">
        <v>9.9772578889617196E+39</v>
      </c>
      <c r="O140" s="26" t="s">
        <v>347</v>
      </c>
      <c r="P140" s="5" t="s">
        <v>60</v>
      </c>
      <c r="Q140" s="1" t="s">
        <v>348</v>
      </c>
      <c r="R140" s="1"/>
      <c r="S140" s="1" t="s">
        <v>349</v>
      </c>
      <c r="T140" s="1"/>
      <c r="U140" s="1"/>
      <c r="V140" s="1" t="s">
        <v>77</v>
      </c>
      <c r="W140" s="1"/>
      <c r="X140" s="1" t="s">
        <v>55</v>
      </c>
      <c r="Y140" s="1" t="s">
        <v>56</v>
      </c>
      <c r="Z140" s="3">
        <v>43476</v>
      </c>
      <c r="AA140" s="3">
        <v>43438</v>
      </c>
      <c r="AB140" s="6"/>
      <c r="AC140" s="1"/>
      <c r="AD140" s="4"/>
      <c r="AE140" s="2">
        <v>26224</v>
      </c>
      <c r="AF140" s="3" t="s">
        <v>343</v>
      </c>
      <c r="AG140" s="7" t="s">
        <v>60</v>
      </c>
      <c r="AH140" s="7" t="s">
        <v>60</v>
      </c>
      <c r="AI140" s="7" t="s">
        <v>60</v>
      </c>
      <c r="AJ140" s="7" t="s">
        <v>60</v>
      </c>
      <c r="AK140" s="7">
        <v>2</v>
      </c>
      <c r="AL140" s="25" t="s">
        <v>70</v>
      </c>
      <c r="AM140" s="25" t="s">
        <v>58</v>
      </c>
      <c r="AN140" s="25" t="s">
        <v>59</v>
      </c>
      <c r="AO140" s="25" t="e">
        <v>#N/A</v>
      </c>
      <c r="AP140" s="19" t="s">
        <v>345</v>
      </c>
      <c r="AQ140" s="19" t="s">
        <v>1869</v>
      </c>
      <c r="AR140" s="19" t="s">
        <v>60</v>
      </c>
      <c r="AS140" s="19"/>
      <c r="AT140" s="19" t="s">
        <v>2278</v>
      </c>
      <c r="AU140" s="19" t="s">
        <v>2098</v>
      </c>
      <c r="AV140" s="19">
        <v>7460008081</v>
      </c>
      <c r="AW140" s="20">
        <v>46125</v>
      </c>
      <c r="AX140" s="19" t="s">
        <v>1990</v>
      </c>
      <c r="AY140" s="27" t="s">
        <v>342</v>
      </c>
      <c r="AZ140" s="27" t="s">
        <v>1621</v>
      </c>
      <c r="BA140" s="19" t="s">
        <v>60</v>
      </c>
      <c r="BB140" s="19" t="s">
        <v>2722</v>
      </c>
      <c r="BC140" s="19" t="s">
        <v>2539</v>
      </c>
      <c r="BD140" s="75" t="s">
        <v>1692</v>
      </c>
      <c r="BE140" s="100" t="s">
        <v>3841</v>
      </c>
      <c r="BF140" s="100" t="s">
        <v>4179</v>
      </c>
      <c r="BG140" s="100" t="s">
        <v>4180</v>
      </c>
    </row>
    <row r="141" spans="1:59" s="10" customFormat="1" ht="13.5" x14ac:dyDescent="0.25">
      <c r="A141" s="59">
        <v>134</v>
      </c>
      <c r="B141" s="15" t="s">
        <v>60</v>
      </c>
      <c r="C141" s="12">
        <v>130913</v>
      </c>
      <c r="D141" s="11" t="s">
        <v>40</v>
      </c>
      <c r="E141" s="11" t="s">
        <v>199</v>
      </c>
      <c r="F141" s="11" t="s">
        <v>214</v>
      </c>
      <c r="G141" s="13" t="s">
        <v>352</v>
      </c>
      <c r="H141" s="11" t="s">
        <v>1746</v>
      </c>
      <c r="I141" s="3" t="s">
        <v>1681</v>
      </c>
      <c r="J141" s="3" t="s">
        <v>1681</v>
      </c>
      <c r="K141" s="11" t="s">
        <v>1832</v>
      </c>
      <c r="L141" s="4">
        <v>8107661522</v>
      </c>
      <c r="M141" s="4">
        <v>8107661522</v>
      </c>
      <c r="N141" s="4">
        <v>8107661522</v>
      </c>
      <c r="O141" s="26" t="s">
        <v>1210</v>
      </c>
      <c r="P141" s="5" t="s">
        <v>60</v>
      </c>
      <c r="Q141" s="1" t="s">
        <v>1211</v>
      </c>
      <c r="R141" s="1"/>
      <c r="S141" s="1" t="s">
        <v>1212</v>
      </c>
      <c r="T141" s="1"/>
      <c r="U141" s="1"/>
      <c r="V141" s="1"/>
      <c r="W141" s="1"/>
      <c r="X141" s="1" t="s">
        <v>197</v>
      </c>
      <c r="Y141" s="1" t="s">
        <v>56</v>
      </c>
      <c r="Z141" s="3">
        <v>45834</v>
      </c>
      <c r="AA141" s="3">
        <v>45833</v>
      </c>
      <c r="AB141" s="6"/>
      <c r="AC141" s="1"/>
      <c r="AD141" s="4" t="s">
        <v>1213</v>
      </c>
      <c r="AE141" s="2">
        <v>130913</v>
      </c>
      <c r="AF141" s="3" t="s">
        <v>1209</v>
      </c>
      <c r="AG141" s="7">
        <v>872</v>
      </c>
      <c r="AH141" s="7">
        <v>778</v>
      </c>
      <c r="AI141" s="7">
        <v>737</v>
      </c>
      <c r="AJ141" s="7">
        <v>2387</v>
      </c>
      <c r="AK141" s="7"/>
      <c r="AL141" s="25" t="s">
        <v>78</v>
      </c>
      <c r="AM141" s="25" t="s">
        <v>58</v>
      </c>
      <c r="AN141" s="25" t="s">
        <v>59</v>
      </c>
      <c r="AO141" s="25" t="s">
        <v>95</v>
      </c>
      <c r="AP141" s="19" t="s">
        <v>1832</v>
      </c>
      <c r="AQ141" s="19" t="s">
        <v>1869</v>
      </c>
      <c r="AR141" s="19" t="s">
        <v>60</v>
      </c>
      <c r="AS141" s="19"/>
      <c r="AT141" s="19" t="s">
        <v>2082</v>
      </c>
      <c r="AU141" s="19" t="s">
        <v>2096</v>
      </c>
      <c r="AV141" s="19">
        <v>7688959606</v>
      </c>
      <c r="AW141" s="20">
        <v>46127</v>
      </c>
      <c r="AX141" s="19" t="s">
        <v>1990</v>
      </c>
      <c r="AY141" s="27" t="s">
        <v>214</v>
      </c>
      <c r="AZ141" s="27" t="s">
        <v>199</v>
      </c>
      <c r="BA141" s="19" t="s">
        <v>2493</v>
      </c>
      <c r="BB141" s="19" t="s">
        <v>2494</v>
      </c>
      <c r="BC141" s="19" t="s">
        <v>95</v>
      </c>
      <c r="BD141" s="75" t="s">
        <v>1746</v>
      </c>
      <c r="BE141" s="100" t="s">
        <v>3817</v>
      </c>
      <c r="BF141" s="100" t="s">
        <v>4157</v>
      </c>
      <c r="BG141" s="100"/>
    </row>
    <row r="142" spans="1:59" s="10" customFormat="1" ht="13.5" x14ac:dyDescent="0.25">
      <c r="A142" s="59">
        <v>142</v>
      </c>
      <c r="B142" s="15" t="s">
        <v>60</v>
      </c>
      <c r="C142" s="12">
        <v>363994</v>
      </c>
      <c r="D142" s="11" t="s">
        <v>40</v>
      </c>
      <c r="E142" s="11" t="s">
        <v>61</v>
      </c>
      <c r="F142" s="11" t="s">
        <v>270</v>
      </c>
      <c r="G142" s="13" t="s">
        <v>352</v>
      </c>
      <c r="H142" s="11" t="s">
        <v>1752</v>
      </c>
      <c r="I142" s="3" t="s">
        <v>1685</v>
      </c>
      <c r="J142" s="3" t="s">
        <v>1685</v>
      </c>
      <c r="K142" s="11" t="s">
        <v>1838</v>
      </c>
      <c r="L142" s="4">
        <v>7905987512</v>
      </c>
      <c r="M142" s="4">
        <v>7905987512</v>
      </c>
      <c r="N142" s="4">
        <v>7905987512</v>
      </c>
      <c r="O142" s="26" t="s">
        <v>1255</v>
      </c>
      <c r="P142" s="5" t="s">
        <v>60</v>
      </c>
      <c r="Q142" s="1" t="s">
        <v>1256</v>
      </c>
      <c r="R142" s="1"/>
      <c r="S142" s="1" t="s">
        <v>1257</v>
      </c>
      <c r="T142" s="1"/>
      <c r="U142" s="1"/>
      <c r="V142" s="1"/>
      <c r="W142" s="1"/>
      <c r="X142" s="1" t="s">
        <v>55</v>
      </c>
      <c r="Y142" s="1" t="s">
        <v>56</v>
      </c>
      <c r="Z142" s="3">
        <v>45979</v>
      </c>
      <c r="AA142" s="3">
        <v>45973</v>
      </c>
      <c r="AB142" s="6"/>
      <c r="AC142" s="1"/>
      <c r="AD142" s="4" t="s">
        <v>1258</v>
      </c>
      <c r="AE142" s="2">
        <v>363994</v>
      </c>
      <c r="AF142" s="3" t="s">
        <v>1254</v>
      </c>
      <c r="AG142" s="7">
        <v>196</v>
      </c>
      <c r="AH142" s="7">
        <v>240</v>
      </c>
      <c r="AI142" s="7">
        <v>333</v>
      </c>
      <c r="AJ142" s="7">
        <v>769</v>
      </c>
      <c r="AK142" s="7"/>
      <c r="AL142" s="25" t="s">
        <v>78</v>
      </c>
      <c r="AM142" s="25" t="s">
        <v>58</v>
      </c>
      <c r="AN142" s="25" t="s">
        <v>59</v>
      </c>
      <c r="AO142" s="25" t="s">
        <v>60</v>
      </c>
      <c r="AP142" s="19" t="s">
        <v>1838</v>
      </c>
      <c r="AQ142" s="19" t="s">
        <v>1869</v>
      </c>
      <c r="AR142" s="19" t="s">
        <v>60</v>
      </c>
      <c r="AS142" s="19"/>
      <c r="AT142" s="19" t="s">
        <v>2087</v>
      </c>
      <c r="AU142" s="19" t="s">
        <v>2092</v>
      </c>
      <c r="AV142" s="19">
        <v>7753851136</v>
      </c>
      <c r="AW142" s="20">
        <v>46125</v>
      </c>
      <c r="AX142" s="19" t="s">
        <v>1990</v>
      </c>
      <c r="AY142" s="27" t="s">
        <v>270</v>
      </c>
      <c r="AZ142" s="27" t="s">
        <v>61</v>
      </c>
      <c r="BA142" s="19" t="s">
        <v>2506</v>
      </c>
      <c r="BB142" s="19" t="s">
        <v>2507</v>
      </c>
      <c r="BC142" s="19" t="s">
        <v>579</v>
      </c>
      <c r="BD142" s="75" t="s">
        <v>1752</v>
      </c>
      <c r="BE142" s="100" t="s">
        <v>3824</v>
      </c>
      <c r="BF142" s="100" t="s">
        <v>4158</v>
      </c>
      <c r="BG142" s="100"/>
    </row>
    <row r="143" spans="1:59" s="14" customFormat="1" ht="13.5" x14ac:dyDescent="0.25">
      <c r="A143" s="59">
        <v>139</v>
      </c>
      <c r="B143" s="15" t="s">
        <v>60</v>
      </c>
      <c r="C143" s="12">
        <v>311991</v>
      </c>
      <c r="D143" s="11" t="s">
        <v>103</v>
      </c>
      <c r="E143" s="11" t="s">
        <v>968</v>
      </c>
      <c r="F143" s="11" t="s">
        <v>414</v>
      </c>
      <c r="G143" s="13" t="s">
        <v>352</v>
      </c>
      <c r="H143" s="11" t="s">
        <v>1738</v>
      </c>
      <c r="I143" s="3" t="s">
        <v>1676</v>
      </c>
      <c r="J143" s="3" t="s">
        <v>1676</v>
      </c>
      <c r="K143" s="11" t="s">
        <v>1825</v>
      </c>
      <c r="L143" s="4">
        <v>7903586282</v>
      </c>
      <c r="M143" s="4" t="s">
        <v>1096</v>
      </c>
      <c r="N143" s="4">
        <v>7903586282</v>
      </c>
      <c r="O143" s="26" t="s">
        <v>1097</v>
      </c>
      <c r="P143" s="5" t="s">
        <v>60</v>
      </c>
      <c r="Q143" s="1" t="s">
        <v>1098</v>
      </c>
      <c r="R143" s="1"/>
      <c r="S143" s="1" t="s">
        <v>1099</v>
      </c>
      <c r="T143" s="1"/>
      <c r="U143" s="1"/>
      <c r="V143" s="1"/>
      <c r="W143" s="1"/>
      <c r="X143" s="1" t="s">
        <v>55</v>
      </c>
      <c r="Y143" s="1" t="s">
        <v>56</v>
      </c>
      <c r="Z143" s="3">
        <v>45693</v>
      </c>
      <c r="AA143" s="3">
        <v>45693</v>
      </c>
      <c r="AB143" s="6"/>
      <c r="AC143" s="1"/>
      <c r="AD143" s="4"/>
      <c r="AE143" s="2">
        <v>311991</v>
      </c>
      <c r="AF143" s="3" t="s">
        <v>1095</v>
      </c>
      <c r="AG143" s="7">
        <v>100</v>
      </c>
      <c r="AH143" s="7">
        <v>80</v>
      </c>
      <c r="AI143" s="7">
        <v>68</v>
      </c>
      <c r="AJ143" s="7">
        <v>248</v>
      </c>
      <c r="AK143" s="7"/>
      <c r="AL143" s="25" t="s">
        <v>78</v>
      </c>
      <c r="AM143" s="25" t="s">
        <v>58</v>
      </c>
      <c r="AN143" s="25" t="s">
        <v>59</v>
      </c>
      <c r="AO143" s="25" t="s">
        <v>95</v>
      </c>
      <c r="AP143" s="19" t="s">
        <v>1825</v>
      </c>
      <c r="AQ143" s="19" t="s">
        <v>1869</v>
      </c>
      <c r="AR143" s="19" t="s">
        <v>60</v>
      </c>
      <c r="AS143" s="19"/>
      <c r="AT143" s="19" t="s">
        <v>2077</v>
      </c>
      <c r="AU143" s="19" t="s">
        <v>2091</v>
      </c>
      <c r="AV143" s="19">
        <v>9354241930</v>
      </c>
      <c r="AW143" s="20">
        <v>46134</v>
      </c>
      <c r="AX143" s="19" t="s">
        <v>1990</v>
      </c>
      <c r="AY143" s="27" t="s">
        <v>414</v>
      </c>
      <c r="AZ143" s="27" t="s">
        <v>968</v>
      </c>
      <c r="BA143" s="19" t="s">
        <v>2502</v>
      </c>
      <c r="BB143" s="19" t="s">
        <v>2719</v>
      </c>
      <c r="BC143" s="19" t="s">
        <v>2503</v>
      </c>
      <c r="BD143" s="75" t="s">
        <v>1738</v>
      </c>
      <c r="BE143" s="100" t="s">
        <v>3821</v>
      </c>
      <c r="BF143" s="100" t="s">
        <v>4159</v>
      </c>
      <c r="BG143" s="100"/>
    </row>
    <row r="144" spans="1:59" s="10" customFormat="1" ht="13.5" x14ac:dyDescent="0.25">
      <c r="A144" s="59">
        <v>143</v>
      </c>
      <c r="B144" s="15" t="s">
        <v>1275</v>
      </c>
      <c r="C144" s="12">
        <v>26219</v>
      </c>
      <c r="D144" s="11" t="s">
        <v>40</v>
      </c>
      <c r="E144" s="11" t="s">
        <v>61</v>
      </c>
      <c r="F144" s="11" t="s">
        <v>62</v>
      </c>
      <c r="G144" s="13" t="s">
        <v>352</v>
      </c>
      <c r="H144" s="11" t="s">
        <v>1951</v>
      </c>
      <c r="I144" s="3" t="s">
        <v>1277</v>
      </c>
      <c r="J144" s="3" t="s">
        <v>1277</v>
      </c>
      <c r="K144" s="11" t="s">
        <v>1921</v>
      </c>
      <c r="L144" s="4" t="s">
        <v>775</v>
      </c>
      <c r="M144" s="4" t="s">
        <v>1278</v>
      </c>
      <c r="N144" s="4" t="s">
        <v>1279</v>
      </c>
      <c r="O144" s="26" t="s">
        <v>1280</v>
      </c>
      <c r="P144" s="5" t="s">
        <v>1281</v>
      </c>
      <c r="Q144" s="1" t="s">
        <v>1282</v>
      </c>
      <c r="R144" s="1"/>
      <c r="S144" s="1" t="s">
        <v>1283</v>
      </c>
      <c r="T144" s="1"/>
      <c r="U144" s="1"/>
      <c r="V144" s="1"/>
      <c r="W144" s="1"/>
      <c r="X144" s="1" t="s">
        <v>55</v>
      </c>
      <c r="Y144" s="1" t="s">
        <v>56</v>
      </c>
      <c r="Z144" s="3">
        <v>43432</v>
      </c>
      <c r="AA144" s="3">
        <v>43430</v>
      </c>
      <c r="AB144" s="6"/>
      <c r="AC144" s="1"/>
      <c r="AD144" s="4"/>
      <c r="AE144" s="2">
        <v>26219</v>
      </c>
      <c r="AF144" s="3" t="s">
        <v>1276</v>
      </c>
      <c r="AG144" s="7">
        <v>1784</v>
      </c>
      <c r="AH144" s="7">
        <v>1635</v>
      </c>
      <c r="AI144" s="7">
        <v>1588</v>
      </c>
      <c r="AJ144" s="7">
        <v>5007</v>
      </c>
      <c r="AK144" s="7"/>
      <c r="AL144" s="25" t="s">
        <v>78</v>
      </c>
      <c r="AM144" s="25" t="s">
        <v>58</v>
      </c>
      <c r="AN144" s="25" t="s">
        <v>59</v>
      </c>
      <c r="AO144" s="25" t="s">
        <v>60</v>
      </c>
      <c r="AP144" s="19" t="s">
        <v>1921</v>
      </c>
      <c r="AQ144" s="19" t="s">
        <v>1884</v>
      </c>
      <c r="AR144" s="19" t="s">
        <v>1922</v>
      </c>
      <c r="AS144" s="19" t="s">
        <v>60</v>
      </c>
      <c r="AT144" s="19" t="s">
        <v>60</v>
      </c>
      <c r="AU144" s="19" t="s">
        <v>60</v>
      </c>
      <c r="AV144" s="19" t="s">
        <v>60</v>
      </c>
      <c r="AW144" s="19" t="s">
        <v>60</v>
      </c>
      <c r="AX144" s="19" t="s">
        <v>60</v>
      </c>
      <c r="AY144" s="19" t="s">
        <v>62</v>
      </c>
      <c r="AZ144" s="19" t="s">
        <v>61</v>
      </c>
      <c r="BA144" s="19" t="s">
        <v>2691</v>
      </c>
      <c r="BB144" s="19" t="s">
        <v>2692</v>
      </c>
      <c r="BC144" s="19" t="s">
        <v>2779</v>
      </c>
      <c r="BD144" s="75" t="s">
        <v>1951</v>
      </c>
      <c r="BE144" s="100" t="s">
        <v>60</v>
      </c>
      <c r="BF144" s="100" t="s">
        <v>60</v>
      </c>
      <c r="BG144" s="100" t="s">
        <v>60</v>
      </c>
    </row>
    <row r="145" spans="1:59" s="10" customFormat="1" ht="13.5" x14ac:dyDescent="0.25">
      <c r="A145" s="59">
        <v>76</v>
      </c>
      <c r="B145" s="15" t="s">
        <v>1100</v>
      </c>
      <c r="C145" s="12">
        <v>12475</v>
      </c>
      <c r="D145" s="11" t="s">
        <v>40</v>
      </c>
      <c r="E145" s="11" t="s">
        <v>199</v>
      </c>
      <c r="F145" s="11" t="s">
        <v>837</v>
      </c>
      <c r="G145" s="13" t="s">
        <v>43</v>
      </c>
      <c r="H145" s="11" t="s">
        <v>1101</v>
      </c>
      <c r="I145" s="3" t="s">
        <v>1102</v>
      </c>
      <c r="J145" s="3" t="s">
        <v>1103</v>
      </c>
      <c r="K145" s="11" t="s">
        <v>1104</v>
      </c>
      <c r="L145" s="4" t="s">
        <v>1105</v>
      </c>
      <c r="M145" s="4" t="s">
        <v>1106</v>
      </c>
      <c r="N145" s="4" t="s">
        <v>1107</v>
      </c>
      <c r="O145" s="26" t="s">
        <v>1108</v>
      </c>
      <c r="P145" s="5" t="s">
        <v>1109</v>
      </c>
      <c r="Q145" s="1" t="s">
        <v>1110</v>
      </c>
      <c r="R145" s="1"/>
      <c r="S145" s="1" t="s">
        <v>1111</v>
      </c>
      <c r="T145" s="1"/>
      <c r="U145" s="1"/>
      <c r="V145" s="1" t="s">
        <v>1112</v>
      </c>
      <c r="W145" s="1"/>
      <c r="X145" s="1" t="s">
        <v>55</v>
      </c>
      <c r="Y145" s="1" t="s">
        <v>56</v>
      </c>
      <c r="Z145" s="3">
        <v>44697</v>
      </c>
      <c r="AA145" s="3">
        <v>44690</v>
      </c>
      <c r="AB145" s="6"/>
      <c r="AC145" s="1"/>
      <c r="AD145" s="4"/>
      <c r="AE145" s="2">
        <v>12475</v>
      </c>
      <c r="AF145" s="3" t="s">
        <v>1101</v>
      </c>
      <c r="AG145" s="7">
        <v>230</v>
      </c>
      <c r="AH145" s="7">
        <v>571</v>
      </c>
      <c r="AI145" s="7">
        <v>224</v>
      </c>
      <c r="AJ145" s="7">
        <v>1025</v>
      </c>
      <c r="AK145" s="7"/>
      <c r="AL145" s="25" t="s">
        <v>78</v>
      </c>
      <c r="AM145" s="25" t="s">
        <v>58</v>
      </c>
      <c r="AN145" s="25" t="s">
        <v>59</v>
      </c>
      <c r="AO145" s="25" t="s">
        <v>549</v>
      </c>
      <c r="AP145" s="19" t="s">
        <v>1104</v>
      </c>
      <c r="AQ145" s="19" t="s">
        <v>1869</v>
      </c>
      <c r="AR145" s="19" t="s">
        <v>60</v>
      </c>
      <c r="AS145" s="19"/>
      <c r="AT145" s="19" t="s">
        <v>2078</v>
      </c>
      <c r="AU145" s="19" t="s">
        <v>2096</v>
      </c>
      <c r="AV145" s="19">
        <v>7688959606</v>
      </c>
      <c r="AW145" s="20">
        <v>46120</v>
      </c>
      <c r="AX145" s="19" t="s">
        <v>1990</v>
      </c>
      <c r="AY145" s="27" t="s">
        <v>837</v>
      </c>
      <c r="AZ145" s="27" t="s">
        <v>199</v>
      </c>
      <c r="BA145" s="19" t="s">
        <v>2433</v>
      </c>
      <c r="BB145" s="19" t="s">
        <v>2434</v>
      </c>
      <c r="BC145" s="19" t="s">
        <v>2730</v>
      </c>
      <c r="BD145" s="75" t="s">
        <v>1101</v>
      </c>
      <c r="BE145" s="100" t="s">
        <v>3764</v>
      </c>
      <c r="BF145" s="100" t="s">
        <v>4160</v>
      </c>
      <c r="BG145" s="100"/>
    </row>
    <row r="146" spans="1:59" s="10" customFormat="1" ht="13.5" x14ac:dyDescent="0.25">
      <c r="A146" s="59">
        <v>145</v>
      </c>
      <c r="B146" s="15" t="s">
        <v>773</v>
      </c>
      <c r="C146" s="12">
        <v>54359</v>
      </c>
      <c r="D146" s="11" t="s">
        <v>103</v>
      </c>
      <c r="E146" s="11" t="s">
        <v>968</v>
      </c>
      <c r="F146" s="11" t="s">
        <v>1863</v>
      </c>
      <c r="G146" s="13" t="s">
        <v>352</v>
      </c>
      <c r="H146" s="11" t="s">
        <v>774</v>
      </c>
      <c r="I146" s="3" t="s">
        <v>1636</v>
      </c>
      <c r="J146" s="3" t="s">
        <v>1636</v>
      </c>
      <c r="K146" s="11" t="s">
        <v>1787</v>
      </c>
      <c r="L146" s="4" t="s">
        <v>775</v>
      </c>
      <c r="M146" s="4" t="s">
        <v>776</v>
      </c>
      <c r="N146" s="4" t="s">
        <v>257</v>
      </c>
      <c r="O146" s="26" t="s">
        <v>777</v>
      </c>
      <c r="P146" s="5" t="s">
        <v>60</v>
      </c>
      <c r="Q146" s="1" t="s">
        <v>778</v>
      </c>
      <c r="R146" s="1"/>
      <c r="S146" s="1" t="s">
        <v>779</v>
      </c>
      <c r="T146" s="1"/>
      <c r="U146" s="1"/>
      <c r="V146" s="1"/>
      <c r="W146" s="1"/>
      <c r="X146" s="1" t="s">
        <v>55</v>
      </c>
      <c r="Y146" s="1" t="s">
        <v>56</v>
      </c>
      <c r="Z146" s="3">
        <v>44867</v>
      </c>
      <c r="AA146" s="3">
        <v>44865</v>
      </c>
      <c r="AB146" s="6"/>
      <c r="AC146" s="1" t="s">
        <v>780</v>
      </c>
      <c r="AD146" s="4" t="s">
        <v>781</v>
      </c>
      <c r="AE146" s="2">
        <v>54359</v>
      </c>
      <c r="AF146" s="3" t="s">
        <v>774</v>
      </c>
      <c r="AG146" s="7">
        <v>893</v>
      </c>
      <c r="AH146" s="7">
        <v>900</v>
      </c>
      <c r="AI146" s="7">
        <v>1017</v>
      </c>
      <c r="AJ146" s="7">
        <v>2810</v>
      </c>
      <c r="AK146" s="7"/>
      <c r="AL146" s="25" t="s">
        <v>78</v>
      </c>
      <c r="AM146" s="25" t="s">
        <v>58</v>
      </c>
      <c r="AN146" s="25" t="s">
        <v>59</v>
      </c>
      <c r="AO146" s="25" t="s">
        <v>95</v>
      </c>
      <c r="AP146" s="19" t="s">
        <v>60</v>
      </c>
      <c r="AQ146" s="19" t="s">
        <v>1884</v>
      </c>
      <c r="AR146" s="19" t="s">
        <v>1926</v>
      </c>
      <c r="AS146" s="19" t="s">
        <v>60</v>
      </c>
      <c r="AT146" s="19" t="s">
        <v>60</v>
      </c>
      <c r="AU146" s="19" t="s">
        <v>60</v>
      </c>
      <c r="AV146" s="19" t="s">
        <v>60</v>
      </c>
      <c r="AW146" s="19" t="s">
        <v>60</v>
      </c>
      <c r="AX146" s="19" t="s">
        <v>60</v>
      </c>
      <c r="AY146" s="19" t="s">
        <v>1863</v>
      </c>
      <c r="AZ146" s="19" t="s">
        <v>968</v>
      </c>
      <c r="BA146" s="19" t="s">
        <v>2469</v>
      </c>
      <c r="BB146" s="19" t="s">
        <v>2716</v>
      </c>
      <c r="BC146" s="19" t="s">
        <v>95</v>
      </c>
      <c r="BD146" s="75" t="s">
        <v>774</v>
      </c>
      <c r="BE146" s="100" t="s">
        <v>60</v>
      </c>
      <c r="BF146" s="100" t="s">
        <v>60</v>
      </c>
      <c r="BG146" s="100" t="s">
        <v>60</v>
      </c>
    </row>
    <row r="147" spans="1:59" s="10" customFormat="1" ht="13.5" x14ac:dyDescent="0.25">
      <c r="A147" s="59">
        <v>108</v>
      </c>
      <c r="B147" s="15" t="s">
        <v>60</v>
      </c>
      <c r="C147" s="12">
        <v>374994</v>
      </c>
      <c r="D147" s="11" t="s">
        <v>103</v>
      </c>
      <c r="E147" s="11" t="s">
        <v>104</v>
      </c>
      <c r="F147" s="11" t="s">
        <v>105</v>
      </c>
      <c r="G147" s="13" t="s">
        <v>43</v>
      </c>
      <c r="H147" s="11" t="s">
        <v>1748</v>
      </c>
      <c r="I147" s="3" t="s">
        <v>1226</v>
      </c>
      <c r="J147" s="3" t="s">
        <v>1226</v>
      </c>
      <c r="K147" s="11" t="s">
        <v>1835</v>
      </c>
      <c r="L147" s="4">
        <v>9230978280</v>
      </c>
      <c r="M147" s="4">
        <v>9230978280</v>
      </c>
      <c r="N147" s="4">
        <v>9230978280</v>
      </c>
      <c r="O147" s="26" t="s">
        <v>1227</v>
      </c>
      <c r="P147" s="5" t="s">
        <v>60</v>
      </c>
      <c r="Q147" s="1" t="s">
        <v>1228</v>
      </c>
      <c r="R147" s="1"/>
      <c r="S147" s="1" t="s">
        <v>1229</v>
      </c>
      <c r="T147" s="1"/>
      <c r="U147" s="1"/>
      <c r="V147" s="1"/>
      <c r="W147" s="1"/>
      <c r="X147" s="1" t="s">
        <v>197</v>
      </c>
      <c r="Y147" s="1" t="s">
        <v>56</v>
      </c>
      <c r="Z147" s="3">
        <v>45926</v>
      </c>
      <c r="AA147" s="3">
        <v>45926</v>
      </c>
      <c r="AB147" s="6"/>
      <c r="AC147" s="1"/>
      <c r="AD147" s="4"/>
      <c r="AE147" s="2">
        <v>374994</v>
      </c>
      <c r="AF147" s="3" t="s">
        <v>1225</v>
      </c>
      <c r="AG147" s="7">
        <v>201</v>
      </c>
      <c r="AH147" s="7">
        <v>227</v>
      </c>
      <c r="AI147" s="7">
        <v>166</v>
      </c>
      <c r="AJ147" s="7">
        <v>594</v>
      </c>
      <c r="AK147" s="7"/>
      <c r="AL147" s="25" t="s">
        <v>78</v>
      </c>
      <c r="AM147" s="25" t="s">
        <v>58</v>
      </c>
      <c r="AN147" s="25" t="s">
        <v>59</v>
      </c>
      <c r="AO147" s="25" t="s">
        <v>60</v>
      </c>
      <c r="AP147" s="19" t="s">
        <v>1835</v>
      </c>
      <c r="AQ147" s="19" t="s">
        <v>1869</v>
      </c>
      <c r="AR147" s="19" t="s">
        <v>60</v>
      </c>
      <c r="AS147" s="19"/>
      <c r="AT147" s="19" t="s">
        <v>2084</v>
      </c>
      <c r="AU147" s="19" t="s">
        <v>2091</v>
      </c>
      <c r="AV147" s="19">
        <v>9354241930</v>
      </c>
      <c r="AW147" s="20">
        <v>46124</v>
      </c>
      <c r="AX147" s="19" t="s">
        <v>1990</v>
      </c>
      <c r="AY147" s="27" t="s">
        <v>105</v>
      </c>
      <c r="AZ147" s="27" t="s">
        <v>104</v>
      </c>
      <c r="BA147" s="19" t="s">
        <v>2462</v>
      </c>
      <c r="BB147" s="19" t="s">
        <v>2463</v>
      </c>
      <c r="BC147" s="19" t="s">
        <v>579</v>
      </c>
      <c r="BD147" s="75" t="s">
        <v>1748</v>
      </c>
      <c r="BE147" s="100" t="s">
        <v>3795</v>
      </c>
      <c r="BF147" s="100" t="s">
        <v>4161</v>
      </c>
      <c r="BG147" s="100"/>
    </row>
    <row r="148" spans="1:59" s="10" customFormat="1" ht="27" x14ac:dyDescent="0.25">
      <c r="A148" s="59">
        <v>152</v>
      </c>
      <c r="B148" s="15" t="s">
        <v>281</v>
      </c>
      <c r="C148" s="12">
        <v>28512</v>
      </c>
      <c r="D148" s="11" t="s">
        <v>40</v>
      </c>
      <c r="E148" s="11" t="s">
        <v>129</v>
      </c>
      <c r="F148" s="11" t="s">
        <v>129</v>
      </c>
      <c r="G148" s="13" t="s">
        <v>185</v>
      </c>
      <c r="H148" s="11" t="s">
        <v>1958</v>
      </c>
      <c r="I148" s="3" t="s">
        <v>283</v>
      </c>
      <c r="J148" s="3" t="s">
        <v>283</v>
      </c>
      <c r="K148" s="23" t="s">
        <v>1877</v>
      </c>
      <c r="L148" s="4" t="s">
        <v>284</v>
      </c>
      <c r="M148" s="4" t="s">
        <v>285</v>
      </c>
      <c r="N148" s="4" t="s">
        <v>284</v>
      </c>
      <c r="O148" s="26" t="s">
        <v>286</v>
      </c>
      <c r="P148" s="5" t="s">
        <v>60</v>
      </c>
      <c r="Q148" s="1" t="s">
        <v>287</v>
      </c>
      <c r="R148" s="1"/>
      <c r="S148" s="1" t="s">
        <v>288</v>
      </c>
      <c r="T148" s="1"/>
      <c r="U148" s="1"/>
      <c r="V148" s="1" t="s">
        <v>93</v>
      </c>
      <c r="W148" s="1"/>
      <c r="X148" s="1" t="s">
        <v>55</v>
      </c>
      <c r="Y148" s="1" t="s">
        <v>56</v>
      </c>
      <c r="Z148" s="3">
        <v>43041</v>
      </c>
      <c r="AA148" s="3">
        <v>43036</v>
      </c>
      <c r="AB148" s="6"/>
      <c r="AC148" s="1"/>
      <c r="AD148" s="4" t="s">
        <v>289</v>
      </c>
      <c r="AE148" s="2">
        <v>28512</v>
      </c>
      <c r="AF148" s="3" t="s">
        <v>282</v>
      </c>
      <c r="AG148" s="7">
        <v>1887</v>
      </c>
      <c r="AH148" s="7">
        <v>2027</v>
      </c>
      <c r="AI148" s="7">
        <v>2134</v>
      </c>
      <c r="AJ148" s="7">
        <v>6048</v>
      </c>
      <c r="AK148" s="7"/>
      <c r="AL148" s="25" t="s">
        <v>78</v>
      </c>
      <c r="AM148" s="25" t="s">
        <v>58</v>
      </c>
      <c r="AN148" s="25" t="s">
        <v>59</v>
      </c>
      <c r="AO148" s="25" t="s">
        <v>60</v>
      </c>
      <c r="AP148" s="19" t="s">
        <v>1877</v>
      </c>
      <c r="AQ148" s="19" t="s">
        <v>1869</v>
      </c>
      <c r="AR148" s="19" t="s">
        <v>60</v>
      </c>
      <c r="AS148" s="19"/>
      <c r="AT148" s="19" t="s">
        <v>2006</v>
      </c>
      <c r="AU148" s="19" t="s">
        <v>2097</v>
      </c>
      <c r="AV148" s="19">
        <v>9149204613</v>
      </c>
      <c r="AW148" s="20">
        <v>46128</v>
      </c>
      <c r="AX148" s="19" t="s">
        <v>1990</v>
      </c>
      <c r="AY148" s="27" t="s">
        <v>129</v>
      </c>
      <c r="AZ148" s="27" t="s">
        <v>129</v>
      </c>
      <c r="BA148" s="19" t="s">
        <v>2785</v>
      </c>
      <c r="BB148" s="19" t="s">
        <v>2786</v>
      </c>
      <c r="BC148" s="19" t="s">
        <v>2811</v>
      </c>
      <c r="BD148" s="75" t="s">
        <v>1958</v>
      </c>
      <c r="BE148" s="100" t="s">
        <v>3831</v>
      </c>
      <c r="BF148" s="100" t="s">
        <v>4162</v>
      </c>
      <c r="BG148" s="100"/>
    </row>
    <row r="149" spans="1:59" s="10" customFormat="1" ht="13.5" x14ac:dyDescent="0.25">
      <c r="A149" s="59">
        <v>148</v>
      </c>
      <c r="B149" s="15" t="s">
        <v>579</v>
      </c>
      <c r="C149" s="12">
        <v>165960</v>
      </c>
      <c r="D149" s="11" t="s">
        <v>103</v>
      </c>
      <c r="E149" s="11" t="s">
        <v>104</v>
      </c>
      <c r="F149" s="11" t="s">
        <v>105</v>
      </c>
      <c r="G149" s="13" t="s">
        <v>352</v>
      </c>
      <c r="H149" s="11" t="s">
        <v>883</v>
      </c>
      <c r="I149" s="3" t="s">
        <v>1648</v>
      </c>
      <c r="J149" s="3" t="s">
        <v>1648</v>
      </c>
      <c r="K149" s="11" t="s">
        <v>1918</v>
      </c>
      <c r="L149" s="28" t="s">
        <v>884</v>
      </c>
      <c r="M149" s="28" t="s">
        <v>884</v>
      </c>
      <c r="N149" s="28" t="s">
        <v>884</v>
      </c>
      <c r="O149" s="28" t="s">
        <v>885</v>
      </c>
      <c r="P149" s="5" t="s">
        <v>60</v>
      </c>
      <c r="Q149" s="28" t="s">
        <v>886</v>
      </c>
      <c r="R149" s="28">
        <v>0</v>
      </c>
      <c r="S149" s="28" t="e">
        <v>#N/A</v>
      </c>
      <c r="T149" s="28">
        <v>0</v>
      </c>
      <c r="U149" s="28">
        <v>0</v>
      </c>
      <c r="V149" s="28">
        <v>0</v>
      </c>
      <c r="W149" s="28">
        <v>0</v>
      </c>
      <c r="X149" s="28" t="s">
        <v>55</v>
      </c>
      <c r="Y149" s="28" t="s">
        <v>56</v>
      </c>
      <c r="Z149" s="28">
        <v>45559</v>
      </c>
      <c r="AA149" s="28">
        <v>45559</v>
      </c>
      <c r="AB149" s="28">
        <v>0</v>
      </c>
      <c r="AC149" s="28">
        <v>0</v>
      </c>
      <c r="AD149" s="28" t="s">
        <v>888</v>
      </c>
      <c r="AE149" s="28">
        <v>165960</v>
      </c>
      <c r="AF149" s="28" t="s">
        <v>883</v>
      </c>
      <c r="AG149" s="7">
        <v>235</v>
      </c>
      <c r="AH149" s="7">
        <v>256</v>
      </c>
      <c r="AI149" s="7">
        <v>395</v>
      </c>
      <c r="AJ149" s="7">
        <v>886</v>
      </c>
      <c r="AK149" s="7"/>
      <c r="AL149" s="25" t="s">
        <v>78</v>
      </c>
      <c r="AM149" s="25" t="s">
        <v>58</v>
      </c>
      <c r="AN149" s="25" t="s">
        <v>59</v>
      </c>
      <c r="AO149" s="25" t="s">
        <v>95</v>
      </c>
      <c r="AP149" s="19" t="s">
        <v>60</v>
      </c>
      <c r="AQ149" s="19" t="s">
        <v>1884</v>
      </c>
      <c r="AR149" s="19" t="s">
        <v>1919</v>
      </c>
      <c r="AS149" s="19" t="s">
        <v>60</v>
      </c>
      <c r="AT149" s="19" t="s">
        <v>60</v>
      </c>
      <c r="AU149" s="19" t="s">
        <v>60</v>
      </c>
      <c r="AV149" s="19" t="s">
        <v>60</v>
      </c>
      <c r="AW149" s="19" t="s">
        <v>60</v>
      </c>
      <c r="AX149" s="19" t="s">
        <v>60</v>
      </c>
      <c r="AY149" s="19" t="s">
        <v>105</v>
      </c>
      <c r="AZ149" s="19" t="s">
        <v>104</v>
      </c>
      <c r="BA149" s="19" t="s">
        <v>2511</v>
      </c>
      <c r="BB149" s="19" t="s">
        <v>2512</v>
      </c>
      <c r="BC149" s="19" t="s">
        <v>95</v>
      </c>
      <c r="BD149" s="75" t="s">
        <v>883</v>
      </c>
      <c r="BE149" s="100" t="s">
        <v>60</v>
      </c>
      <c r="BF149" s="100" t="s">
        <v>60</v>
      </c>
      <c r="BG149" s="100" t="s">
        <v>60</v>
      </c>
    </row>
    <row r="150" spans="1:59" s="10" customFormat="1" ht="13.5" x14ac:dyDescent="0.25">
      <c r="A150" s="59">
        <v>159</v>
      </c>
      <c r="B150" s="15" t="s">
        <v>281</v>
      </c>
      <c r="C150" s="12">
        <v>28512</v>
      </c>
      <c r="D150" s="11" t="s">
        <v>40</v>
      </c>
      <c r="E150" s="11" t="s">
        <v>61</v>
      </c>
      <c r="F150" s="11" t="s">
        <v>62</v>
      </c>
      <c r="G150" s="13" t="s">
        <v>185</v>
      </c>
      <c r="H150" s="11" t="s">
        <v>1959</v>
      </c>
      <c r="I150" s="3" t="s">
        <v>283</v>
      </c>
      <c r="J150" s="3" t="s">
        <v>283</v>
      </c>
      <c r="K150" s="11" t="s">
        <v>1878</v>
      </c>
      <c r="L150" s="4" t="s">
        <v>284</v>
      </c>
      <c r="M150" s="4" t="s">
        <v>285</v>
      </c>
      <c r="N150" s="4" t="s">
        <v>284</v>
      </c>
      <c r="O150" s="4" t="s">
        <v>286</v>
      </c>
      <c r="P150" s="5" t="s">
        <v>60</v>
      </c>
      <c r="Q150" s="4" t="s">
        <v>287</v>
      </c>
      <c r="R150" s="4">
        <v>0</v>
      </c>
      <c r="S150" s="4" t="s">
        <v>288</v>
      </c>
      <c r="T150" s="4">
        <v>0</v>
      </c>
      <c r="U150" s="4">
        <v>0</v>
      </c>
      <c r="V150" s="4" t="s">
        <v>93</v>
      </c>
      <c r="W150" s="4">
        <v>0</v>
      </c>
      <c r="X150" s="4" t="s">
        <v>55</v>
      </c>
      <c r="Y150" s="4" t="s">
        <v>56</v>
      </c>
      <c r="Z150" s="4">
        <v>43041</v>
      </c>
      <c r="AA150" s="4">
        <v>43036</v>
      </c>
      <c r="AB150" s="4">
        <v>0</v>
      </c>
      <c r="AC150" s="4">
        <v>0</v>
      </c>
      <c r="AD150" s="4" t="s">
        <v>289</v>
      </c>
      <c r="AE150" s="4">
        <v>28512</v>
      </c>
      <c r="AF150" s="4" t="s">
        <v>282</v>
      </c>
      <c r="AG150" s="7">
        <v>1887</v>
      </c>
      <c r="AH150" s="7">
        <v>2027</v>
      </c>
      <c r="AI150" s="7">
        <v>2134</v>
      </c>
      <c r="AJ150" s="7">
        <v>6048</v>
      </c>
      <c r="AK150" s="7"/>
      <c r="AL150" s="25" t="s">
        <v>78</v>
      </c>
      <c r="AM150" s="25" t="s">
        <v>58</v>
      </c>
      <c r="AN150" s="25" t="s">
        <v>59</v>
      </c>
      <c r="AO150" s="25" t="s">
        <v>60</v>
      </c>
      <c r="AP150" s="19" t="s">
        <v>1878</v>
      </c>
      <c r="AQ150" s="19" t="s">
        <v>1869</v>
      </c>
      <c r="AR150" s="19" t="s">
        <v>60</v>
      </c>
      <c r="AS150" s="19"/>
      <c r="AT150" s="19" t="s">
        <v>2007</v>
      </c>
      <c r="AU150" s="19" t="s">
        <v>1994</v>
      </c>
      <c r="AV150" s="19">
        <v>9810670823</v>
      </c>
      <c r="AW150" s="20">
        <v>46130</v>
      </c>
      <c r="AX150" s="19" t="s">
        <v>1990</v>
      </c>
      <c r="AY150" s="27" t="s">
        <v>62</v>
      </c>
      <c r="AZ150" s="27" t="s">
        <v>61</v>
      </c>
      <c r="BA150" s="19" t="s">
        <v>2785</v>
      </c>
      <c r="BB150" s="19" t="s">
        <v>2786</v>
      </c>
      <c r="BC150" s="19" t="s">
        <v>2811</v>
      </c>
      <c r="BD150" s="75" t="s">
        <v>1959</v>
      </c>
      <c r="BE150" s="100" t="s">
        <v>3837</v>
      </c>
      <c r="BF150" s="100" t="s">
        <v>4163</v>
      </c>
      <c r="BG150" s="100"/>
    </row>
    <row r="151" spans="1:59" s="10" customFormat="1" ht="13.5" x14ac:dyDescent="0.25">
      <c r="A151" s="59">
        <v>29</v>
      </c>
      <c r="B151" s="15" t="s">
        <v>708</v>
      </c>
      <c r="C151" s="12">
        <v>12242</v>
      </c>
      <c r="D151" s="11" t="s">
        <v>40</v>
      </c>
      <c r="E151" s="11" t="s">
        <v>96</v>
      </c>
      <c r="F151" s="11" t="s">
        <v>709</v>
      </c>
      <c r="G151" s="13" t="s">
        <v>43</v>
      </c>
      <c r="H151" s="11" t="s">
        <v>1704</v>
      </c>
      <c r="I151" s="3" t="s">
        <v>1633</v>
      </c>
      <c r="J151" s="3" t="s">
        <v>1633</v>
      </c>
      <c r="K151" s="11" t="s">
        <v>1782</v>
      </c>
      <c r="L151" s="4" t="s">
        <v>711</v>
      </c>
      <c r="M151" s="4" t="s">
        <v>712</v>
      </c>
      <c r="N151" s="4" t="s">
        <v>713</v>
      </c>
      <c r="O151" s="26" t="s">
        <v>714</v>
      </c>
      <c r="P151" s="5" t="s">
        <v>715</v>
      </c>
      <c r="Q151" s="1" t="s">
        <v>716</v>
      </c>
      <c r="R151" s="1" t="s">
        <v>60</v>
      </c>
      <c r="S151" s="1" t="s">
        <v>717</v>
      </c>
      <c r="T151" s="1"/>
      <c r="U151" s="1"/>
      <c r="V151" s="1" t="s">
        <v>224</v>
      </c>
      <c r="W151" s="1"/>
      <c r="X151" s="1" t="s">
        <v>55</v>
      </c>
      <c r="Y151" s="1" t="s">
        <v>56</v>
      </c>
      <c r="Z151" s="3">
        <v>44783</v>
      </c>
      <c r="AA151" s="3">
        <v>44778</v>
      </c>
      <c r="AB151" s="6"/>
      <c r="AC151" s="1"/>
      <c r="AD151" s="4"/>
      <c r="AE151" s="2">
        <v>12242</v>
      </c>
      <c r="AF151" s="3" t="s">
        <v>710</v>
      </c>
      <c r="AG151" s="7">
        <v>1022</v>
      </c>
      <c r="AH151" s="7">
        <v>354</v>
      </c>
      <c r="AI151" s="7">
        <v>387</v>
      </c>
      <c r="AJ151" s="7">
        <v>1763</v>
      </c>
      <c r="AK151" s="7"/>
      <c r="AL151" s="25" t="s">
        <v>78</v>
      </c>
      <c r="AM151" s="25" t="s">
        <v>58</v>
      </c>
      <c r="AN151" s="25" t="s">
        <v>59</v>
      </c>
      <c r="AO151" s="25" t="s">
        <v>52</v>
      </c>
      <c r="AP151" s="19" t="s">
        <v>1782</v>
      </c>
      <c r="AQ151" s="19" t="s">
        <v>1869</v>
      </c>
      <c r="AR151" s="19" t="s">
        <v>60</v>
      </c>
      <c r="AS151" s="19"/>
      <c r="AT151" s="19" t="s">
        <v>2042</v>
      </c>
      <c r="AU151" s="19" t="s">
        <v>2098</v>
      </c>
      <c r="AV151" s="19">
        <v>7460008081</v>
      </c>
      <c r="AW151" s="20">
        <v>46121</v>
      </c>
      <c r="AX151" s="19" t="s">
        <v>1990</v>
      </c>
      <c r="AY151" s="27" t="s">
        <v>709</v>
      </c>
      <c r="AZ151" s="27" t="s">
        <v>96</v>
      </c>
      <c r="BA151" s="19" t="s">
        <v>2750</v>
      </c>
      <c r="BB151" s="19" t="s">
        <v>2751</v>
      </c>
      <c r="BC151" s="19" t="s">
        <v>2752</v>
      </c>
      <c r="BD151" s="75" t="s">
        <v>1704</v>
      </c>
      <c r="BE151" s="100" t="s">
        <v>3725</v>
      </c>
      <c r="BF151" s="100" t="s">
        <v>4164</v>
      </c>
      <c r="BG151" s="100"/>
    </row>
    <row r="152" spans="1:59" s="10" customFormat="1" ht="13.5" x14ac:dyDescent="0.25">
      <c r="A152" s="59">
        <v>90</v>
      </c>
      <c r="B152" s="15" t="s">
        <v>698</v>
      </c>
      <c r="C152" s="12">
        <v>12185</v>
      </c>
      <c r="D152" s="11" t="s">
        <v>40</v>
      </c>
      <c r="E152" s="11" t="s">
        <v>61</v>
      </c>
      <c r="F152" s="11" t="s">
        <v>62</v>
      </c>
      <c r="G152" s="13" t="s">
        <v>43</v>
      </c>
      <c r="H152" s="11" t="s">
        <v>699</v>
      </c>
      <c r="I152" s="3" t="s">
        <v>700</v>
      </c>
      <c r="J152" s="3" t="s">
        <v>701</v>
      </c>
      <c r="K152" s="11" t="s">
        <v>702</v>
      </c>
      <c r="L152" s="4" t="s">
        <v>703</v>
      </c>
      <c r="M152" s="4" t="s">
        <v>703</v>
      </c>
      <c r="N152" s="4" t="s">
        <v>703</v>
      </c>
      <c r="O152" s="26" t="s">
        <v>704</v>
      </c>
      <c r="P152" s="5" t="s">
        <v>60</v>
      </c>
      <c r="Q152" s="1" t="s">
        <v>705</v>
      </c>
      <c r="R152" s="1"/>
      <c r="S152" s="1" t="s">
        <v>706</v>
      </c>
      <c r="T152" s="1"/>
      <c r="U152" s="1"/>
      <c r="V152" s="1" t="s">
        <v>224</v>
      </c>
      <c r="W152" s="1"/>
      <c r="X152" s="1" t="s">
        <v>55</v>
      </c>
      <c r="Y152" s="1" t="s">
        <v>56</v>
      </c>
      <c r="Z152" s="3">
        <v>44742</v>
      </c>
      <c r="AA152" s="3">
        <v>44742</v>
      </c>
      <c r="AB152" s="6"/>
      <c r="AC152" s="1"/>
      <c r="AD152" s="4"/>
      <c r="AE152" s="2">
        <v>12185</v>
      </c>
      <c r="AF152" s="3" t="s">
        <v>699</v>
      </c>
      <c r="AG152" s="7">
        <v>301</v>
      </c>
      <c r="AH152" s="7">
        <v>291</v>
      </c>
      <c r="AI152" s="7">
        <v>293</v>
      </c>
      <c r="AJ152" s="7">
        <v>885</v>
      </c>
      <c r="AK152" s="7"/>
      <c r="AL152" s="25" t="s">
        <v>78</v>
      </c>
      <c r="AM152" s="25" t="s">
        <v>58</v>
      </c>
      <c r="AN152" s="25" t="s">
        <v>59</v>
      </c>
      <c r="AO152" s="25" t="s">
        <v>707</v>
      </c>
      <c r="AP152" s="19" t="s">
        <v>702</v>
      </c>
      <c r="AQ152" s="19" t="s">
        <v>1869</v>
      </c>
      <c r="AR152" s="19" t="s">
        <v>60</v>
      </c>
      <c r="AS152" s="19"/>
      <c r="AT152" s="19" t="s">
        <v>2041</v>
      </c>
      <c r="AU152" s="19" t="s">
        <v>1994</v>
      </c>
      <c r="AV152" s="19">
        <v>9810670823</v>
      </c>
      <c r="AW152" s="20">
        <v>46130</v>
      </c>
      <c r="AX152" s="19" t="s">
        <v>1990</v>
      </c>
      <c r="AY152" s="27" t="s">
        <v>62</v>
      </c>
      <c r="AZ152" s="27" t="s">
        <v>61</v>
      </c>
      <c r="BA152" s="19" t="s">
        <v>2775</v>
      </c>
      <c r="BB152" s="19" t="s">
        <v>2776</v>
      </c>
      <c r="BC152" s="19" t="s">
        <v>60</v>
      </c>
      <c r="BD152" s="75" t="s">
        <v>699</v>
      </c>
      <c r="BE152" s="100" t="s">
        <v>3778</v>
      </c>
      <c r="BF152" s="100" t="s">
        <v>4165</v>
      </c>
      <c r="BG152" s="100"/>
    </row>
    <row r="153" spans="1:59" s="10" customFormat="1" ht="13.5" x14ac:dyDescent="0.25">
      <c r="A153" s="59">
        <v>25</v>
      </c>
      <c r="B153" s="15" t="s">
        <v>60</v>
      </c>
      <c r="C153" s="12">
        <v>348994</v>
      </c>
      <c r="D153" s="11" t="s">
        <v>40</v>
      </c>
      <c r="E153" s="11" t="s">
        <v>129</v>
      </c>
      <c r="F153" s="11" t="s">
        <v>129</v>
      </c>
      <c r="G153" s="13" t="s">
        <v>43</v>
      </c>
      <c r="H153" s="11" t="s">
        <v>1073</v>
      </c>
      <c r="I153" s="3" t="s">
        <v>1074</v>
      </c>
      <c r="J153" s="3" t="s">
        <v>1075</v>
      </c>
      <c r="K153" s="11" t="s">
        <v>1823</v>
      </c>
      <c r="L153" s="4">
        <v>9810117070</v>
      </c>
      <c r="M153" s="4">
        <v>9810117070</v>
      </c>
      <c r="N153" s="4">
        <v>9582326292</v>
      </c>
      <c r="O153" s="26" t="s">
        <v>1076</v>
      </c>
      <c r="P153" s="5" t="s">
        <v>1076</v>
      </c>
      <c r="Q153" s="1" t="s">
        <v>1077</v>
      </c>
      <c r="R153" s="1"/>
      <c r="S153" s="1" t="s">
        <v>1078</v>
      </c>
      <c r="T153" s="1"/>
      <c r="U153" s="1"/>
      <c r="V153" s="1" t="s">
        <v>93</v>
      </c>
      <c r="W153" s="1"/>
      <c r="X153" s="1" t="s">
        <v>69</v>
      </c>
      <c r="Y153" s="1" t="s">
        <v>56</v>
      </c>
      <c r="Z153" s="3">
        <v>45835</v>
      </c>
      <c r="AA153" s="3">
        <v>45834</v>
      </c>
      <c r="AB153" s="6"/>
      <c r="AC153" s="1"/>
      <c r="AD153" s="4"/>
      <c r="AE153" s="2">
        <v>348994</v>
      </c>
      <c r="AF153" s="3" t="s">
        <v>1073</v>
      </c>
      <c r="AG153" s="7">
        <v>42</v>
      </c>
      <c r="AH153" s="7">
        <v>69</v>
      </c>
      <c r="AI153" s="7">
        <v>276</v>
      </c>
      <c r="AJ153" s="7">
        <v>387</v>
      </c>
      <c r="AK153" s="7"/>
      <c r="AL153" s="25" t="s">
        <v>78</v>
      </c>
      <c r="AM153" s="25" t="s">
        <v>58</v>
      </c>
      <c r="AN153" s="25" t="s">
        <v>59</v>
      </c>
      <c r="AO153" s="25" t="s">
        <v>707</v>
      </c>
      <c r="AP153" s="19" t="s">
        <v>1823</v>
      </c>
      <c r="AQ153" s="19" t="s">
        <v>1869</v>
      </c>
      <c r="AR153" s="19" t="s">
        <v>60</v>
      </c>
      <c r="AS153" s="19"/>
      <c r="AT153" s="19" t="s">
        <v>2074</v>
      </c>
      <c r="AU153" s="19" t="s">
        <v>2098</v>
      </c>
      <c r="AV153" s="19">
        <v>7460008081</v>
      </c>
      <c r="AW153" s="20">
        <v>46119</v>
      </c>
      <c r="AX153" s="19" t="s">
        <v>1990</v>
      </c>
      <c r="AY153" s="27" t="s">
        <v>129</v>
      </c>
      <c r="AZ153" s="27" t="s">
        <v>129</v>
      </c>
      <c r="BA153" s="19" t="s">
        <v>2381</v>
      </c>
      <c r="BB153" s="19" t="s">
        <v>2382</v>
      </c>
      <c r="BC153" s="19" t="s">
        <v>60</v>
      </c>
      <c r="BD153" s="75" t="s">
        <v>1073</v>
      </c>
      <c r="BE153" s="100" t="s">
        <v>3723</v>
      </c>
      <c r="BF153" s="100" t="s">
        <v>4166</v>
      </c>
      <c r="BG153" s="100"/>
    </row>
    <row r="154" spans="1:59" s="10" customFormat="1" ht="13.5" x14ac:dyDescent="0.25">
      <c r="A154" s="59">
        <v>21</v>
      </c>
      <c r="B154" s="15" t="s">
        <v>1135</v>
      </c>
      <c r="C154" s="12">
        <v>45551</v>
      </c>
      <c r="D154" s="11" t="s">
        <v>40</v>
      </c>
      <c r="E154" s="11" t="s">
        <v>129</v>
      </c>
      <c r="F154" s="11" t="s">
        <v>129</v>
      </c>
      <c r="G154" s="13" t="s">
        <v>43</v>
      </c>
      <c r="H154" s="11" t="s">
        <v>1136</v>
      </c>
      <c r="I154" s="3" t="s">
        <v>1137</v>
      </c>
      <c r="J154" s="3" t="s">
        <v>1137</v>
      </c>
      <c r="K154" s="11" t="s">
        <v>1138</v>
      </c>
      <c r="L154" s="4" t="s">
        <v>1139</v>
      </c>
      <c r="M154" s="4" t="s">
        <v>1140</v>
      </c>
      <c r="N154" s="4" t="s">
        <v>1139</v>
      </c>
      <c r="O154" s="26" t="s">
        <v>1141</v>
      </c>
      <c r="P154" s="5" t="s">
        <v>60</v>
      </c>
      <c r="Q154" s="1" t="s">
        <v>1142</v>
      </c>
      <c r="R154" s="1"/>
      <c r="S154" s="1" t="s">
        <v>1143</v>
      </c>
      <c r="T154" s="1"/>
      <c r="U154" s="1"/>
      <c r="V154" s="1" t="s">
        <v>93</v>
      </c>
      <c r="W154" s="1"/>
      <c r="X154" s="1" t="s">
        <v>55</v>
      </c>
      <c r="Y154" s="1" t="s">
        <v>56</v>
      </c>
      <c r="Z154" s="3">
        <v>44170</v>
      </c>
      <c r="AA154" s="3">
        <v>44169</v>
      </c>
      <c r="AB154" s="6"/>
      <c r="AC154" s="1"/>
      <c r="AD154" s="4"/>
      <c r="AE154" s="2">
        <v>45551</v>
      </c>
      <c r="AF154" s="3" t="s">
        <v>1136</v>
      </c>
      <c r="AG154" s="7">
        <v>418</v>
      </c>
      <c r="AH154" s="7">
        <v>329</v>
      </c>
      <c r="AI154" s="7">
        <v>337</v>
      </c>
      <c r="AJ154" s="7">
        <v>1084</v>
      </c>
      <c r="AK154" s="7"/>
      <c r="AL154" s="25" t="s">
        <v>78</v>
      </c>
      <c r="AM154" s="25" t="s">
        <v>58</v>
      </c>
      <c r="AN154" s="25" t="s">
        <v>59</v>
      </c>
      <c r="AO154" s="25" t="s">
        <v>707</v>
      </c>
      <c r="AP154" s="19" t="s">
        <v>1138</v>
      </c>
      <c r="AQ154" s="19" t="s">
        <v>1869</v>
      </c>
      <c r="AR154" s="19" t="s">
        <v>60</v>
      </c>
      <c r="AS154" s="19"/>
      <c r="AT154" s="19" t="s">
        <v>2308</v>
      </c>
      <c r="AU154" s="19" t="s">
        <v>2346</v>
      </c>
      <c r="AV154" s="19">
        <v>9217935065</v>
      </c>
      <c r="AW154" s="20">
        <v>46122</v>
      </c>
      <c r="AX154" s="19" t="s">
        <v>1990</v>
      </c>
      <c r="AY154" s="27" t="s">
        <v>129</v>
      </c>
      <c r="AZ154" s="27" t="s">
        <v>129</v>
      </c>
      <c r="BA154" s="19" t="s">
        <v>2373</v>
      </c>
      <c r="BB154" s="19" t="s">
        <v>2374</v>
      </c>
      <c r="BC154" s="19" t="s">
        <v>60</v>
      </c>
      <c r="BD154" s="75" t="s">
        <v>1136</v>
      </c>
      <c r="BE154" s="100" t="s">
        <v>3719</v>
      </c>
      <c r="BF154" s="100" t="s">
        <v>4167</v>
      </c>
      <c r="BG154" s="100"/>
    </row>
    <row r="155" spans="1:59" s="10" customFormat="1" ht="13.5" x14ac:dyDescent="0.25">
      <c r="A155" s="59">
        <v>109</v>
      </c>
      <c r="B155" s="15" t="s">
        <v>102</v>
      </c>
      <c r="C155" s="12">
        <v>26452</v>
      </c>
      <c r="D155" s="11" t="s">
        <v>103</v>
      </c>
      <c r="E155" s="11" t="s">
        <v>104</v>
      </c>
      <c r="F155" s="11" t="s">
        <v>105</v>
      </c>
      <c r="G155" s="13" t="s">
        <v>43</v>
      </c>
      <c r="H155" s="11" t="s">
        <v>106</v>
      </c>
      <c r="I155" s="3" t="s">
        <v>107</v>
      </c>
      <c r="J155" s="3" t="s">
        <v>107</v>
      </c>
      <c r="K155" s="11" t="s">
        <v>1757</v>
      </c>
      <c r="L155" s="4" t="s">
        <v>108</v>
      </c>
      <c r="M155" s="4" t="s">
        <v>109</v>
      </c>
      <c r="N155" s="4" t="s">
        <v>110</v>
      </c>
      <c r="O155" s="26" t="s">
        <v>111</v>
      </c>
      <c r="P155" s="5" t="s">
        <v>60</v>
      </c>
      <c r="Q155" s="1" t="s">
        <v>112</v>
      </c>
      <c r="R155" s="1" t="s">
        <v>113</v>
      </c>
      <c r="S155" s="1" t="s">
        <v>114</v>
      </c>
      <c r="T155" s="1"/>
      <c r="U155" s="1" t="s">
        <v>115</v>
      </c>
      <c r="V155" s="1" t="s">
        <v>93</v>
      </c>
      <c r="W155" s="1" t="s">
        <v>94</v>
      </c>
      <c r="X155" s="1" t="s">
        <v>55</v>
      </c>
      <c r="Y155" s="1" t="s">
        <v>56</v>
      </c>
      <c r="Z155" s="3">
        <v>42340</v>
      </c>
      <c r="AA155" s="3">
        <v>42329</v>
      </c>
      <c r="AB155" s="6"/>
      <c r="AC155" s="1"/>
      <c r="AD155" s="4"/>
      <c r="AE155" s="2">
        <v>26452</v>
      </c>
      <c r="AF155" s="3" t="s">
        <v>106</v>
      </c>
      <c r="AG155" s="7">
        <v>1226</v>
      </c>
      <c r="AH155" s="7">
        <v>1135</v>
      </c>
      <c r="AI155" s="7">
        <v>1076</v>
      </c>
      <c r="AJ155" s="7">
        <v>3437</v>
      </c>
      <c r="AK155" s="7"/>
      <c r="AL155" s="25" t="s">
        <v>78</v>
      </c>
      <c r="AM155" s="25" t="s">
        <v>58</v>
      </c>
      <c r="AN155" s="25" t="s">
        <v>59</v>
      </c>
      <c r="AO155" s="25" t="s">
        <v>95</v>
      </c>
      <c r="AP155" s="19" t="s">
        <v>1757</v>
      </c>
      <c r="AQ155" s="19" t="s">
        <v>1869</v>
      </c>
      <c r="AR155" s="19" t="s">
        <v>60</v>
      </c>
      <c r="AS155" s="19"/>
      <c r="AT155" s="19" t="s">
        <v>1996</v>
      </c>
      <c r="AU155" s="19" t="s">
        <v>2094</v>
      </c>
      <c r="AV155" s="19">
        <v>8287823681</v>
      </c>
      <c r="AW155" s="20">
        <v>46123</v>
      </c>
      <c r="AX155" s="19" t="s">
        <v>1990</v>
      </c>
      <c r="AY155" s="27" t="s">
        <v>105</v>
      </c>
      <c r="AZ155" s="27" t="s">
        <v>104</v>
      </c>
      <c r="BA155" s="19" t="s">
        <v>2464</v>
      </c>
      <c r="BB155" s="19" t="s">
        <v>2465</v>
      </c>
      <c r="BC155" s="19" t="s">
        <v>2677</v>
      </c>
      <c r="BD155" s="75" t="s">
        <v>106</v>
      </c>
      <c r="BE155" s="100" t="s">
        <v>3796</v>
      </c>
      <c r="BF155" s="100" t="s">
        <v>4168</v>
      </c>
      <c r="BG155" s="100"/>
    </row>
    <row r="156" spans="1:59" s="10" customFormat="1" ht="13.5" x14ac:dyDescent="0.25">
      <c r="A156" s="59">
        <v>47</v>
      </c>
      <c r="B156" s="15" t="s">
        <v>60</v>
      </c>
      <c r="C156" s="12">
        <v>352010</v>
      </c>
      <c r="D156" s="11" t="s">
        <v>40</v>
      </c>
      <c r="E156" s="11" t="s">
        <v>41</v>
      </c>
      <c r="F156" s="11" t="s">
        <v>992</v>
      </c>
      <c r="G156" s="13" t="s">
        <v>43</v>
      </c>
      <c r="H156" s="11" t="s">
        <v>1125</v>
      </c>
      <c r="I156" s="3" t="s">
        <v>1126</v>
      </c>
      <c r="J156" s="3" t="s">
        <v>1126</v>
      </c>
      <c r="K156" s="11" t="s">
        <v>1827</v>
      </c>
      <c r="L156" s="4">
        <v>9888862786</v>
      </c>
      <c r="M156" s="4">
        <v>9888862786</v>
      </c>
      <c r="N156" s="4">
        <v>9888862786</v>
      </c>
      <c r="O156" s="26" t="s">
        <v>1127</v>
      </c>
      <c r="P156" s="5" t="s">
        <v>60</v>
      </c>
      <c r="Q156" s="1" t="s">
        <v>1128</v>
      </c>
      <c r="R156" s="1"/>
      <c r="S156" s="1" t="s">
        <v>1129</v>
      </c>
      <c r="T156" s="1"/>
      <c r="U156" s="1"/>
      <c r="V156" s="1"/>
      <c r="W156" s="1"/>
      <c r="X156" s="1" t="s">
        <v>69</v>
      </c>
      <c r="Y156" s="1" t="s">
        <v>56</v>
      </c>
      <c r="Z156" s="3">
        <v>45839</v>
      </c>
      <c r="AA156" s="3">
        <v>45840</v>
      </c>
      <c r="AB156" s="6"/>
      <c r="AC156" s="1"/>
      <c r="AD156" s="4"/>
      <c r="AE156" s="2">
        <v>352010</v>
      </c>
      <c r="AF156" s="3" t="s">
        <v>1125</v>
      </c>
      <c r="AG156" s="7" t="s">
        <v>60</v>
      </c>
      <c r="AH156" s="7" t="s">
        <v>60</v>
      </c>
      <c r="AI156" s="7" t="s">
        <v>60</v>
      </c>
      <c r="AJ156" s="7" t="s">
        <v>60</v>
      </c>
      <c r="AK156" s="7">
        <v>2</v>
      </c>
      <c r="AL156" s="25" t="s">
        <v>70</v>
      </c>
      <c r="AM156" s="25" t="s">
        <v>58</v>
      </c>
      <c r="AN156" s="25" t="s">
        <v>59</v>
      </c>
      <c r="AO156" s="25" t="e">
        <v>#N/A</v>
      </c>
      <c r="AP156" s="19" t="s">
        <v>1827</v>
      </c>
      <c r="AQ156" s="19" t="s">
        <v>1869</v>
      </c>
      <c r="AR156" s="19" t="s">
        <v>60</v>
      </c>
      <c r="AS156" s="19"/>
      <c r="AT156" s="19" t="s">
        <v>2079</v>
      </c>
      <c r="AU156" s="19" t="s">
        <v>2095</v>
      </c>
      <c r="AV156" s="19">
        <v>9582917652</v>
      </c>
      <c r="AW156" s="20">
        <v>46125</v>
      </c>
      <c r="AX156" s="19" t="s">
        <v>1990</v>
      </c>
      <c r="AY156" s="27" t="s">
        <v>992</v>
      </c>
      <c r="AZ156" s="27" t="s">
        <v>41</v>
      </c>
      <c r="BA156" s="19" t="s">
        <v>60</v>
      </c>
      <c r="BB156" s="19" t="s">
        <v>2526</v>
      </c>
      <c r="BC156" s="19" t="s">
        <v>79</v>
      </c>
      <c r="BD156" s="75" t="s">
        <v>1125</v>
      </c>
      <c r="BE156" s="100" t="s">
        <v>3739</v>
      </c>
      <c r="BF156" s="100" t="s">
        <v>4047</v>
      </c>
      <c r="BG156" s="100" t="s">
        <v>4048</v>
      </c>
    </row>
    <row r="157" spans="1:59" s="10" customFormat="1" ht="13.5" x14ac:dyDescent="0.25">
      <c r="A157" s="59">
        <v>156</v>
      </c>
      <c r="B157" s="15" t="s">
        <v>213</v>
      </c>
      <c r="C157" s="12">
        <v>54034</v>
      </c>
      <c r="D157" s="11" t="s">
        <v>40</v>
      </c>
      <c r="E157" s="11" t="s">
        <v>199</v>
      </c>
      <c r="F157" s="11" t="s">
        <v>1552</v>
      </c>
      <c r="G157" s="13" t="s">
        <v>185</v>
      </c>
      <c r="H157" s="11" t="s">
        <v>1947</v>
      </c>
      <c r="I157" s="3" t="s">
        <v>216</v>
      </c>
      <c r="J157" s="3" t="s">
        <v>216</v>
      </c>
      <c r="K157" s="11" t="s">
        <v>1887</v>
      </c>
      <c r="L157" s="28" t="s">
        <v>217</v>
      </c>
      <c r="M157" s="28" t="s">
        <v>218</v>
      </c>
      <c r="N157" s="28" t="s">
        <v>219</v>
      </c>
      <c r="O157" s="28" t="s">
        <v>220</v>
      </c>
      <c r="P157" s="28" t="s">
        <v>221</v>
      </c>
      <c r="Q157" s="28" t="s">
        <v>222</v>
      </c>
      <c r="R157" s="28" t="s">
        <v>209</v>
      </c>
      <c r="S157" s="28" t="s">
        <v>223</v>
      </c>
      <c r="T157" s="28">
        <v>0</v>
      </c>
      <c r="U157" s="28">
        <v>0</v>
      </c>
      <c r="V157" s="28" t="s">
        <v>224</v>
      </c>
      <c r="W157" s="28">
        <v>0</v>
      </c>
      <c r="X157" s="28" t="s">
        <v>197</v>
      </c>
      <c r="Y157" s="28" t="s">
        <v>56</v>
      </c>
      <c r="Z157" s="28">
        <v>42877</v>
      </c>
      <c r="AA157" s="28">
        <v>42876</v>
      </c>
      <c r="AB157" s="28">
        <v>0</v>
      </c>
      <c r="AC157" s="28">
        <v>0</v>
      </c>
      <c r="AD157" s="28">
        <v>0</v>
      </c>
      <c r="AE157" s="28">
        <v>54034</v>
      </c>
      <c r="AF157" s="28" t="s">
        <v>215</v>
      </c>
      <c r="AG157" s="7">
        <v>781</v>
      </c>
      <c r="AH157" s="7">
        <v>692</v>
      </c>
      <c r="AI157" s="7">
        <v>685</v>
      </c>
      <c r="AJ157" s="7">
        <v>2158</v>
      </c>
      <c r="AK157" s="7"/>
      <c r="AL157" s="25" t="s">
        <v>78</v>
      </c>
      <c r="AM157" s="25" t="s">
        <v>58</v>
      </c>
      <c r="AN157" s="25" t="s">
        <v>59</v>
      </c>
      <c r="AO157" s="25" t="s">
        <v>95</v>
      </c>
      <c r="AP157" s="19" t="s">
        <v>60</v>
      </c>
      <c r="AQ157" s="19" t="s">
        <v>1884</v>
      </c>
      <c r="AR157" s="19" t="s">
        <v>1917</v>
      </c>
      <c r="AS157" s="19" t="s">
        <v>60</v>
      </c>
      <c r="AT157" s="19" t="s">
        <v>60</v>
      </c>
      <c r="AU157" s="19" t="s">
        <v>60</v>
      </c>
      <c r="AV157" s="19" t="s">
        <v>60</v>
      </c>
      <c r="AW157" s="19" t="s">
        <v>60</v>
      </c>
      <c r="AX157" s="19" t="s">
        <v>60</v>
      </c>
      <c r="AY157" s="19" t="s">
        <v>1552</v>
      </c>
      <c r="AZ157" s="19" t="s">
        <v>199</v>
      </c>
      <c r="BA157" s="19" t="s">
        <v>2790</v>
      </c>
      <c r="BB157" s="19" t="s">
        <v>2791</v>
      </c>
      <c r="BC157" s="19" t="s">
        <v>2792</v>
      </c>
      <c r="BD157" s="75" t="s">
        <v>1947</v>
      </c>
      <c r="BE157" s="100" t="s">
        <v>60</v>
      </c>
      <c r="BF157" s="100" t="s">
        <v>60</v>
      </c>
      <c r="BG157" s="100" t="s">
        <v>60</v>
      </c>
    </row>
    <row r="158" spans="1:59" s="10" customFormat="1" ht="13.5" x14ac:dyDescent="0.25">
      <c r="A158" s="59">
        <v>91</v>
      </c>
      <c r="B158" s="15" t="s">
        <v>60</v>
      </c>
      <c r="C158" s="12">
        <v>354992</v>
      </c>
      <c r="D158" s="11" t="s">
        <v>40</v>
      </c>
      <c r="E158" s="11" t="s">
        <v>61</v>
      </c>
      <c r="F158" s="11" t="s">
        <v>62</v>
      </c>
      <c r="G158" s="13" t="s">
        <v>43</v>
      </c>
      <c r="H158" s="11" t="s">
        <v>1745</v>
      </c>
      <c r="I158" s="3" t="s">
        <v>1200</v>
      </c>
      <c r="J158" s="3" t="s">
        <v>1200</v>
      </c>
      <c r="K158" s="11" t="s">
        <v>1830</v>
      </c>
      <c r="L158" s="4">
        <v>8954811313</v>
      </c>
      <c r="M158" s="4">
        <v>8954811313</v>
      </c>
      <c r="N158" s="4">
        <v>8954811313</v>
      </c>
      <c r="O158" s="26" t="s">
        <v>1201</v>
      </c>
      <c r="P158" s="5" t="s">
        <v>60</v>
      </c>
      <c r="Q158" s="1" t="s">
        <v>1202</v>
      </c>
      <c r="R158" s="1"/>
      <c r="S158" s="1" t="s">
        <v>1203</v>
      </c>
      <c r="T158" s="1"/>
      <c r="U158" s="1"/>
      <c r="V158" s="1" t="s">
        <v>93</v>
      </c>
      <c r="W158" s="1"/>
      <c r="X158" s="1" t="s">
        <v>69</v>
      </c>
      <c r="Y158" s="1" t="s">
        <v>56</v>
      </c>
      <c r="Z158" s="3">
        <v>45889</v>
      </c>
      <c r="AA158" s="3">
        <v>45889</v>
      </c>
      <c r="AB158" s="6"/>
      <c r="AC158" s="1"/>
      <c r="AD158" s="4"/>
      <c r="AE158" s="2">
        <v>354992</v>
      </c>
      <c r="AF158" s="3" t="s">
        <v>1199</v>
      </c>
      <c r="AG158" s="7">
        <v>318</v>
      </c>
      <c r="AH158" s="7">
        <v>299</v>
      </c>
      <c r="AI158" s="7">
        <v>302</v>
      </c>
      <c r="AJ158" s="7">
        <v>919</v>
      </c>
      <c r="AK158" s="7"/>
      <c r="AL158" s="25" t="s">
        <v>78</v>
      </c>
      <c r="AM158" s="25" t="s">
        <v>58</v>
      </c>
      <c r="AN158" s="25" t="s">
        <v>59</v>
      </c>
      <c r="AO158" s="25" t="s">
        <v>143</v>
      </c>
      <c r="AP158" s="19" t="s">
        <v>1830</v>
      </c>
      <c r="AQ158" s="19" t="s">
        <v>1869</v>
      </c>
      <c r="AR158" s="19" t="s">
        <v>60</v>
      </c>
      <c r="AS158" s="19"/>
      <c r="AT158" s="19" t="s">
        <v>2081</v>
      </c>
      <c r="AU158" s="19" t="s">
        <v>1994</v>
      </c>
      <c r="AV158" s="19">
        <v>9810670823</v>
      </c>
      <c r="AW158" s="20">
        <v>46125</v>
      </c>
      <c r="AX158" s="19" t="s">
        <v>1990</v>
      </c>
      <c r="AY158" s="27" t="s">
        <v>62</v>
      </c>
      <c r="AZ158" s="27" t="s">
        <v>61</v>
      </c>
      <c r="BA158" s="19" t="s">
        <v>2441</v>
      </c>
      <c r="BB158" s="19" t="s">
        <v>2714</v>
      </c>
      <c r="BC158" s="19" t="s">
        <v>143</v>
      </c>
      <c r="BD158" s="75" t="s">
        <v>1745</v>
      </c>
      <c r="BE158" s="100" t="s">
        <v>3779</v>
      </c>
      <c r="BF158" s="100" t="s">
        <v>4171</v>
      </c>
      <c r="BG158" s="100"/>
    </row>
    <row r="159" spans="1:59" s="10" customFormat="1" ht="13.5" x14ac:dyDescent="0.25">
      <c r="A159" s="59">
        <v>22</v>
      </c>
      <c r="B159" s="15" t="s">
        <v>550</v>
      </c>
      <c r="C159" s="12">
        <v>26294</v>
      </c>
      <c r="D159" s="11" t="s">
        <v>40</v>
      </c>
      <c r="E159" s="11" t="s">
        <v>129</v>
      </c>
      <c r="F159" s="11" t="s">
        <v>129</v>
      </c>
      <c r="G159" s="13" t="s">
        <v>43</v>
      </c>
      <c r="H159" s="11" t="s">
        <v>551</v>
      </c>
      <c r="I159" s="3" t="s">
        <v>552</v>
      </c>
      <c r="J159" s="3" t="s">
        <v>552</v>
      </c>
      <c r="K159" s="11" t="s">
        <v>1773</v>
      </c>
      <c r="L159" s="4" t="s">
        <v>553</v>
      </c>
      <c r="M159" s="4" t="s">
        <v>554</v>
      </c>
      <c r="N159" s="4" t="s">
        <v>555</v>
      </c>
      <c r="O159" s="26" t="s">
        <v>556</v>
      </c>
      <c r="P159" s="5" t="s">
        <v>557</v>
      </c>
      <c r="Q159" s="1" t="s">
        <v>558</v>
      </c>
      <c r="R159" s="1"/>
      <c r="S159" s="1" t="s">
        <v>559</v>
      </c>
      <c r="T159" s="1"/>
      <c r="U159" s="1"/>
      <c r="V159" s="1" t="s">
        <v>93</v>
      </c>
      <c r="W159" s="1"/>
      <c r="X159" s="1" t="s">
        <v>69</v>
      </c>
      <c r="Y159" s="1" t="s">
        <v>56</v>
      </c>
      <c r="Z159" s="3">
        <v>44368</v>
      </c>
      <c r="AA159" s="3">
        <v>44362</v>
      </c>
      <c r="AB159" s="6"/>
      <c r="AC159" s="1"/>
      <c r="AD159" s="4"/>
      <c r="AE159" s="2">
        <v>26294</v>
      </c>
      <c r="AF159" s="3" t="s">
        <v>551</v>
      </c>
      <c r="AG159" s="7">
        <v>2152</v>
      </c>
      <c r="AH159" s="7">
        <v>2021</v>
      </c>
      <c r="AI159" s="7">
        <v>1721</v>
      </c>
      <c r="AJ159" s="7">
        <v>5894</v>
      </c>
      <c r="AK159" s="7"/>
      <c r="AL159" s="25" t="s">
        <v>78</v>
      </c>
      <c r="AM159" s="25" t="s">
        <v>58</v>
      </c>
      <c r="AN159" s="25" t="s">
        <v>59</v>
      </c>
      <c r="AO159" s="25" t="s">
        <v>60</v>
      </c>
      <c r="AP159" s="19" t="s">
        <v>1773</v>
      </c>
      <c r="AQ159" s="19" t="s">
        <v>1869</v>
      </c>
      <c r="AR159" s="19" t="s">
        <v>60</v>
      </c>
      <c r="AS159" s="19"/>
      <c r="AT159" s="19" t="s">
        <v>2029</v>
      </c>
      <c r="AU159" s="19" t="s">
        <v>2346</v>
      </c>
      <c r="AV159" s="19">
        <v>9217935065</v>
      </c>
      <c r="AW159" s="20">
        <v>46120</v>
      </c>
      <c r="AX159" s="19" t="s">
        <v>1990</v>
      </c>
      <c r="AY159" s="27" t="s">
        <v>129</v>
      </c>
      <c r="AZ159" s="27" t="s">
        <v>129</v>
      </c>
      <c r="BA159" s="19" t="s">
        <v>2375</v>
      </c>
      <c r="BB159" s="19" t="s">
        <v>2376</v>
      </c>
      <c r="BC159" s="19" t="s">
        <v>402</v>
      </c>
      <c r="BD159" s="75" t="s">
        <v>551</v>
      </c>
      <c r="BE159" s="100" t="s">
        <v>3720</v>
      </c>
      <c r="BF159" s="100" t="s">
        <v>4172</v>
      </c>
      <c r="BG159" s="100"/>
    </row>
    <row r="160" spans="1:59" s="10" customFormat="1" ht="13.5" x14ac:dyDescent="0.25">
      <c r="A160" s="59">
        <v>110</v>
      </c>
      <c r="B160" s="15" t="s">
        <v>792</v>
      </c>
      <c r="C160" s="12">
        <v>53595</v>
      </c>
      <c r="D160" s="11" t="s">
        <v>103</v>
      </c>
      <c r="E160" s="11" t="s">
        <v>104</v>
      </c>
      <c r="F160" s="11" t="s">
        <v>793</v>
      </c>
      <c r="G160" s="13" t="s">
        <v>43</v>
      </c>
      <c r="H160" s="11" t="s">
        <v>794</v>
      </c>
      <c r="I160" s="3" t="s">
        <v>1637</v>
      </c>
      <c r="J160" s="3" t="s">
        <v>1637</v>
      </c>
      <c r="K160" s="11" t="s">
        <v>1788</v>
      </c>
      <c r="L160" s="4" t="s">
        <v>795</v>
      </c>
      <c r="M160" s="4" t="s">
        <v>796</v>
      </c>
      <c r="N160" s="4" t="s">
        <v>797</v>
      </c>
      <c r="O160" s="26" t="s">
        <v>798</v>
      </c>
      <c r="P160" s="5" t="s">
        <v>60</v>
      </c>
      <c r="Q160" s="1" t="s">
        <v>799</v>
      </c>
      <c r="R160" s="1"/>
      <c r="S160" s="1" t="s">
        <v>800</v>
      </c>
      <c r="T160" s="1"/>
      <c r="U160" s="1"/>
      <c r="V160" s="1" t="s">
        <v>93</v>
      </c>
      <c r="W160" s="1"/>
      <c r="X160" s="1" t="s">
        <v>55</v>
      </c>
      <c r="Y160" s="1" t="s">
        <v>56</v>
      </c>
      <c r="Z160" s="3">
        <v>45014</v>
      </c>
      <c r="AA160" s="3">
        <v>45012</v>
      </c>
      <c r="AB160" s="6"/>
      <c r="AC160" s="1"/>
      <c r="AD160" s="4"/>
      <c r="AE160" s="2">
        <v>53595</v>
      </c>
      <c r="AF160" s="3" t="s">
        <v>794</v>
      </c>
      <c r="AG160" s="7">
        <v>159</v>
      </c>
      <c r="AH160" s="7">
        <v>145</v>
      </c>
      <c r="AI160" s="7">
        <v>146</v>
      </c>
      <c r="AJ160" s="7">
        <v>450</v>
      </c>
      <c r="AK160" s="7"/>
      <c r="AL160" s="25" t="s">
        <v>78</v>
      </c>
      <c r="AM160" s="25" t="s">
        <v>58</v>
      </c>
      <c r="AN160" s="25" t="s">
        <v>59</v>
      </c>
      <c r="AO160" s="25" t="s">
        <v>322</v>
      </c>
      <c r="AP160" s="19" t="s">
        <v>1788</v>
      </c>
      <c r="AQ160" s="19" t="s">
        <v>1869</v>
      </c>
      <c r="AR160" s="19" t="s">
        <v>60</v>
      </c>
      <c r="AS160" s="19"/>
      <c r="AT160" s="19" t="s">
        <v>2290</v>
      </c>
      <c r="AU160" s="19" t="s">
        <v>2094</v>
      </c>
      <c r="AV160" s="19">
        <v>8287823681</v>
      </c>
      <c r="AW160" s="20" t="s">
        <v>2048</v>
      </c>
      <c r="AX160" s="19" t="s">
        <v>1990</v>
      </c>
      <c r="AY160" s="27" t="s">
        <v>793</v>
      </c>
      <c r="AZ160" s="27" t="s">
        <v>104</v>
      </c>
      <c r="BA160" s="19" t="s">
        <v>2466</v>
      </c>
      <c r="BB160" s="19" t="s">
        <v>2467</v>
      </c>
      <c r="BC160" s="19" t="s">
        <v>2468</v>
      </c>
      <c r="BD160" s="75" t="s">
        <v>794</v>
      </c>
      <c r="BE160" s="100" t="s">
        <v>3797</v>
      </c>
      <c r="BF160" s="100" t="s">
        <v>4173</v>
      </c>
      <c r="BG160" s="100"/>
    </row>
    <row r="161" spans="1:59" s="10" customFormat="1" ht="13.5" x14ac:dyDescent="0.25">
      <c r="A161" s="59">
        <v>93</v>
      </c>
      <c r="B161" s="15" t="s">
        <v>1846</v>
      </c>
      <c r="C161" s="12">
        <v>281992</v>
      </c>
      <c r="D161" s="11" t="s">
        <v>40</v>
      </c>
      <c r="E161" s="11" t="s">
        <v>61</v>
      </c>
      <c r="F161" s="11" t="s">
        <v>593</v>
      </c>
      <c r="G161" s="13" t="s">
        <v>43</v>
      </c>
      <c r="H161" s="11" t="s">
        <v>1712</v>
      </c>
      <c r="I161" s="3" t="s">
        <v>1644</v>
      </c>
      <c r="J161" s="3" t="s">
        <v>1644</v>
      </c>
      <c r="K161" s="11" t="s">
        <v>1795</v>
      </c>
      <c r="L161" s="4">
        <v>7409009000</v>
      </c>
      <c r="M161" s="4">
        <v>7409009000</v>
      </c>
      <c r="N161" s="4">
        <v>7409009000</v>
      </c>
      <c r="O161" s="26" t="s">
        <v>858</v>
      </c>
      <c r="P161" s="5" t="s">
        <v>859</v>
      </c>
      <c r="Q161" s="1" t="s">
        <v>860</v>
      </c>
      <c r="R161" s="1"/>
      <c r="S161" s="1" t="s">
        <v>861</v>
      </c>
      <c r="T161" s="1"/>
      <c r="U161" s="1"/>
      <c r="V161" s="1" t="s">
        <v>93</v>
      </c>
      <c r="W161" s="1"/>
      <c r="X161" s="1" t="s">
        <v>55</v>
      </c>
      <c r="Y161" s="1" t="s">
        <v>56</v>
      </c>
      <c r="Z161" s="3">
        <v>45561</v>
      </c>
      <c r="AA161" s="3">
        <v>45561</v>
      </c>
      <c r="AB161" s="6"/>
      <c r="AC161" s="1"/>
      <c r="AD161" s="4" t="s">
        <v>587</v>
      </c>
      <c r="AE161" s="2">
        <v>281992</v>
      </c>
      <c r="AF161" s="3" t="s">
        <v>857</v>
      </c>
      <c r="AG161" s="7">
        <v>242</v>
      </c>
      <c r="AH161" s="7">
        <v>166</v>
      </c>
      <c r="AI161" s="7">
        <v>157</v>
      </c>
      <c r="AJ161" s="7">
        <v>565</v>
      </c>
      <c r="AK161" s="7">
        <v>1</v>
      </c>
      <c r="AL161" s="25" t="s">
        <v>57</v>
      </c>
      <c r="AM161" s="25" t="s">
        <v>58</v>
      </c>
      <c r="AN161" s="25" t="s">
        <v>59</v>
      </c>
      <c r="AO161" s="25" t="s">
        <v>60</v>
      </c>
      <c r="AP161" s="19" t="s">
        <v>1795</v>
      </c>
      <c r="AQ161" s="19" t="s">
        <v>1869</v>
      </c>
      <c r="AR161" s="19" t="s">
        <v>60</v>
      </c>
      <c r="AS161" s="19"/>
      <c r="AT161" s="19" t="s">
        <v>2052</v>
      </c>
      <c r="AU161" s="19" t="s">
        <v>2092</v>
      </c>
      <c r="AV161" s="19">
        <v>7753851136</v>
      </c>
      <c r="AW161" s="20">
        <v>46128</v>
      </c>
      <c r="AX161" s="19" t="s">
        <v>1990</v>
      </c>
      <c r="AY161" s="27" t="s">
        <v>593</v>
      </c>
      <c r="AZ161" s="27" t="s">
        <v>61</v>
      </c>
      <c r="BA161" s="19" t="s">
        <v>2442</v>
      </c>
      <c r="BB161" s="19" t="s">
        <v>2443</v>
      </c>
      <c r="BC161" s="19" t="s">
        <v>2364</v>
      </c>
      <c r="BD161" s="75" t="s">
        <v>1712</v>
      </c>
      <c r="BE161" s="100" t="s">
        <v>3781</v>
      </c>
      <c r="BF161" s="100" t="s">
        <v>4113</v>
      </c>
      <c r="BG161" s="100" t="s">
        <v>4114</v>
      </c>
    </row>
    <row r="162" spans="1:59" s="10" customFormat="1" ht="13.5" x14ac:dyDescent="0.25">
      <c r="A162" s="59">
        <v>77</v>
      </c>
      <c r="B162" s="15" t="s">
        <v>1173</v>
      </c>
      <c r="C162" s="12">
        <v>26470</v>
      </c>
      <c r="D162" s="11" t="s">
        <v>40</v>
      </c>
      <c r="E162" s="11" t="s">
        <v>199</v>
      </c>
      <c r="F162" s="11" t="s">
        <v>837</v>
      </c>
      <c r="G162" s="13" t="s">
        <v>43</v>
      </c>
      <c r="H162" s="11" t="s">
        <v>1174</v>
      </c>
      <c r="I162" s="3" t="s">
        <v>1175</v>
      </c>
      <c r="J162" s="3" t="s">
        <v>1176</v>
      </c>
      <c r="K162" s="11" t="s">
        <v>1177</v>
      </c>
      <c r="L162" s="4" t="s">
        <v>1178</v>
      </c>
      <c r="M162" s="4" t="s">
        <v>1179</v>
      </c>
      <c r="N162" s="4" t="s">
        <v>1178</v>
      </c>
      <c r="O162" s="26" t="s">
        <v>1180</v>
      </c>
      <c r="P162" s="5" t="s">
        <v>1180</v>
      </c>
      <c r="Q162" s="1" t="s">
        <v>1181</v>
      </c>
      <c r="R162" s="1"/>
      <c r="S162" s="1" t="s">
        <v>579</v>
      </c>
      <c r="T162" s="1" t="s">
        <v>257</v>
      </c>
      <c r="U162" s="1"/>
      <c r="V162" s="1" t="s">
        <v>77</v>
      </c>
      <c r="W162" s="1"/>
      <c r="X162" s="1" t="s">
        <v>835</v>
      </c>
      <c r="Y162" s="1" t="s">
        <v>56</v>
      </c>
      <c r="Z162" s="3">
        <v>44328</v>
      </c>
      <c r="AA162" s="3">
        <v>44327</v>
      </c>
      <c r="AB162" s="6"/>
      <c r="AC162" s="1"/>
      <c r="AD162" s="4"/>
      <c r="AE162" s="2">
        <v>26470</v>
      </c>
      <c r="AF162" s="3" t="s">
        <v>1174</v>
      </c>
      <c r="AG162" s="7">
        <v>460</v>
      </c>
      <c r="AH162" s="7">
        <v>458</v>
      </c>
      <c r="AI162" s="7">
        <v>453</v>
      </c>
      <c r="AJ162" s="7">
        <v>1371</v>
      </c>
      <c r="AK162" s="7"/>
      <c r="AL162" s="25" t="s">
        <v>78</v>
      </c>
      <c r="AM162" s="25" t="s">
        <v>58</v>
      </c>
      <c r="AN162" s="25" t="s">
        <v>59</v>
      </c>
      <c r="AO162" s="25" t="s">
        <v>95</v>
      </c>
      <c r="AP162" s="19" t="s">
        <v>1177</v>
      </c>
      <c r="AQ162" s="19" t="s">
        <v>1869</v>
      </c>
      <c r="AR162" s="19" t="s">
        <v>60</v>
      </c>
      <c r="AS162" s="19"/>
      <c r="AT162" s="19" t="s">
        <v>2080</v>
      </c>
      <c r="AU162" s="19" t="s">
        <v>2096</v>
      </c>
      <c r="AV162" s="19">
        <v>7688959606</v>
      </c>
      <c r="AW162" s="20">
        <v>46120</v>
      </c>
      <c r="AX162" s="19" t="s">
        <v>1990</v>
      </c>
      <c r="AY162" s="27" t="s">
        <v>837</v>
      </c>
      <c r="AZ162" s="27" t="s">
        <v>199</v>
      </c>
      <c r="BA162" s="19" t="s">
        <v>2435</v>
      </c>
      <c r="BB162" s="19" t="s">
        <v>2436</v>
      </c>
      <c r="BC162" s="19" t="s">
        <v>2804</v>
      </c>
      <c r="BD162" s="75" t="s">
        <v>1174</v>
      </c>
      <c r="BE162" s="100" t="s">
        <v>3765</v>
      </c>
      <c r="BF162" s="100" t="s">
        <v>4176</v>
      </c>
      <c r="BG162" s="100"/>
    </row>
    <row r="163" spans="1:59" s="10" customFormat="1" ht="13.5" x14ac:dyDescent="0.25">
      <c r="A163" s="59">
        <v>74</v>
      </c>
      <c r="B163" s="15" t="s">
        <v>60</v>
      </c>
      <c r="C163" s="12">
        <v>350992</v>
      </c>
      <c r="D163" s="11" t="s">
        <v>40</v>
      </c>
      <c r="E163" s="11" t="s">
        <v>199</v>
      </c>
      <c r="F163" s="11" t="s">
        <v>837</v>
      </c>
      <c r="G163" s="13" t="s">
        <v>43</v>
      </c>
      <c r="H163" s="11" t="s">
        <v>1714</v>
      </c>
      <c r="I163" s="3" t="s">
        <v>869</v>
      </c>
      <c r="J163" s="3" t="s">
        <v>869</v>
      </c>
      <c r="K163" s="11" t="s">
        <v>1797</v>
      </c>
      <c r="L163" s="4" t="s">
        <v>870</v>
      </c>
      <c r="M163" s="4" t="s">
        <v>870</v>
      </c>
      <c r="N163" s="4" t="s">
        <v>870</v>
      </c>
      <c r="O163" s="26" t="s">
        <v>871</v>
      </c>
      <c r="P163" s="5" t="s">
        <v>60</v>
      </c>
      <c r="Q163" s="1" t="s">
        <v>872</v>
      </c>
      <c r="R163" s="1"/>
      <c r="S163" s="1" t="s">
        <v>873</v>
      </c>
      <c r="T163" s="1"/>
      <c r="U163" s="1"/>
      <c r="V163" s="1"/>
      <c r="W163" s="1"/>
      <c r="X163" s="1" t="s">
        <v>69</v>
      </c>
      <c r="Y163" s="1" t="s">
        <v>56</v>
      </c>
      <c r="Z163" s="3">
        <v>45848</v>
      </c>
      <c r="AA163" s="3">
        <v>45848</v>
      </c>
      <c r="AB163" s="6"/>
      <c r="AC163" s="1"/>
      <c r="AD163" s="4"/>
      <c r="AE163" s="2">
        <v>350992</v>
      </c>
      <c r="AF163" s="3" t="s">
        <v>868</v>
      </c>
      <c r="AG163" s="7">
        <v>327</v>
      </c>
      <c r="AH163" s="7">
        <v>413</v>
      </c>
      <c r="AI163" s="7">
        <v>422</v>
      </c>
      <c r="AJ163" s="7">
        <v>1162</v>
      </c>
      <c r="AK163" s="7"/>
      <c r="AL163" s="25" t="s">
        <v>78</v>
      </c>
      <c r="AM163" s="25" t="s">
        <v>58</v>
      </c>
      <c r="AN163" s="25" t="s">
        <v>59</v>
      </c>
      <c r="AO163" s="25" t="s">
        <v>95</v>
      </c>
      <c r="AP163" s="19" t="s">
        <v>1797</v>
      </c>
      <c r="AQ163" s="19" t="s">
        <v>1869</v>
      </c>
      <c r="AR163" s="19" t="s">
        <v>3419</v>
      </c>
      <c r="AS163" s="19"/>
      <c r="AT163" s="19" t="s">
        <v>2294</v>
      </c>
      <c r="AU163" s="19" t="s">
        <v>2096</v>
      </c>
      <c r="AV163" s="19">
        <v>7688959606</v>
      </c>
      <c r="AW163" s="20">
        <v>46122</v>
      </c>
      <c r="AX163" s="19" t="s">
        <v>1990</v>
      </c>
      <c r="AY163" s="27" t="s">
        <v>837</v>
      </c>
      <c r="AZ163" s="27" t="s">
        <v>199</v>
      </c>
      <c r="BA163" s="19" t="s">
        <v>2429</v>
      </c>
      <c r="BB163" s="19" t="s">
        <v>2430</v>
      </c>
      <c r="BC163" s="19" t="s">
        <v>2729</v>
      </c>
      <c r="BD163" s="75" t="s">
        <v>1714</v>
      </c>
      <c r="BE163" s="100" t="s">
        <v>3762</v>
      </c>
      <c r="BF163" s="100" t="s">
        <v>4118</v>
      </c>
      <c r="BG163" s="100" t="s">
        <v>4223</v>
      </c>
    </row>
    <row r="164" spans="1:59" s="10" customFormat="1" ht="13.5" x14ac:dyDescent="0.25">
      <c r="A164" s="59">
        <v>165</v>
      </c>
      <c r="B164" s="15" t="s">
        <v>60</v>
      </c>
      <c r="C164" s="12">
        <v>327007</v>
      </c>
      <c r="D164" s="11" t="s">
        <v>40</v>
      </c>
      <c r="E164" s="11" t="s">
        <v>129</v>
      </c>
      <c r="F164" s="11" t="s">
        <v>129</v>
      </c>
      <c r="G164" s="13" t="s">
        <v>63</v>
      </c>
      <c r="H164" s="11" t="s">
        <v>1717</v>
      </c>
      <c r="I164" s="3" t="s">
        <v>1650</v>
      </c>
      <c r="J164" s="3" t="s">
        <v>1650</v>
      </c>
      <c r="K164" s="11" t="s">
        <v>1801</v>
      </c>
      <c r="L164" s="4">
        <v>9311994599</v>
      </c>
      <c r="M164" s="4">
        <v>9311994599</v>
      </c>
      <c r="N164" s="4">
        <v>9311994599</v>
      </c>
      <c r="O164" s="26" t="s">
        <v>895</v>
      </c>
      <c r="P164" s="5" t="s">
        <v>60</v>
      </c>
      <c r="Q164" s="1" t="s">
        <v>896</v>
      </c>
      <c r="R164" s="1"/>
      <c r="S164" s="1" t="s">
        <v>897</v>
      </c>
      <c r="T164" s="1"/>
      <c r="U164" s="1"/>
      <c r="V164" s="1" t="s">
        <v>898</v>
      </c>
      <c r="W164" s="1"/>
      <c r="X164" s="1" t="s">
        <v>55</v>
      </c>
      <c r="Y164" s="1" t="s">
        <v>56</v>
      </c>
      <c r="Z164" s="3">
        <v>45726</v>
      </c>
      <c r="AA164" s="3">
        <v>45695</v>
      </c>
      <c r="AB164" s="6"/>
      <c r="AC164" s="1"/>
      <c r="AD164" s="4"/>
      <c r="AE164" s="2">
        <v>327007</v>
      </c>
      <c r="AF164" s="3" t="s">
        <v>894</v>
      </c>
      <c r="AG164" s="7" t="s">
        <v>60</v>
      </c>
      <c r="AH164" s="7" t="s">
        <v>60</v>
      </c>
      <c r="AI164" s="7" t="s">
        <v>60</v>
      </c>
      <c r="AJ164" s="7" t="s">
        <v>60</v>
      </c>
      <c r="AK164" s="7">
        <v>6</v>
      </c>
      <c r="AL164" s="25" t="s">
        <v>70</v>
      </c>
      <c r="AM164" s="25" t="s">
        <v>58</v>
      </c>
      <c r="AN164" s="25" t="s">
        <v>59</v>
      </c>
      <c r="AO164" s="25" t="e">
        <v>#N/A</v>
      </c>
      <c r="AP164" s="19" t="s">
        <v>1801</v>
      </c>
      <c r="AQ164" s="19" t="s">
        <v>1869</v>
      </c>
      <c r="AR164" s="19" t="s">
        <v>60</v>
      </c>
      <c r="AS164" s="19"/>
      <c r="AT164" s="19" t="s">
        <v>2057</v>
      </c>
      <c r="AU164" s="19" t="s">
        <v>2090</v>
      </c>
      <c r="AV164" s="19">
        <v>9354183359</v>
      </c>
      <c r="AW164" s="20">
        <v>46130</v>
      </c>
      <c r="AX164" s="19" t="s">
        <v>1990</v>
      </c>
      <c r="AY164" s="27" t="s">
        <v>129</v>
      </c>
      <c r="AZ164" s="27" t="s">
        <v>129</v>
      </c>
      <c r="BA164" s="19" t="s">
        <v>60</v>
      </c>
      <c r="BB164" s="19" t="s">
        <v>2542</v>
      </c>
      <c r="BC164" s="19" t="s">
        <v>143</v>
      </c>
      <c r="BD164" s="75" t="s">
        <v>1717</v>
      </c>
      <c r="BE164" s="100" t="s">
        <v>3843</v>
      </c>
      <c r="BF164" s="100" t="s">
        <v>4183</v>
      </c>
      <c r="BG164" s="100" t="s">
        <v>4184</v>
      </c>
    </row>
    <row r="165" spans="1:59" s="10" customFormat="1" ht="13.5" x14ac:dyDescent="0.25">
      <c r="A165" s="59">
        <v>158</v>
      </c>
      <c r="B165" s="15" t="s">
        <v>915</v>
      </c>
      <c r="C165" s="12">
        <v>26440</v>
      </c>
      <c r="D165" s="11" t="s">
        <v>40</v>
      </c>
      <c r="E165" s="11" t="s">
        <v>199</v>
      </c>
      <c r="F165" s="11" t="s">
        <v>214</v>
      </c>
      <c r="G165" s="13" t="s">
        <v>185</v>
      </c>
      <c r="H165" s="11" t="s">
        <v>916</v>
      </c>
      <c r="I165" s="3" t="s">
        <v>917</v>
      </c>
      <c r="J165" s="3" t="s">
        <v>917</v>
      </c>
      <c r="K165" s="11" t="s">
        <v>918</v>
      </c>
      <c r="L165" s="4" t="s">
        <v>919</v>
      </c>
      <c r="M165" s="4" t="s">
        <v>920</v>
      </c>
      <c r="N165" s="4" t="s">
        <v>921</v>
      </c>
      <c r="O165" s="26" t="s">
        <v>922</v>
      </c>
      <c r="P165" s="5" t="s">
        <v>923</v>
      </c>
      <c r="Q165" s="1" t="s">
        <v>924</v>
      </c>
      <c r="R165" s="1" t="s">
        <v>925</v>
      </c>
      <c r="S165" s="1" t="s">
        <v>926</v>
      </c>
      <c r="T165" s="1" t="s">
        <v>927</v>
      </c>
      <c r="U165" s="1" t="s">
        <v>928</v>
      </c>
      <c r="V165" s="1" t="s">
        <v>93</v>
      </c>
      <c r="W165" s="1" t="s">
        <v>94</v>
      </c>
      <c r="X165" s="1" t="s">
        <v>55</v>
      </c>
      <c r="Y165" s="1" t="s">
        <v>56</v>
      </c>
      <c r="Z165" s="3">
        <v>41865</v>
      </c>
      <c r="AA165" s="3">
        <v>41851</v>
      </c>
      <c r="AB165" s="6"/>
      <c r="AC165" s="1"/>
      <c r="AD165" s="4"/>
      <c r="AE165" s="2">
        <v>26440</v>
      </c>
      <c r="AF165" s="3" t="s">
        <v>916</v>
      </c>
      <c r="AG165" s="7">
        <v>1457</v>
      </c>
      <c r="AH165" s="7">
        <v>1567</v>
      </c>
      <c r="AI165" s="7">
        <v>1621</v>
      </c>
      <c r="AJ165" s="7">
        <v>4645</v>
      </c>
      <c r="AK165" s="7">
        <v>3</v>
      </c>
      <c r="AL165" s="25" t="s">
        <v>57</v>
      </c>
      <c r="AM165" s="25" t="s">
        <v>58</v>
      </c>
      <c r="AN165" s="25" t="s">
        <v>59</v>
      </c>
      <c r="AO165" s="25" t="s">
        <v>52</v>
      </c>
      <c r="AP165" s="19" t="s">
        <v>918</v>
      </c>
      <c r="AQ165" s="19" t="s">
        <v>1869</v>
      </c>
      <c r="AR165" s="19" t="s">
        <v>60</v>
      </c>
      <c r="AS165" s="19"/>
      <c r="AT165" s="19" t="s">
        <v>2059</v>
      </c>
      <c r="AU165" s="19" t="s">
        <v>2096</v>
      </c>
      <c r="AV165" s="19">
        <v>7688959606</v>
      </c>
      <c r="AW165" s="20">
        <v>46133</v>
      </c>
      <c r="AX165" s="19" t="s">
        <v>1990</v>
      </c>
      <c r="AY165" s="27" t="s">
        <v>214</v>
      </c>
      <c r="AZ165" s="27" t="s">
        <v>199</v>
      </c>
      <c r="BA165" s="19" t="s">
        <v>2520</v>
      </c>
      <c r="BB165" s="19" t="s">
        <v>2585</v>
      </c>
      <c r="BC165" s="19" t="s">
        <v>2793</v>
      </c>
      <c r="BD165" s="75" t="s">
        <v>916</v>
      </c>
      <c r="BE165" s="100" t="s">
        <v>3836</v>
      </c>
      <c r="BF165" s="100" t="s">
        <v>4121</v>
      </c>
      <c r="BG165" s="100" t="s">
        <v>4122</v>
      </c>
    </row>
    <row r="166" spans="1:59" s="10" customFormat="1" ht="13.5" x14ac:dyDescent="0.25">
      <c r="A166" s="59">
        <v>184</v>
      </c>
      <c r="B166" s="15" t="s">
        <v>144</v>
      </c>
      <c r="C166" s="12">
        <v>26367</v>
      </c>
      <c r="D166" s="11" t="s">
        <v>103</v>
      </c>
      <c r="E166" s="11" t="s">
        <v>104</v>
      </c>
      <c r="F166" s="11" t="s">
        <v>105</v>
      </c>
      <c r="G166" s="13" t="s">
        <v>63</v>
      </c>
      <c r="H166" s="11" t="s">
        <v>145</v>
      </c>
      <c r="I166" s="3" t="s">
        <v>146</v>
      </c>
      <c r="J166" s="3" t="s">
        <v>146</v>
      </c>
      <c r="K166" s="11" t="s">
        <v>147</v>
      </c>
      <c r="L166" s="4" t="s">
        <v>148</v>
      </c>
      <c r="M166" s="4" t="s">
        <v>149</v>
      </c>
      <c r="N166" s="4" t="s">
        <v>148</v>
      </c>
      <c r="O166" s="26" t="s">
        <v>150</v>
      </c>
      <c r="P166" s="5" t="s">
        <v>60</v>
      </c>
      <c r="Q166" s="1" t="s">
        <v>151</v>
      </c>
      <c r="R166" s="1" t="s">
        <v>152</v>
      </c>
      <c r="S166" s="1" t="s">
        <v>153</v>
      </c>
      <c r="T166" s="1"/>
      <c r="U166" s="1"/>
      <c r="V166" s="1" t="s">
        <v>154</v>
      </c>
      <c r="W166" s="1"/>
      <c r="X166" s="1" t="s">
        <v>55</v>
      </c>
      <c r="Y166" s="1" t="s">
        <v>56</v>
      </c>
      <c r="Z166" s="3">
        <v>42639</v>
      </c>
      <c r="AA166" s="3">
        <v>42639</v>
      </c>
      <c r="AB166" s="6"/>
      <c r="AC166" s="1"/>
      <c r="AD166" s="4"/>
      <c r="AE166" s="2">
        <v>26367</v>
      </c>
      <c r="AF166" s="3" t="s">
        <v>145</v>
      </c>
      <c r="AG166" s="7" t="s">
        <v>60</v>
      </c>
      <c r="AH166" s="7" t="s">
        <v>60</v>
      </c>
      <c r="AI166" s="7" t="s">
        <v>60</v>
      </c>
      <c r="AJ166" s="7" t="s">
        <v>60</v>
      </c>
      <c r="AK166" s="7">
        <v>1</v>
      </c>
      <c r="AL166" s="25" t="s">
        <v>70</v>
      </c>
      <c r="AM166" s="25" t="s">
        <v>58</v>
      </c>
      <c r="AN166" s="25" t="s">
        <v>59</v>
      </c>
      <c r="AO166" s="25" t="e">
        <v>#N/A</v>
      </c>
      <c r="AP166" s="19" t="s">
        <v>147</v>
      </c>
      <c r="AQ166" s="19" t="s">
        <v>1869</v>
      </c>
      <c r="AR166" s="19" t="s">
        <v>60</v>
      </c>
      <c r="AS166" s="19"/>
      <c r="AT166" s="19" t="s">
        <v>1999</v>
      </c>
      <c r="AU166" s="19" t="s">
        <v>2094</v>
      </c>
      <c r="AV166" s="19">
        <v>8287823681</v>
      </c>
      <c r="AW166" s="20">
        <v>46121</v>
      </c>
      <c r="AX166" s="19" t="s">
        <v>1990</v>
      </c>
      <c r="AY166" s="27" t="s">
        <v>105</v>
      </c>
      <c r="AZ166" s="27" t="s">
        <v>104</v>
      </c>
      <c r="BA166" s="19" t="s">
        <v>60</v>
      </c>
      <c r="BB166" s="19" t="s">
        <v>2565</v>
      </c>
      <c r="BC166" s="19" t="s">
        <v>2539</v>
      </c>
      <c r="BD166" s="75" t="s">
        <v>145</v>
      </c>
      <c r="BE166" s="100" t="s">
        <v>3861</v>
      </c>
      <c r="BF166" s="100" t="s">
        <v>4218</v>
      </c>
      <c r="BG166" s="100" t="s">
        <v>4219</v>
      </c>
    </row>
    <row r="167" spans="1:59" s="10" customFormat="1" ht="13.5" x14ac:dyDescent="0.25">
      <c r="A167" s="59">
        <v>23</v>
      </c>
      <c r="B167" s="15" t="s">
        <v>60</v>
      </c>
      <c r="C167" s="12">
        <v>317051</v>
      </c>
      <c r="D167" s="11" t="s">
        <v>40</v>
      </c>
      <c r="E167" s="11" t="s">
        <v>61</v>
      </c>
      <c r="F167" s="11" t="s">
        <v>2818</v>
      </c>
      <c r="G167" s="13" t="s">
        <v>43</v>
      </c>
      <c r="H167" s="11" t="s">
        <v>1719</v>
      </c>
      <c r="I167" s="3" t="s">
        <v>1652</v>
      </c>
      <c r="J167" s="3" t="s">
        <v>1652</v>
      </c>
      <c r="K167" s="11" t="s">
        <v>1803</v>
      </c>
      <c r="L167" s="4">
        <v>9412389111</v>
      </c>
      <c r="M167" s="4">
        <v>9412389111</v>
      </c>
      <c r="N167" s="4">
        <v>9412389111</v>
      </c>
      <c r="O167" s="26" t="s">
        <v>930</v>
      </c>
      <c r="P167" s="5" t="s">
        <v>60</v>
      </c>
      <c r="Q167" s="1" t="s">
        <v>931</v>
      </c>
      <c r="R167" s="1"/>
      <c r="S167" s="1" t="s">
        <v>932</v>
      </c>
      <c r="T167" s="1"/>
      <c r="U167" s="1"/>
      <c r="V167" s="1" t="s">
        <v>93</v>
      </c>
      <c r="W167" s="1"/>
      <c r="X167" s="1" t="s">
        <v>55</v>
      </c>
      <c r="Y167" s="1" t="s">
        <v>56</v>
      </c>
      <c r="Z167" s="3">
        <v>45680</v>
      </c>
      <c r="AA167" s="3">
        <v>45680</v>
      </c>
      <c r="AB167" s="6"/>
      <c r="AC167" s="1"/>
      <c r="AD167" s="4"/>
      <c r="AE167" s="2">
        <v>317051</v>
      </c>
      <c r="AF167" s="3" t="s">
        <v>929</v>
      </c>
      <c r="AG167" s="7">
        <v>42</v>
      </c>
      <c r="AH167" s="7">
        <v>48</v>
      </c>
      <c r="AI167" s="7">
        <v>55</v>
      </c>
      <c r="AJ167" s="7">
        <v>145</v>
      </c>
      <c r="AK167" s="7"/>
      <c r="AL167" s="25" t="s">
        <v>78</v>
      </c>
      <c r="AM167" s="25" t="s">
        <v>58</v>
      </c>
      <c r="AN167" s="25" t="s">
        <v>59</v>
      </c>
      <c r="AO167" s="25" t="s">
        <v>60</v>
      </c>
      <c r="AP167" s="19" t="s">
        <v>1803</v>
      </c>
      <c r="AQ167" s="19" t="s">
        <v>1869</v>
      </c>
      <c r="AR167" s="19" t="s">
        <v>3419</v>
      </c>
      <c r="AS167" s="19"/>
      <c r="AT167" s="19" t="s">
        <v>2298</v>
      </c>
      <c r="AU167" s="19" t="s">
        <v>2097</v>
      </c>
      <c r="AV167" s="19">
        <v>9149204613</v>
      </c>
      <c r="AW167" s="20">
        <v>46126</v>
      </c>
      <c r="AX167" s="19" t="s">
        <v>1990</v>
      </c>
      <c r="AY167" s="27" t="s">
        <v>2818</v>
      </c>
      <c r="AZ167" s="27" t="s">
        <v>61</v>
      </c>
      <c r="BA167" s="19" t="s">
        <v>2377</v>
      </c>
      <c r="BB167" s="19" t="s">
        <v>2378</v>
      </c>
      <c r="BC167" s="19" t="s">
        <v>2392</v>
      </c>
      <c r="BD167" s="75" t="s">
        <v>1719</v>
      </c>
      <c r="BE167" s="100" t="s">
        <v>3721</v>
      </c>
      <c r="BF167" s="100" t="s">
        <v>4125</v>
      </c>
      <c r="BG167" s="100" t="s">
        <v>4224</v>
      </c>
    </row>
    <row r="168" spans="1:59" s="10" customFormat="1" ht="13.5" x14ac:dyDescent="0.25">
      <c r="A168" s="59">
        <v>100</v>
      </c>
      <c r="B168" s="15" t="s">
        <v>1182</v>
      </c>
      <c r="C168" s="12">
        <v>26218</v>
      </c>
      <c r="D168" s="11" t="s">
        <v>103</v>
      </c>
      <c r="E168" s="11" t="s">
        <v>104</v>
      </c>
      <c r="F168" s="11" t="s">
        <v>1183</v>
      </c>
      <c r="G168" s="13" t="s">
        <v>43</v>
      </c>
      <c r="H168" s="11" t="s">
        <v>1184</v>
      </c>
      <c r="I168" s="3" t="s">
        <v>1185</v>
      </c>
      <c r="J168" s="3" t="s">
        <v>1185</v>
      </c>
      <c r="K168" s="11" t="s">
        <v>1186</v>
      </c>
      <c r="L168" s="4" t="s">
        <v>1187</v>
      </c>
      <c r="M168" s="4" t="s">
        <v>1188</v>
      </c>
      <c r="N168" s="4" t="s">
        <v>1189</v>
      </c>
      <c r="O168" s="26" t="s">
        <v>1190</v>
      </c>
      <c r="P168" s="5" t="s">
        <v>1191</v>
      </c>
      <c r="Q168" s="1" t="s">
        <v>1192</v>
      </c>
      <c r="R168" s="1"/>
      <c r="S168" s="1" t="s">
        <v>1193</v>
      </c>
      <c r="T168" s="1"/>
      <c r="U168" s="1"/>
      <c r="V168" s="1" t="s">
        <v>93</v>
      </c>
      <c r="W168" s="1"/>
      <c r="X168" s="1" t="s">
        <v>55</v>
      </c>
      <c r="Y168" s="1" t="s">
        <v>56</v>
      </c>
      <c r="Z168" s="3">
        <v>43368</v>
      </c>
      <c r="AA168" s="3">
        <v>43367</v>
      </c>
      <c r="AB168" s="6"/>
      <c r="AC168" s="1"/>
      <c r="AD168" s="4"/>
      <c r="AE168" s="2">
        <v>26218</v>
      </c>
      <c r="AF168" s="3" t="s">
        <v>1184</v>
      </c>
      <c r="AG168" s="7">
        <v>275</v>
      </c>
      <c r="AH168" s="7">
        <v>276</v>
      </c>
      <c r="AI168" s="7">
        <v>276</v>
      </c>
      <c r="AJ168" s="7">
        <v>827</v>
      </c>
      <c r="AK168" s="7"/>
      <c r="AL168" s="25" t="s">
        <v>78</v>
      </c>
      <c r="AM168" s="25" t="s">
        <v>58</v>
      </c>
      <c r="AN168" s="25" t="s">
        <v>59</v>
      </c>
      <c r="AO168" s="25" t="s">
        <v>95</v>
      </c>
      <c r="AP168" s="19" t="s">
        <v>1186</v>
      </c>
      <c r="AQ168" s="19" t="s">
        <v>1869</v>
      </c>
      <c r="AR168" s="19" t="s">
        <v>60</v>
      </c>
      <c r="AS168" s="19"/>
      <c r="AT168" s="19" t="s">
        <v>2313</v>
      </c>
      <c r="AU168" s="19" t="s">
        <v>2094</v>
      </c>
      <c r="AV168" s="19">
        <v>8287823681</v>
      </c>
      <c r="AW168" s="20">
        <v>46121</v>
      </c>
      <c r="AX168" s="19" t="s">
        <v>1990</v>
      </c>
      <c r="AY168" s="27" t="s">
        <v>1183</v>
      </c>
      <c r="AZ168" s="27" t="s">
        <v>104</v>
      </c>
      <c r="BA168" s="19" t="s">
        <v>2452</v>
      </c>
      <c r="BB168" s="19" t="s">
        <v>2453</v>
      </c>
      <c r="BC168" s="19" t="s">
        <v>2454</v>
      </c>
      <c r="BD168" s="75" t="s">
        <v>1184</v>
      </c>
      <c r="BE168" s="100" t="s">
        <v>3788</v>
      </c>
      <c r="BF168" s="100" t="s">
        <v>4187</v>
      </c>
      <c r="BG168" s="100"/>
    </row>
    <row r="169" spans="1:59" s="10" customFormat="1" ht="13.5" x14ac:dyDescent="0.25">
      <c r="A169" s="59">
        <v>18</v>
      </c>
      <c r="B169" s="15" t="s">
        <v>743</v>
      </c>
      <c r="C169" s="12">
        <v>54442</v>
      </c>
      <c r="D169" s="11" t="s">
        <v>40</v>
      </c>
      <c r="E169" s="11" t="s">
        <v>129</v>
      </c>
      <c r="F169" s="11" t="s">
        <v>129</v>
      </c>
      <c r="G169" s="13" t="s">
        <v>43</v>
      </c>
      <c r="H169" s="11" t="s">
        <v>1706</v>
      </c>
      <c r="I169" s="3" t="s">
        <v>1634</v>
      </c>
      <c r="J169" s="3" t="s">
        <v>1634</v>
      </c>
      <c r="K169" s="11" t="s">
        <v>1784</v>
      </c>
      <c r="L169" s="4" t="s">
        <v>745</v>
      </c>
      <c r="M169" s="4" t="s">
        <v>746</v>
      </c>
      <c r="N169" s="4" t="s">
        <v>746</v>
      </c>
      <c r="O169" s="26" t="s">
        <v>747</v>
      </c>
      <c r="P169" s="5" t="s">
        <v>748</v>
      </c>
      <c r="Q169" s="1" t="s">
        <v>749</v>
      </c>
      <c r="R169" s="1" t="s">
        <v>750</v>
      </c>
      <c r="S169" s="1" t="s">
        <v>751</v>
      </c>
      <c r="T169" s="1"/>
      <c r="U169" s="1"/>
      <c r="V169" s="1" t="s">
        <v>93</v>
      </c>
      <c r="W169" s="1"/>
      <c r="X169" s="1" t="s">
        <v>55</v>
      </c>
      <c r="Y169" s="1" t="s">
        <v>56</v>
      </c>
      <c r="Z169" s="3">
        <v>44879</v>
      </c>
      <c r="AA169" s="3">
        <v>44809</v>
      </c>
      <c r="AB169" s="6"/>
      <c r="AC169" s="1"/>
      <c r="AD169" s="4"/>
      <c r="AE169" s="2">
        <v>54442</v>
      </c>
      <c r="AF169" s="3" t="s">
        <v>744</v>
      </c>
      <c r="AG169" s="7">
        <v>325</v>
      </c>
      <c r="AH169" s="7">
        <v>337</v>
      </c>
      <c r="AI169" s="7">
        <v>338</v>
      </c>
      <c r="AJ169" s="7">
        <v>1000</v>
      </c>
      <c r="AK169" s="7">
        <v>3</v>
      </c>
      <c r="AL169" s="25" t="s">
        <v>57</v>
      </c>
      <c r="AM169" s="25" t="s">
        <v>58</v>
      </c>
      <c r="AN169" s="25" t="s">
        <v>59</v>
      </c>
      <c r="AO169" s="25" t="s">
        <v>60</v>
      </c>
      <c r="AP169" s="19" t="s">
        <v>1784</v>
      </c>
      <c r="AQ169" s="19" t="s">
        <v>1869</v>
      </c>
      <c r="AR169" s="19" t="s">
        <v>60</v>
      </c>
      <c r="AS169" s="19"/>
      <c r="AT169" s="19" t="s">
        <v>2044</v>
      </c>
      <c r="AU169" s="19" t="s">
        <v>2090</v>
      </c>
      <c r="AV169" s="19">
        <v>9354183359</v>
      </c>
      <c r="AW169" s="20">
        <v>46129</v>
      </c>
      <c r="AX169" s="19" t="s">
        <v>1990</v>
      </c>
      <c r="AY169" s="27" t="s">
        <v>129</v>
      </c>
      <c r="AZ169" s="27" t="s">
        <v>129</v>
      </c>
      <c r="BA169" s="19" t="s">
        <v>2688</v>
      </c>
      <c r="BB169" s="19" t="s">
        <v>2536</v>
      </c>
      <c r="BC169" s="19" t="s">
        <v>60</v>
      </c>
      <c r="BD169" s="75" t="s">
        <v>1706</v>
      </c>
      <c r="BE169" s="100" t="s">
        <v>3717</v>
      </c>
      <c r="BF169" s="100" t="s">
        <v>4128</v>
      </c>
      <c r="BG169" s="100" t="s">
        <v>4129</v>
      </c>
    </row>
    <row r="170" spans="1:59" s="10" customFormat="1" ht="13.5" x14ac:dyDescent="0.25">
      <c r="A170" s="59">
        <v>182</v>
      </c>
      <c r="B170" s="15" t="s">
        <v>60</v>
      </c>
      <c r="C170" s="12">
        <v>351086</v>
      </c>
      <c r="D170" s="11" t="s">
        <v>40</v>
      </c>
      <c r="E170" s="11" t="s">
        <v>938</v>
      </c>
      <c r="F170" s="11" t="s">
        <v>939</v>
      </c>
      <c r="G170" s="13" t="s">
        <v>63</v>
      </c>
      <c r="H170" s="11" t="s">
        <v>1720</v>
      </c>
      <c r="I170" s="3" t="s">
        <v>1654</v>
      </c>
      <c r="J170" s="3" t="s">
        <v>1654</v>
      </c>
      <c r="K170" s="11" t="s">
        <v>1805</v>
      </c>
      <c r="L170" s="4">
        <v>9720025016</v>
      </c>
      <c r="M170" s="4">
        <v>9720025016</v>
      </c>
      <c r="N170" s="4">
        <v>9720025016</v>
      </c>
      <c r="O170" s="26" t="s">
        <v>941</v>
      </c>
      <c r="P170" s="5" t="s">
        <v>60</v>
      </c>
      <c r="Q170" s="1" t="s">
        <v>942</v>
      </c>
      <c r="R170" s="1"/>
      <c r="S170" s="1" t="s">
        <v>943</v>
      </c>
      <c r="T170" s="1"/>
      <c r="U170" s="1"/>
      <c r="V170" s="1"/>
      <c r="W170" s="1"/>
      <c r="X170" s="1" t="s">
        <v>55</v>
      </c>
      <c r="Y170" s="1" t="s">
        <v>56</v>
      </c>
      <c r="Z170" s="3">
        <v>45832</v>
      </c>
      <c r="AA170" s="3">
        <v>45826</v>
      </c>
      <c r="AB170" s="6"/>
      <c r="AC170" s="1"/>
      <c r="AD170" s="4"/>
      <c r="AE170" s="2">
        <v>351086</v>
      </c>
      <c r="AF170" s="3" t="s">
        <v>940</v>
      </c>
      <c r="AG170" s="7" t="s">
        <v>60</v>
      </c>
      <c r="AH170" s="7" t="s">
        <v>60</v>
      </c>
      <c r="AI170" s="7" t="s">
        <v>60</v>
      </c>
      <c r="AJ170" s="7" t="s">
        <v>60</v>
      </c>
      <c r="AK170" s="7"/>
      <c r="AL170" s="25" t="s">
        <v>70</v>
      </c>
      <c r="AM170" s="25" t="s">
        <v>58</v>
      </c>
      <c r="AN170" s="25" t="s">
        <v>59</v>
      </c>
      <c r="AO170" s="25" t="e">
        <v>#N/A</v>
      </c>
      <c r="AP170" s="19" t="s">
        <v>2357</v>
      </c>
      <c r="AQ170" s="19" t="s">
        <v>1869</v>
      </c>
      <c r="AR170" s="19" t="s">
        <v>60</v>
      </c>
      <c r="AS170" s="19"/>
      <c r="AT170" s="19" t="s">
        <v>2299</v>
      </c>
      <c r="AU170" s="19" t="s">
        <v>2097</v>
      </c>
      <c r="AV170" s="19">
        <v>9149204613</v>
      </c>
      <c r="AW170" s="20">
        <v>46134</v>
      </c>
      <c r="AX170" s="19" t="s">
        <v>1990</v>
      </c>
      <c r="AY170" s="27" t="s">
        <v>939</v>
      </c>
      <c r="AZ170" s="27" t="s">
        <v>938</v>
      </c>
      <c r="BA170" s="19" t="s">
        <v>60</v>
      </c>
      <c r="BB170" s="19" t="s">
        <v>2563</v>
      </c>
      <c r="BC170" s="19" t="s">
        <v>2564</v>
      </c>
      <c r="BD170" s="75" t="s">
        <v>1720</v>
      </c>
      <c r="BE170" s="100" t="s">
        <v>3859</v>
      </c>
      <c r="BF170" s="100" t="s">
        <v>4214</v>
      </c>
      <c r="BG170" s="100" t="s">
        <v>4215</v>
      </c>
    </row>
    <row r="171" spans="1:59" s="10" customFormat="1" ht="13.5" x14ac:dyDescent="0.25">
      <c r="A171" s="59">
        <v>50</v>
      </c>
      <c r="B171" s="15" t="s">
        <v>80</v>
      </c>
      <c r="C171" s="12">
        <v>26423</v>
      </c>
      <c r="D171" s="11" t="s">
        <v>40</v>
      </c>
      <c r="E171" s="11" t="s">
        <v>41</v>
      </c>
      <c r="F171" s="11" t="s">
        <v>42</v>
      </c>
      <c r="G171" s="13" t="s">
        <v>43</v>
      </c>
      <c r="H171" s="11" t="s">
        <v>81</v>
      </c>
      <c r="I171" s="3" t="s">
        <v>82</v>
      </c>
      <c r="J171" s="3" t="s">
        <v>82</v>
      </c>
      <c r="K171" s="11" t="s">
        <v>83</v>
      </c>
      <c r="L171" s="4" t="s">
        <v>84</v>
      </c>
      <c r="M171" s="4" t="s">
        <v>85</v>
      </c>
      <c r="N171" s="4" t="s">
        <v>86</v>
      </c>
      <c r="O171" s="26" t="s">
        <v>87</v>
      </c>
      <c r="P171" s="5" t="s">
        <v>88</v>
      </c>
      <c r="Q171" s="1" t="s">
        <v>89</v>
      </c>
      <c r="R171" s="1" t="s">
        <v>90</v>
      </c>
      <c r="S171" s="1" t="s">
        <v>91</v>
      </c>
      <c r="T171" s="1"/>
      <c r="U171" s="1" t="s">
        <v>92</v>
      </c>
      <c r="V171" s="1" t="s">
        <v>93</v>
      </c>
      <c r="W171" s="1" t="s">
        <v>94</v>
      </c>
      <c r="X171" s="1" t="s">
        <v>55</v>
      </c>
      <c r="Y171" s="1" t="s">
        <v>56</v>
      </c>
      <c r="Z171" s="3">
        <v>41871</v>
      </c>
      <c r="AA171" s="3">
        <v>41850</v>
      </c>
      <c r="AB171" s="6"/>
      <c r="AC171" s="1"/>
      <c r="AD171" s="4"/>
      <c r="AE171" s="2">
        <v>26423</v>
      </c>
      <c r="AF171" s="3" t="s">
        <v>81</v>
      </c>
      <c r="AG171" s="7">
        <v>350</v>
      </c>
      <c r="AH171" s="7">
        <v>368</v>
      </c>
      <c r="AI171" s="7">
        <v>351</v>
      </c>
      <c r="AJ171" s="7">
        <v>1069</v>
      </c>
      <c r="AK171" s="7">
        <v>5</v>
      </c>
      <c r="AL171" s="25" t="s">
        <v>57</v>
      </c>
      <c r="AM171" s="25" t="s">
        <v>58</v>
      </c>
      <c r="AN171" s="25" t="s">
        <v>59</v>
      </c>
      <c r="AO171" s="25" t="s">
        <v>95</v>
      </c>
      <c r="AP171" s="19" t="s">
        <v>83</v>
      </c>
      <c r="AQ171" s="19" t="s">
        <v>1869</v>
      </c>
      <c r="AR171" s="19" t="s">
        <v>60</v>
      </c>
      <c r="AS171" s="19"/>
      <c r="AT171" s="19" t="s">
        <v>1995</v>
      </c>
      <c r="AU171" s="19" t="s">
        <v>2093</v>
      </c>
      <c r="AV171" s="19">
        <v>9990034588</v>
      </c>
      <c r="AW171" s="20">
        <v>46136</v>
      </c>
      <c r="AX171" s="19" t="s">
        <v>1990</v>
      </c>
      <c r="AY171" s="27" t="s">
        <v>42</v>
      </c>
      <c r="AZ171" s="27" t="s">
        <v>41</v>
      </c>
      <c r="BA171" s="19" t="s">
        <v>2755</v>
      </c>
      <c r="BB171" s="19" t="s">
        <v>2756</v>
      </c>
      <c r="BC171" s="19" t="s">
        <v>2404</v>
      </c>
      <c r="BD171" s="75" t="s">
        <v>81</v>
      </c>
      <c r="BE171" s="100" t="s">
        <v>3742</v>
      </c>
      <c r="BF171" s="100" t="s">
        <v>4132</v>
      </c>
      <c r="BG171" s="100" t="s">
        <v>4133</v>
      </c>
    </row>
    <row r="172" spans="1:59" s="10" customFormat="1" ht="13.5" x14ac:dyDescent="0.25">
      <c r="A172" s="59">
        <v>59</v>
      </c>
      <c r="B172" s="15" t="s">
        <v>155</v>
      </c>
      <c r="C172" s="12">
        <v>24918</v>
      </c>
      <c r="D172" s="11" t="s">
        <v>40</v>
      </c>
      <c r="E172" s="11" t="s">
        <v>41</v>
      </c>
      <c r="F172" s="11" t="s">
        <v>156</v>
      </c>
      <c r="G172" s="13" t="s">
        <v>43</v>
      </c>
      <c r="H172" s="11" t="s">
        <v>157</v>
      </c>
      <c r="I172" s="3" t="s">
        <v>158</v>
      </c>
      <c r="J172" s="3" t="s">
        <v>159</v>
      </c>
      <c r="K172" s="11" t="s">
        <v>1758</v>
      </c>
      <c r="L172" s="4" t="s">
        <v>160</v>
      </c>
      <c r="M172" s="4" t="s">
        <v>161</v>
      </c>
      <c r="N172" s="4" t="s">
        <v>162</v>
      </c>
      <c r="O172" s="26" t="s">
        <v>163</v>
      </c>
      <c r="P172" s="5" t="s">
        <v>60</v>
      </c>
      <c r="Q172" s="1" t="s">
        <v>164</v>
      </c>
      <c r="R172" s="1" t="s">
        <v>165</v>
      </c>
      <c r="S172" s="1" t="s">
        <v>166</v>
      </c>
      <c r="T172" s="1" t="s">
        <v>167</v>
      </c>
      <c r="U172" s="1" t="s">
        <v>168</v>
      </c>
      <c r="V172" s="1" t="s">
        <v>93</v>
      </c>
      <c r="W172" s="1" t="s">
        <v>94</v>
      </c>
      <c r="X172" s="1" t="s">
        <v>55</v>
      </c>
      <c r="Y172" s="1" t="s">
        <v>56</v>
      </c>
      <c r="Z172" s="3">
        <v>42752</v>
      </c>
      <c r="AA172" s="3">
        <v>42748</v>
      </c>
      <c r="AB172" s="6"/>
      <c r="AC172" s="1"/>
      <c r="AD172" s="4" t="s">
        <v>169</v>
      </c>
      <c r="AE172" s="2">
        <v>24918</v>
      </c>
      <c r="AF172" s="3" t="s">
        <v>157</v>
      </c>
      <c r="AG172" s="7">
        <v>1193</v>
      </c>
      <c r="AH172" s="7">
        <v>1674</v>
      </c>
      <c r="AI172" s="7">
        <v>1043</v>
      </c>
      <c r="AJ172" s="7">
        <v>3910</v>
      </c>
      <c r="AK172" s="7">
        <v>5</v>
      </c>
      <c r="AL172" s="25" t="s">
        <v>57</v>
      </c>
      <c r="AM172" s="25" t="s">
        <v>58</v>
      </c>
      <c r="AN172" s="25" t="s">
        <v>59</v>
      </c>
      <c r="AO172" s="25" t="s">
        <v>52</v>
      </c>
      <c r="AP172" s="19" t="s">
        <v>1758</v>
      </c>
      <c r="AQ172" s="19" t="s">
        <v>1869</v>
      </c>
      <c r="AR172" s="19" t="s">
        <v>60</v>
      </c>
      <c r="AS172" s="19"/>
      <c r="AT172" s="19" t="s">
        <v>2000</v>
      </c>
      <c r="AU172" s="19" t="s">
        <v>2095</v>
      </c>
      <c r="AV172" s="19">
        <v>9582917652</v>
      </c>
      <c r="AW172" s="20">
        <v>46127</v>
      </c>
      <c r="AX172" s="19" t="s">
        <v>1990</v>
      </c>
      <c r="AY172" s="27" t="s">
        <v>156</v>
      </c>
      <c r="AZ172" s="27" t="s">
        <v>41</v>
      </c>
      <c r="BA172" s="19" t="s">
        <v>2758</v>
      </c>
      <c r="BB172" s="19" t="s">
        <v>2759</v>
      </c>
      <c r="BC172" s="19" t="s">
        <v>2760</v>
      </c>
      <c r="BD172" s="75" t="s">
        <v>157</v>
      </c>
      <c r="BE172" s="100" t="s">
        <v>3749</v>
      </c>
      <c r="BF172" s="100" t="s">
        <v>4136</v>
      </c>
      <c r="BG172" s="100" t="s">
        <v>4137</v>
      </c>
    </row>
    <row r="173" spans="1:59" s="10" customFormat="1" ht="13.5" x14ac:dyDescent="0.25">
      <c r="A173" s="59">
        <v>20</v>
      </c>
      <c r="B173" s="15" t="s">
        <v>1013</v>
      </c>
      <c r="C173" s="12">
        <v>28589</v>
      </c>
      <c r="D173" s="11" t="s">
        <v>40</v>
      </c>
      <c r="E173" s="11" t="s">
        <v>129</v>
      </c>
      <c r="F173" s="11" t="s">
        <v>129</v>
      </c>
      <c r="G173" s="13" t="s">
        <v>43</v>
      </c>
      <c r="H173" s="11" t="s">
        <v>1014</v>
      </c>
      <c r="I173" s="3" t="s">
        <v>1015</v>
      </c>
      <c r="J173" s="3" t="s">
        <v>1015</v>
      </c>
      <c r="K173" s="11" t="s">
        <v>1016</v>
      </c>
      <c r="L173" s="4" t="s">
        <v>1017</v>
      </c>
      <c r="M173" s="4" t="s">
        <v>1018</v>
      </c>
      <c r="N173" s="4" t="s">
        <v>1019</v>
      </c>
      <c r="O173" s="26" t="s">
        <v>1020</v>
      </c>
      <c r="P173" s="5" t="s">
        <v>60</v>
      </c>
      <c r="Q173" s="1" t="s">
        <v>1021</v>
      </c>
      <c r="R173" s="1" t="s">
        <v>1022</v>
      </c>
      <c r="S173" s="1" t="s">
        <v>726</v>
      </c>
      <c r="T173" s="1"/>
      <c r="U173" s="1"/>
      <c r="V173" s="1" t="s">
        <v>224</v>
      </c>
      <c r="W173" s="1"/>
      <c r="X173" s="1" t="s">
        <v>55</v>
      </c>
      <c r="Y173" s="1" t="s">
        <v>56</v>
      </c>
      <c r="Z173" s="3">
        <v>41691</v>
      </c>
      <c r="AA173" s="3">
        <v>41680</v>
      </c>
      <c r="AB173" s="6"/>
      <c r="AC173" s="1"/>
      <c r="AD173" s="4" t="s">
        <v>1023</v>
      </c>
      <c r="AE173" s="2">
        <v>28589</v>
      </c>
      <c r="AF173" s="3" t="s">
        <v>1014</v>
      </c>
      <c r="AG173" s="7">
        <v>254</v>
      </c>
      <c r="AH173" s="7">
        <v>288</v>
      </c>
      <c r="AI173" s="7">
        <v>264</v>
      </c>
      <c r="AJ173" s="7">
        <v>806</v>
      </c>
      <c r="AK173" s="7">
        <v>2</v>
      </c>
      <c r="AL173" s="25" t="s">
        <v>57</v>
      </c>
      <c r="AM173" s="25" t="s">
        <v>58</v>
      </c>
      <c r="AN173" s="25" t="s">
        <v>59</v>
      </c>
      <c r="AO173" s="25" t="s">
        <v>143</v>
      </c>
      <c r="AP173" s="19" t="s">
        <v>1016</v>
      </c>
      <c r="AQ173" s="19" t="s">
        <v>1869</v>
      </c>
      <c r="AR173" s="19" t="s">
        <v>60</v>
      </c>
      <c r="AS173" s="19"/>
      <c r="AT173" s="19" t="s">
        <v>2066</v>
      </c>
      <c r="AU173" s="19" t="s">
        <v>2090</v>
      </c>
      <c r="AV173" s="19">
        <v>9354183359</v>
      </c>
      <c r="AW173" s="20">
        <v>46129</v>
      </c>
      <c r="AX173" s="19" t="s">
        <v>1990</v>
      </c>
      <c r="AY173" s="27" t="s">
        <v>129</v>
      </c>
      <c r="AZ173" s="27" t="s">
        <v>129</v>
      </c>
      <c r="BA173" s="19" t="s">
        <v>2372</v>
      </c>
      <c r="BB173" s="19" t="s">
        <v>2710</v>
      </c>
      <c r="BC173" s="19" t="s">
        <v>143</v>
      </c>
      <c r="BD173" s="75" t="s">
        <v>1014</v>
      </c>
      <c r="BE173" s="100" t="s">
        <v>3718</v>
      </c>
      <c r="BF173" s="100" t="s">
        <v>4140</v>
      </c>
      <c r="BG173" s="100" t="s">
        <v>4141</v>
      </c>
    </row>
    <row r="174" spans="1:59" s="10" customFormat="1" ht="13.5" x14ac:dyDescent="0.25">
      <c r="A174" s="59">
        <v>51</v>
      </c>
      <c r="B174" s="15" t="s">
        <v>60</v>
      </c>
      <c r="C174" s="12">
        <v>310989</v>
      </c>
      <c r="D174" s="11" t="s">
        <v>40</v>
      </c>
      <c r="E174" s="11" t="s">
        <v>41</v>
      </c>
      <c r="F174" s="11" t="s">
        <v>42</v>
      </c>
      <c r="G174" s="13" t="s">
        <v>43</v>
      </c>
      <c r="H174" s="11" t="s">
        <v>1729</v>
      </c>
      <c r="I174" s="3" t="s">
        <v>1663</v>
      </c>
      <c r="J174" s="3" t="s">
        <v>1663</v>
      </c>
      <c r="K174" s="11" t="s">
        <v>1814</v>
      </c>
      <c r="L174" s="4">
        <v>9815939119</v>
      </c>
      <c r="M174" s="4">
        <v>9815939119</v>
      </c>
      <c r="N174" s="4">
        <v>9815939119</v>
      </c>
      <c r="O174" s="26" t="s">
        <v>983</v>
      </c>
      <c r="P174" s="5" t="s">
        <v>60</v>
      </c>
      <c r="Q174" s="1" t="s">
        <v>984</v>
      </c>
      <c r="R174" s="1"/>
      <c r="S174" s="1" t="s">
        <v>985</v>
      </c>
      <c r="T174" s="1"/>
      <c r="U174" s="1"/>
      <c r="V174" s="1" t="s">
        <v>77</v>
      </c>
      <c r="W174" s="1"/>
      <c r="X174" s="1" t="s">
        <v>55</v>
      </c>
      <c r="Y174" s="1" t="s">
        <v>56</v>
      </c>
      <c r="Z174" s="3">
        <v>45659</v>
      </c>
      <c r="AA174" s="3">
        <v>45656</v>
      </c>
      <c r="AB174" s="6"/>
      <c r="AC174" s="1"/>
      <c r="AD174" s="4" t="s">
        <v>587</v>
      </c>
      <c r="AE174" s="2">
        <v>310989</v>
      </c>
      <c r="AF174" s="3" t="s">
        <v>982</v>
      </c>
      <c r="AG174" s="7">
        <v>100</v>
      </c>
      <c r="AH174" s="7">
        <v>90</v>
      </c>
      <c r="AI174" s="7">
        <v>69</v>
      </c>
      <c r="AJ174" s="7">
        <v>259</v>
      </c>
      <c r="AK174" s="7">
        <v>2</v>
      </c>
      <c r="AL174" s="25" t="s">
        <v>57</v>
      </c>
      <c r="AM174" s="25" t="s">
        <v>58</v>
      </c>
      <c r="AN174" s="25" t="s">
        <v>59</v>
      </c>
      <c r="AO174" s="25" t="s">
        <v>79</v>
      </c>
      <c r="AP174" s="19" t="s">
        <v>1814</v>
      </c>
      <c r="AQ174" s="19" t="s">
        <v>1869</v>
      </c>
      <c r="AR174" s="19" t="s">
        <v>60</v>
      </c>
      <c r="AS174" s="19"/>
      <c r="AT174" s="19" t="s">
        <v>2302</v>
      </c>
      <c r="AU174" s="19" t="s">
        <v>2095</v>
      </c>
      <c r="AV174" s="19">
        <v>9582917652</v>
      </c>
      <c r="AW174" s="20">
        <v>46130</v>
      </c>
      <c r="AX174" s="19" t="s">
        <v>1990</v>
      </c>
      <c r="AY174" s="27" t="s">
        <v>42</v>
      </c>
      <c r="AZ174" s="27" t="s">
        <v>41</v>
      </c>
      <c r="BA174" s="19" t="s">
        <v>2405</v>
      </c>
      <c r="BB174" s="19" t="s">
        <v>2406</v>
      </c>
      <c r="BC174" s="19" t="s">
        <v>2392</v>
      </c>
      <c r="BD174" s="75" t="s">
        <v>1729</v>
      </c>
      <c r="BE174" s="100" t="s">
        <v>3743</v>
      </c>
      <c r="BF174" s="100" t="s">
        <v>4142</v>
      </c>
      <c r="BG174" s="100" t="s">
        <v>4143</v>
      </c>
    </row>
    <row r="175" spans="1:59" s="10" customFormat="1" ht="13.5" x14ac:dyDescent="0.25">
      <c r="A175" s="59">
        <v>170</v>
      </c>
      <c r="B175" s="15" t="s">
        <v>60</v>
      </c>
      <c r="C175" s="12">
        <v>310997</v>
      </c>
      <c r="D175" s="11" t="s">
        <v>103</v>
      </c>
      <c r="E175" s="11" t="s">
        <v>465</v>
      </c>
      <c r="F175" s="11" t="s">
        <v>466</v>
      </c>
      <c r="G175" s="13" t="s">
        <v>63</v>
      </c>
      <c r="H175" s="11" t="s">
        <v>1871</v>
      </c>
      <c r="I175" s="3" t="s">
        <v>1962</v>
      </c>
      <c r="J175" s="3" t="s">
        <v>1962</v>
      </c>
      <c r="K175" s="11" t="s">
        <v>1874</v>
      </c>
      <c r="L175" s="4" t="s">
        <v>60</v>
      </c>
      <c r="M175" s="4" t="s">
        <v>60</v>
      </c>
      <c r="N175" s="4" t="s">
        <v>60</v>
      </c>
      <c r="O175" s="4" t="s">
        <v>60</v>
      </c>
      <c r="P175" s="4" t="s">
        <v>60</v>
      </c>
      <c r="Q175" s="4" t="s">
        <v>60</v>
      </c>
      <c r="R175" s="4" t="s">
        <v>60</v>
      </c>
      <c r="S175" s="4" t="s">
        <v>60</v>
      </c>
      <c r="T175" s="4" t="s">
        <v>60</v>
      </c>
      <c r="U175" s="4" t="s">
        <v>60</v>
      </c>
      <c r="V175" s="4" t="s">
        <v>60</v>
      </c>
      <c r="W175" s="4" t="s">
        <v>60</v>
      </c>
      <c r="X175" s="4" t="s">
        <v>60</v>
      </c>
      <c r="Y175" s="4" t="s">
        <v>60</v>
      </c>
      <c r="Z175" s="4" t="s">
        <v>60</v>
      </c>
      <c r="AA175" s="4" t="s">
        <v>60</v>
      </c>
      <c r="AB175" s="4" t="s">
        <v>60</v>
      </c>
      <c r="AC175" s="4" t="s">
        <v>60</v>
      </c>
      <c r="AD175" s="4" t="s">
        <v>60</v>
      </c>
      <c r="AE175" s="2">
        <v>310997</v>
      </c>
      <c r="AF175" s="2" t="s">
        <v>1871</v>
      </c>
      <c r="AG175" s="7" t="s">
        <v>60</v>
      </c>
      <c r="AH175" s="7" t="s">
        <v>60</v>
      </c>
      <c r="AI175" s="7" t="s">
        <v>60</v>
      </c>
      <c r="AJ175" s="7" t="s">
        <v>60</v>
      </c>
      <c r="AK175" s="7"/>
      <c r="AL175" s="25" t="s">
        <v>70</v>
      </c>
      <c r="AM175" s="25" t="s">
        <v>58</v>
      </c>
      <c r="AN175" s="25" t="s">
        <v>59</v>
      </c>
      <c r="AO175" s="25" t="e">
        <v>#N/A</v>
      </c>
      <c r="AP175" s="19" t="s">
        <v>1874</v>
      </c>
      <c r="AQ175" s="19" t="s">
        <v>1869</v>
      </c>
      <c r="AR175" s="19" t="s">
        <v>60</v>
      </c>
      <c r="AS175" s="19"/>
      <c r="AT175" s="19" t="s">
        <v>2269</v>
      </c>
      <c r="AU175" s="19" t="s">
        <v>2091</v>
      </c>
      <c r="AV175" s="19">
        <v>9354241930</v>
      </c>
      <c r="AW175" s="20">
        <v>46130</v>
      </c>
      <c r="AX175" s="19" t="s">
        <v>1990</v>
      </c>
      <c r="AY175" s="27" t="s">
        <v>466</v>
      </c>
      <c r="AZ175" s="27" t="s">
        <v>465</v>
      </c>
      <c r="BA175" s="19" t="s">
        <v>60</v>
      </c>
      <c r="BB175" s="19" t="s">
        <v>2547</v>
      </c>
      <c r="BC175" s="19" t="s">
        <v>2548</v>
      </c>
      <c r="BD175" s="75" t="s">
        <v>1871</v>
      </c>
      <c r="BE175" s="100" t="s">
        <v>3848</v>
      </c>
      <c r="BF175" s="100" t="s">
        <v>4192</v>
      </c>
      <c r="BG175" s="100" t="s">
        <v>4193</v>
      </c>
    </row>
    <row r="176" spans="1:59" s="10" customFormat="1" ht="13.5" x14ac:dyDescent="0.25">
      <c r="A176" s="59">
        <v>180</v>
      </c>
      <c r="B176" s="15" t="s">
        <v>60</v>
      </c>
      <c r="C176" s="12">
        <v>350007</v>
      </c>
      <c r="D176" s="11" t="s">
        <v>40</v>
      </c>
      <c r="E176" s="11" t="s">
        <v>61</v>
      </c>
      <c r="F176" s="11" t="s">
        <v>62</v>
      </c>
      <c r="G176" s="13" t="s">
        <v>63</v>
      </c>
      <c r="H176" s="11" t="s">
        <v>1739</v>
      </c>
      <c r="I176" s="3" t="s">
        <v>1119</v>
      </c>
      <c r="J176" s="3" t="s">
        <v>1119</v>
      </c>
      <c r="K176" s="11" t="s">
        <v>1120</v>
      </c>
      <c r="L176" s="4" t="s">
        <v>1121</v>
      </c>
      <c r="M176" s="4" t="s">
        <v>1121</v>
      </c>
      <c r="N176" s="4" t="s">
        <v>1121</v>
      </c>
      <c r="O176" s="26" t="s">
        <v>1122</v>
      </c>
      <c r="P176" s="5" t="s">
        <v>60</v>
      </c>
      <c r="Q176" s="1" t="s">
        <v>1123</v>
      </c>
      <c r="R176" s="1"/>
      <c r="S176" s="1" t="s">
        <v>1124</v>
      </c>
      <c r="T176" s="1"/>
      <c r="U176" s="1"/>
      <c r="V176" s="1"/>
      <c r="W176" s="1"/>
      <c r="X176" s="1" t="s">
        <v>69</v>
      </c>
      <c r="Y176" s="1" t="s">
        <v>56</v>
      </c>
      <c r="Z176" s="3">
        <v>45839</v>
      </c>
      <c r="AA176" s="3">
        <v>45838</v>
      </c>
      <c r="AB176" s="6"/>
      <c r="AC176" s="1"/>
      <c r="AD176" s="4"/>
      <c r="AE176" s="2">
        <v>350007</v>
      </c>
      <c r="AF176" s="3" t="s">
        <v>1118</v>
      </c>
      <c r="AG176" s="7" t="s">
        <v>60</v>
      </c>
      <c r="AH176" s="7" t="s">
        <v>60</v>
      </c>
      <c r="AI176" s="7" t="s">
        <v>60</v>
      </c>
      <c r="AJ176" s="7" t="s">
        <v>60</v>
      </c>
      <c r="AK176" s="7">
        <v>1</v>
      </c>
      <c r="AL176" s="25" t="s">
        <v>70</v>
      </c>
      <c r="AM176" s="25" t="s">
        <v>58</v>
      </c>
      <c r="AN176" s="25" t="s">
        <v>59</v>
      </c>
      <c r="AO176" s="25" t="e">
        <v>#N/A</v>
      </c>
      <c r="AP176" s="19" t="s">
        <v>1120</v>
      </c>
      <c r="AQ176" s="19" t="s">
        <v>1869</v>
      </c>
      <c r="AR176" s="19" t="s">
        <v>60</v>
      </c>
      <c r="AS176" s="19"/>
      <c r="AT176" s="19" t="s">
        <v>2307</v>
      </c>
      <c r="AU176" s="19" t="s">
        <v>1994</v>
      </c>
      <c r="AV176" s="19">
        <v>9810670823</v>
      </c>
      <c r="AW176" s="20">
        <v>46129</v>
      </c>
      <c r="AX176" s="19" t="s">
        <v>1990</v>
      </c>
      <c r="AY176" s="27" t="s">
        <v>62</v>
      </c>
      <c r="AZ176" s="27" t="s">
        <v>61</v>
      </c>
      <c r="BA176" s="19" t="s">
        <v>60</v>
      </c>
      <c r="BB176" s="19" t="s">
        <v>2560</v>
      </c>
      <c r="BC176" s="19" t="s">
        <v>60</v>
      </c>
      <c r="BD176" s="75" t="s">
        <v>1739</v>
      </c>
      <c r="BE176" s="100" t="s">
        <v>3857</v>
      </c>
      <c r="BF176" s="100" t="s">
        <v>4210</v>
      </c>
      <c r="BG176" s="100" t="s">
        <v>4211</v>
      </c>
    </row>
    <row r="177" spans="1:59" s="10" customFormat="1" ht="13.5" x14ac:dyDescent="0.25">
      <c r="A177" s="59">
        <v>39</v>
      </c>
      <c r="B177" s="15" t="s">
        <v>60</v>
      </c>
      <c r="C177" s="12">
        <v>350002</v>
      </c>
      <c r="D177" s="11" t="s">
        <v>40</v>
      </c>
      <c r="E177" s="11" t="s">
        <v>129</v>
      </c>
      <c r="F177" s="11" t="s">
        <v>129</v>
      </c>
      <c r="G177" s="13" t="s">
        <v>43</v>
      </c>
      <c r="H177" s="11" t="s">
        <v>1737</v>
      </c>
      <c r="I177" s="3" t="s">
        <v>1090</v>
      </c>
      <c r="J177" s="3" t="s">
        <v>1090</v>
      </c>
      <c r="K177" s="11" t="s">
        <v>1824</v>
      </c>
      <c r="L177" s="4" t="s">
        <v>1091</v>
      </c>
      <c r="M177" s="4" t="s">
        <v>1091</v>
      </c>
      <c r="N177" s="4" t="s">
        <v>1091</v>
      </c>
      <c r="O177" s="26" t="s">
        <v>1092</v>
      </c>
      <c r="P177" s="5" t="s">
        <v>60</v>
      </c>
      <c r="Q177" s="1" t="s">
        <v>1093</v>
      </c>
      <c r="R177" s="1"/>
      <c r="S177" s="1" t="s">
        <v>1094</v>
      </c>
      <c r="T177" s="1"/>
      <c r="U177" s="1"/>
      <c r="V177" s="1" t="s">
        <v>77</v>
      </c>
      <c r="W177" s="1"/>
      <c r="X177" s="1" t="s">
        <v>69</v>
      </c>
      <c r="Y177" s="1" t="s">
        <v>56</v>
      </c>
      <c r="Z177" s="3">
        <v>45840</v>
      </c>
      <c r="AA177" s="3">
        <v>45839</v>
      </c>
      <c r="AB177" s="6"/>
      <c r="AC177" s="1"/>
      <c r="AD177" s="4"/>
      <c r="AE177" s="2">
        <v>350002</v>
      </c>
      <c r="AF177" s="3" t="s">
        <v>1089</v>
      </c>
      <c r="AG177" s="7">
        <v>210</v>
      </c>
      <c r="AH177" s="7">
        <v>206</v>
      </c>
      <c r="AI177" s="7">
        <v>0</v>
      </c>
      <c r="AJ177" s="7">
        <v>416</v>
      </c>
      <c r="AK177" s="7">
        <v>2</v>
      </c>
      <c r="AL177" s="25" t="s">
        <v>57</v>
      </c>
      <c r="AM177" s="25" t="s">
        <v>58</v>
      </c>
      <c r="AN177" s="25" t="s">
        <v>59</v>
      </c>
      <c r="AO177" s="25" t="s">
        <v>707</v>
      </c>
      <c r="AP177" s="19" t="s">
        <v>1824</v>
      </c>
      <c r="AQ177" s="19" t="s">
        <v>1869</v>
      </c>
      <c r="AR177" s="19" t="s">
        <v>60</v>
      </c>
      <c r="AS177" s="19"/>
      <c r="AT177" s="19" t="s">
        <v>2076</v>
      </c>
      <c r="AU177" s="19" t="s">
        <v>2346</v>
      </c>
      <c r="AV177" s="19">
        <v>9217935065</v>
      </c>
      <c r="AW177" s="20">
        <v>46133</v>
      </c>
      <c r="AX177" s="19" t="s">
        <v>1990</v>
      </c>
      <c r="AY177" s="27" t="s">
        <v>129</v>
      </c>
      <c r="AZ177" s="27" t="s">
        <v>129</v>
      </c>
      <c r="BA177" s="19" t="s">
        <v>2393</v>
      </c>
      <c r="BB177" s="19" t="s">
        <v>2394</v>
      </c>
      <c r="BC177" s="19" t="s">
        <v>60</v>
      </c>
      <c r="BD177" s="75" t="s">
        <v>1737</v>
      </c>
      <c r="BE177" s="100" t="s">
        <v>3733</v>
      </c>
      <c r="BF177" s="100" t="s">
        <v>4153</v>
      </c>
      <c r="BG177" s="100" t="s">
        <v>4154</v>
      </c>
    </row>
    <row r="178" spans="1:59" s="10" customFormat="1" ht="13.5" x14ac:dyDescent="0.25">
      <c r="A178" s="59">
        <v>177</v>
      </c>
      <c r="B178" s="15" t="s">
        <v>1902</v>
      </c>
      <c r="C178" s="12">
        <v>307997</v>
      </c>
      <c r="D178" s="11" t="s">
        <v>40</v>
      </c>
      <c r="E178" s="11" t="s">
        <v>61</v>
      </c>
      <c r="F178" s="11" t="s">
        <v>1582</v>
      </c>
      <c r="G178" s="13" t="s">
        <v>63</v>
      </c>
      <c r="H178" s="11" t="s">
        <v>1979</v>
      </c>
      <c r="I178" s="3" t="s">
        <v>1980</v>
      </c>
      <c r="J178" s="3" t="s">
        <v>1980</v>
      </c>
      <c r="K178" s="11" t="s">
        <v>1903</v>
      </c>
      <c r="L178" s="4" t="s">
        <v>60</v>
      </c>
      <c r="M178" s="4" t="s">
        <v>60</v>
      </c>
      <c r="N178" s="4" t="s">
        <v>60</v>
      </c>
      <c r="O178" s="4" t="s">
        <v>60</v>
      </c>
      <c r="P178" s="4" t="s">
        <v>60</v>
      </c>
      <c r="Q178" s="4" t="s">
        <v>60</v>
      </c>
      <c r="R178" s="4" t="s">
        <v>60</v>
      </c>
      <c r="S178" s="4" t="s">
        <v>60</v>
      </c>
      <c r="T178" s="4" t="s">
        <v>60</v>
      </c>
      <c r="U178" s="4" t="s">
        <v>60</v>
      </c>
      <c r="V178" s="4" t="s">
        <v>60</v>
      </c>
      <c r="W178" s="4" t="s">
        <v>60</v>
      </c>
      <c r="X178" s="4" t="s">
        <v>60</v>
      </c>
      <c r="Y178" s="4" t="s">
        <v>60</v>
      </c>
      <c r="Z178" s="4" t="s">
        <v>60</v>
      </c>
      <c r="AA178" s="4" t="s">
        <v>60</v>
      </c>
      <c r="AB178" s="4" t="s">
        <v>60</v>
      </c>
      <c r="AC178" s="4" t="s">
        <v>60</v>
      </c>
      <c r="AD178" s="4" t="s">
        <v>60</v>
      </c>
      <c r="AE178" s="2">
        <v>307997</v>
      </c>
      <c r="AF178" s="2" t="s">
        <v>1901</v>
      </c>
      <c r="AG178" s="7" t="s">
        <v>60</v>
      </c>
      <c r="AH178" s="7" t="s">
        <v>60</v>
      </c>
      <c r="AI178" s="7" t="s">
        <v>60</v>
      </c>
      <c r="AJ178" s="7" t="s">
        <v>60</v>
      </c>
      <c r="AK178" s="7"/>
      <c r="AL178" s="25" t="s">
        <v>70</v>
      </c>
      <c r="AM178" s="25" t="s">
        <v>58</v>
      </c>
      <c r="AN178" s="25" t="s">
        <v>59</v>
      </c>
      <c r="AO178" s="25" t="s">
        <v>60</v>
      </c>
      <c r="AP178" s="19" t="s">
        <v>60</v>
      </c>
      <c r="AQ178" s="19" t="s">
        <v>1884</v>
      </c>
      <c r="AR178" s="19" t="s">
        <v>1932</v>
      </c>
      <c r="AS178" s="19" t="s">
        <v>60</v>
      </c>
      <c r="AT178" s="19" t="s">
        <v>60</v>
      </c>
      <c r="AU178" s="19" t="s">
        <v>60</v>
      </c>
      <c r="AV178" s="19" t="s">
        <v>60</v>
      </c>
      <c r="AW178" s="19" t="s">
        <v>60</v>
      </c>
      <c r="AX178" s="19" t="s">
        <v>60</v>
      </c>
      <c r="AY178" s="19" t="s">
        <v>1582</v>
      </c>
      <c r="AZ178" s="19" t="s">
        <v>61</v>
      </c>
      <c r="BA178" s="19" t="s">
        <v>60</v>
      </c>
      <c r="BB178" s="19" t="s">
        <v>60</v>
      </c>
      <c r="BC178" s="19" t="s">
        <v>60</v>
      </c>
      <c r="BD178" s="75" t="s">
        <v>1979</v>
      </c>
      <c r="BE178" s="100" t="s">
        <v>60</v>
      </c>
      <c r="BF178" s="100" t="s">
        <v>60</v>
      </c>
      <c r="BG178" s="100" t="s">
        <v>60</v>
      </c>
    </row>
    <row r="179" spans="1:59" s="10" customFormat="1" ht="13.5" x14ac:dyDescent="0.25">
      <c r="A179" s="59">
        <v>107</v>
      </c>
      <c r="B179" s="15" t="s">
        <v>1845</v>
      </c>
      <c r="C179" s="12">
        <v>168962</v>
      </c>
      <c r="D179" s="11" t="s">
        <v>103</v>
      </c>
      <c r="E179" s="11" t="s">
        <v>104</v>
      </c>
      <c r="F179" s="11" t="s">
        <v>105</v>
      </c>
      <c r="G179" s="13" t="s">
        <v>43</v>
      </c>
      <c r="H179" s="11" t="s">
        <v>1711</v>
      </c>
      <c r="I179" s="3" t="s">
        <v>1643</v>
      </c>
      <c r="J179" s="3" t="s">
        <v>1643</v>
      </c>
      <c r="K179" s="11" t="s">
        <v>1794</v>
      </c>
      <c r="L179" s="4" t="s">
        <v>853</v>
      </c>
      <c r="M179" s="4" t="s">
        <v>853</v>
      </c>
      <c r="N179" s="4" t="s">
        <v>853</v>
      </c>
      <c r="O179" s="26" t="s">
        <v>854</v>
      </c>
      <c r="P179" s="5" t="s">
        <v>60</v>
      </c>
      <c r="Q179" s="1" t="s">
        <v>855</v>
      </c>
      <c r="R179" s="1"/>
      <c r="S179" s="1" t="s">
        <v>60</v>
      </c>
      <c r="T179" s="1"/>
      <c r="U179" s="1"/>
      <c r="V179" s="1" t="s">
        <v>93</v>
      </c>
      <c r="W179" s="1"/>
      <c r="X179" s="1" t="s">
        <v>55</v>
      </c>
      <c r="Y179" s="1" t="s">
        <v>56</v>
      </c>
      <c r="Z179" s="3">
        <v>45357</v>
      </c>
      <c r="AA179" s="3">
        <v>45356</v>
      </c>
      <c r="AB179" s="6"/>
      <c r="AC179" s="1"/>
      <c r="AD179" s="4" t="s">
        <v>587</v>
      </c>
      <c r="AE179" s="2">
        <v>168962</v>
      </c>
      <c r="AF179" s="3" t="s">
        <v>852</v>
      </c>
      <c r="AG179" s="7">
        <v>480</v>
      </c>
      <c r="AH179" s="7">
        <v>487</v>
      </c>
      <c r="AI179" s="7">
        <v>491</v>
      </c>
      <c r="AJ179" s="7">
        <v>1458</v>
      </c>
      <c r="AK179" s="7">
        <v>2</v>
      </c>
      <c r="AL179" s="25" t="s">
        <v>57</v>
      </c>
      <c r="AM179" s="25" t="s">
        <v>58</v>
      </c>
      <c r="AN179" s="25" t="s">
        <v>59</v>
      </c>
      <c r="AO179" s="25" t="s">
        <v>322</v>
      </c>
      <c r="AP179" s="19" t="s">
        <v>1794</v>
      </c>
      <c r="AQ179" s="19" t="s">
        <v>1869</v>
      </c>
      <c r="AR179" s="19" t="s">
        <v>60</v>
      </c>
      <c r="AS179" s="19"/>
      <c r="AT179" s="19" t="s">
        <v>2293</v>
      </c>
      <c r="AU179" s="19" t="s">
        <v>2091</v>
      </c>
      <c r="AV179" s="19">
        <v>9354241930</v>
      </c>
      <c r="AW179" s="20">
        <v>46120</v>
      </c>
      <c r="AX179" s="19" t="s">
        <v>1990</v>
      </c>
      <c r="AY179" s="27" t="s">
        <v>105</v>
      </c>
      <c r="AZ179" s="27" t="s">
        <v>104</v>
      </c>
      <c r="BA179" s="19" t="s">
        <v>2460</v>
      </c>
      <c r="BB179" s="19" t="s">
        <v>2461</v>
      </c>
      <c r="BC179" s="19" t="s">
        <v>2538</v>
      </c>
      <c r="BD179" s="75" t="s">
        <v>1711</v>
      </c>
      <c r="BE179" s="100" t="s">
        <v>3794</v>
      </c>
      <c r="BF179" s="100" t="s">
        <v>4155</v>
      </c>
      <c r="BG179" s="100" t="s">
        <v>4156</v>
      </c>
    </row>
    <row r="180" spans="1:59" s="10" customFormat="1" ht="13.5" x14ac:dyDescent="0.25">
      <c r="A180" s="59">
        <v>175</v>
      </c>
      <c r="B180" s="15" t="s">
        <v>1905</v>
      </c>
      <c r="C180" s="12">
        <v>21693</v>
      </c>
      <c r="D180" s="11" t="s">
        <v>40</v>
      </c>
      <c r="E180" s="11" t="s">
        <v>1906</v>
      </c>
      <c r="F180" s="11" t="s">
        <v>593</v>
      </c>
      <c r="G180" s="13" t="s">
        <v>63</v>
      </c>
      <c r="H180" s="11" t="s">
        <v>1872</v>
      </c>
      <c r="I180" s="3" t="s">
        <v>1908</v>
      </c>
      <c r="J180" s="3" t="s">
        <v>1908</v>
      </c>
      <c r="K180" s="11" t="s">
        <v>1875</v>
      </c>
      <c r="L180" s="4" t="s">
        <v>60</v>
      </c>
      <c r="M180" s="4" t="s">
        <v>60</v>
      </c>
      <c r="N180" s="4" t="s">
        <v>60</v>
      </c>
      <c r="O180" s="4" t="s">
        <v>60</v>
      </c>
      <c r="P180" s="4" t="s">
        <v>60</v>
      </c>
      <c r="Q180" s="4" t="s">
        <v>60</v>
      </c>
      <c r="R180" s="4" t="s">
        <v>60</v>
      </c>
      <c r="S180" s="4" t="s">
        <v>60</v>
      </c>
      <c r="T180" s="4" t="s">
        <v>60</v>
      </c>
      <c r="U180" s="4" t="s">
        <v>60</v>
      </c>
      <c r="V180" s="4" t="s">
        <v>60</v>
      </c>
      <c r="W180" s="4" t="s">
        <v>60</v>
      </c>
      <c r="X180" s="4" t="s">
        <v>60</v>
      </c>
      <c r="Y180" s="4" t="s">
        <v>60</v>
      </c>
      <c r="Z180" s="4" t="s">
        <v>60</v>
      </c>
      <c r="AA180" s="4" t="s">
        <v>60</v>
      </c>
      <c r="AB180" s="4" t="s">
        <v>60</v>
      </c>
      <c r="AC180" s="4" t="s">
        <v>60</v>
      </c>
      <c r="AD180" s="4" t="s">
        <v>60</v>
      </c>
      <c r="AE180" s="2">
        <v>21693</v>
      </c>
      <c r="AF180" s="2" t="s">
        <v>1872</v>
      </c>
      <c r="AG180" s="7" t="s">
        <v>60</v>
      </c>
      <c r="AH180" s="7" t="s">
        <v>60</v>
      </c>
      <c r="AI180" s="7" t="s">
        <v>60</v>
      </c>
      <c r="AJ180" s="7" t="s">
        <v>60</v>
      </c>
      <c r="AK180" s="7"/>
      <c r="AL180" s="25" t="s">
        <v>70</v>
      </c>
      <c r="AM180" s="25" t="s">
        <v>58</v>
      </c>
      <c r="AN180" s="25" t="s">
        <v>59</v>
      </c>
      <c r="AO180" s="25" t="e">
        <v>#N/A</v>
      </c>
      <c r="AP180" s="19" t="s">
        <v>1875</v>
      </c>
      <c r="AQ180" s="19" t="s">
        <v>1869</v>
      </c>
      <c r="AR180" s="19" t="s">
        <v>60</v>
      </c>
      <c r="AS180" s="19"/>
      <c r="AT180" s="19" t="s">
        <v>1992</v>
      </c>
      <c r="AU180" s="19" t="s">
        <v>2092</v>
      </c>
      <c r="AV180" s="19">
        <v>7753851136</v>
      </c>
      <c r="AW180" s="20">
        <v>46129</v>
      </c>
      <c r="AX180" s="19" t="s">
        <v>1990</v>
      </c>
      <c r="AY180" s="27" t="s">
        <v>593</v>
      </c>
      <c r="AZ180" s="27" t="s">
        <v>1906</v>
      </c>
      <c r="BA180" s="19" t="s">
        <v>60</v>
      </c>
      <c r="BB180" s="19" t="s">
        <v>2553</v>
      </c>
      <c r="BC180" s="19" t="s">
        <v>2554</v>
      </c>
      <c r="BD180" s="75" t="s">
        <v>1872</v>
      </c>
      <c r="BE180" s="100" t="s">
        <v>3853</v>
      </c>
      <c r="BF180" s="100" t="s">
        <v>4202</v>
      </c>
      <c r="BG180" s="100" t="s">
        <v>4203</v>
      </c>
    </row>
    <row r="181" spans="1:59" s="10" customFormat="1" ht="13.5" x14ac:dyDescent="0.25">
      <c r="A181" s="59">
        <v>5</v>
      </c>
      <c r="B181" s="15" t="s">
        <v>60</v>
      </c>
      <c r="C181" s="12">
        <v>327999</v>
      </c>
      <c r="D181" s="11" t="s">
        <v>103</v>
      </c>
      <c r="E181" s="11" t="s">
        <v>767</v>
      </c>
      <c r="F181" s="11" t="s">
        <v>768</v>
      </c>
      <c r="G181" s="13" t="s">
        <v>43</v>
      </c>
      <c r="H181" s="11" t="s">
        <v>1058</v>
      </c>
      <c r="I181" s="3" t="s">
        <v>1673</v>
      </c>
      <c r="J181" s="3" t="s">
        <v>1673</v>
      </c>
      <c r="K181" s="11" t="s">
        <v>1977</v>
      </c>
      <c r="L181" s="4">
        <v>9864275832</v>
      </c>
      <c r="M181" s="4" t="s">
        <v>1059</v>
      </c>
      <c r="N181" s="4">
        <v>9864275832</v>
      </c>
      <c r="O181" s="26" t="s">
        <v>1060</v>
      </c>
      <c r="P181" s="5" t="s">
        <v>60</v>
      </c>
      <c r="Q181" s="1" t="s">
        <v>1061</v>
      </c>
      <c r="R181" s="1"/>
      <c r="S181" s="1" t="s">
        <v>1062</v>
      </c>
      <c r="T181" s="1"/>
      <c r="U181" s="1"/>
      <c r="V181" s="1" t="s">
        <v>93</v>
      </c>
      <c r="W181" s="1"/>
      <c r="X181" s="1" t="s">
        <v>55</v>
      </c>
      <c r="Y181" s="1" t="s">
        <v>56</v>
      </c>
      <c r="Z181" s="3">
        <v>45782</v>
      </c>
      <c r="AA181" s="3">
        <v>45782</v>
      </c>
      <c r="AB181" s="6"/>
      <c r="AC181" s="1"/>
      <c r="AD181" s="4"/>
      <c r="AE181" s="2">
        <v>327999</v>
      </c>
      <c r="AF181" s="3" t="s">
        <v>1058</v>
      </c>
      <c r="AG181" s="7">
        <v>803</v>
      </c>
      <c r="AH181" s="7">
        <v>774</v>
      </c>
      <c r="AI181" s="7">
        <v>825</v>
      </c>
      <c r="AJ181" s="7">
        <v>2402</v>
      </c>
      <c r="AK181" s="7">
        <v>2</v>
      </c>
      <c r="AL181" s="25" t="s">
        <v>57</v>
      </c>
      <c r="AM181" s="25" t="s">
        <v>58</v>
      </c>
      <c r="AN181" s="25" t="s">
        <v>59</v>
      </c>
      <c r="AO181" s="25" t="s">
        <v>95</v>
      </c>
      <c r="AP181" s="19" t="s">
        <v>1977</v>
      </c>
      <c r="AQ181" s="19" t="s">
        <v>1869</v>
      </c>
      <c r="AR181" s="19" t="s">
        <v>60</v>
      </c>
      <c r="AS181" s="19"/>
      <c r="AT181" s="19" t="s">
        <v>2305</v>
      </c>
      <c r="AU181" s="19" t="s">
        <v>2094</v>
      </c>
      <c r="AV181" s="19">
        <v>8287823681</v>
      </c>
      <c r="AW181" s="20">
        <v>46129</v>
      </c>
      <c r="AX181" s="19" t="s">
        <v>1990</v>
      </c>
      <c r="AY181" s="27" t="s">
        <v>768</v>
      </c>
      <c r="AZ181" s="27" t="s">
        <v>767</v>
      </c>
      <c r="BA181" s="19" t="s">
        <v>2735</v>
      </c>
      <c r="BB181" s="19" t="s">
        <v>2736</v>
      </c>
      <c r="BC181" s="19" t="s">
        <v>2737</v>
      </c>
      <c r="BD181" s="75" t="s">
        <v>1058</v>
      </c>
      <c r="BE181" s="100" t="s">
        <v>3705</v>
      </c>
      <c r="BF181" s="100" t="s">
        <v>4169</v>
      </c>
      <c r="BG181" s="100" t="s">
        <v>4170</v>
      </c>
    </row>
    <row r="182" spans="1:59" s="10" customFormat="1" ht="13.5" x14ac:dyDescent="0.25">
      <c r="A182" s="59">
        <v>162</v>
      </c>
      <c r="B182" s="15" t="s">
        <v>60</v>
      </c>
      <c r="C182" s="12">
        <v>317020</v>
      </c>
      <c r="D182" s="11" t="s">
        <v>103</v>
      </c>
      <c r="E182" s="11" t="s">
        <v>968</v>
      </c>
      <c r="F182" s="11" t="s">
        <v>414</v>
      </c>
      <c r="G182" s="13" t="s">
        <v>63</v>
      </c>
      <c r="H182" s="11" t="s">
        <v>1873</v>
      </c>
      <c r="I182" s="3" t="s">
        <v>1963</v>
      </c>
      <c r="J182" s="3" t="s">
        <v>1963</v>
      </c>
      <c r="K182" s="11" t="s">
        <v>1876</v>
      </c>
      <c r="L182" s="4" t="s">
        <v>60</v>
      </c>
      <c r="M182" s="4" t="s">
        <v>60</v>
      </c>
      <c r="N182" s="4" t="s">
        <v>60</v>
      </c>
      <c r="O182" s="4" t="s">
        <v>60</v>
      </c>
      <c r="P182" s="4" t="s">
        <v>60</v>
      </c>
      <c r="Q182" s="4" t="s">
        <v>60</v>
      </c>
      <c r="R182" s="4" t="s">
        <v>60</v>
      </c>
      <c r="S182" s="4" t="s">
        <v>60</v>
      </c>
      <c r="T182" s="4" t="s">
        <v>60</v>
      </c>
      <c r="U182" s="4" t="s">
        <v>60</v>
      </c>
      <c r="V182" s="4" t="s">
        <v>60</v>
      </c>
      <c r="W182" s="4" t="s">
        <v>60</v>
      </c>
      <c r="X182" s="4" t="s">
        <v>60</v>
      </c>
      <c r="Y182" s="4" t="s">
        <v>60</v>
      </c>
      <c r="Z182" s="4" t="s">
        <v>60</v>
      </c>
      <c r="AA182" s="4" t="s">
        <v>60</v>
      </c>
      <c r="AB182" s="4" t="s">
        <v>60</v>
      </c>
      <c r="AC182" s="4" t="s">
        <v>60</v>
      </c>
      <c r="AD182" s="4" t="s">
        <v>60</v>
      </c>
      <c r="AE182" s="2">
        <v>317020</v>
      </c>
      <c r="AF182" s="2" t="s">
        <v>1873</v>
      </c>
      <c r="AG182" s="7" t="s">
        <v>60</v>
      </c>
      <c r="AH182" s="7" t="s">
        <v>60</v>
      </c>
      <c r="AI182" s="7" t="s">
        <v>60</v>
      </c>
      <c r="AJ182" s="7" t="s">
        <v>60</v>
      </c>
      <c r="AK182" s="7"/>
      <c r="AL182" s="25" t="s">
        <v>70</v>
      </c>
      <c r="AM182" s="25" t="s">
        <v>58</v>
      </c>
      <c r="AN182" s="25" t="s">
        <v>59</v>
      </c>
      <c r="AO182" s="25" t="e">
        <v>#N/A</v>
      </c>
      <c r="AP182" s="19" t="s">
        <v>1876</v>
      </c>
      <c r="AQ182" s="19" t="s">
        <v>1869</v>
      </c>
      <c r="AR182" s="19" t="s">
        <v>60</v>
      </c>
      <c r="AS182" s="19"/>
      <c r="AT182" s="19" t="s">
        <v>1963</v>
      </c>
      <c r="AU182" s="19" t="s">
        <v>2091</v>
      </c>
      <c r="AV182" s="19">
        <v>9354241930</v>
      </c>
      <c r="AW182" s="20">
        <v>46134</v>
      </c>
      <c r="AX182" s="19" t="s">
        <v>1990</v>
      </c>
      <c r="AY182" s="27" t="s">
        <v>414</v>
      </c>
      <c r="AZ182" s="27" t="s">
        <v>968</v>
      </c>
      <c r="BA182" s="19" t="s">
        <v>60</v>
      </c>
      <c r="BB182" s="19" t="s">
        <v>2445</v>
      </c>
      <c r="BC182" s="19" t="s">
        <v>427</v>
      </c>
      <c r="BD182" s="75" t="s">
        <v>1873</v>
      </c>
      <c r="BE182" s="100" t="s">
        <v>3840</v>
      </c>
      <c r="BF182" s="100" t="s">
        <v>4177</v>
      </c>
      <c r="BG182" s="100" t="s">
        <v>4178</v>
      </c>
    </row>
    <row r="183" spans="1:59" s="10" customFormat="1" ht="13.5" x14ac:dyDescent="0.25">
      <c r="A183" s="59">
        <v>176</v>
      </c>
      <c r="B183" s="15" t="s">
        <v>60</v>
      </c>
      <c r="C183" s="12">
        <v>307009</v>
      </c>
      <c r="D183" s="11" t="s">
        <v>103</v>
      </c>
      <c r="E183" s="11" t="s">
        <v>968</v>
      </c>
      <c r="F183" s="11" t="s">
        <v>414</v>
      </c>
      <c r="G183" s="13" t="s">
        <v>63</v>
      </c>
      <c r="H183" s="11" t="s">
        <v>1726</v>
      </c>
      <c r="I183" s="3" t="s">
        <v>1660</v>
      </c>
      <c r="J183" s="3" t="s">
        <v>1660</v>
      </c>
      <c r="K183" s="11" t="s">
        <v>1811</v>
      </c>
      <c r="L183" s="4">
        <v>9801073150</v>
      </c>
      <c r="M183" s="4">
        <v>9801073150</v>
      </c>
      <c r="N183" s="4">
        <v>9801073150</v>
      </c>
      <c r="O183" s="26" t="s">
        <v>970</v>
      </c>
      <c r="P183" s="5" t="s">
        <v>60</v>
      </c>
      <c r="Q183" s="1" t="s">
        <v>971</v>
      </c>
      <c r="R183" s="1"/>
      <c r="S183" s="1" t="s">
        <v>972</v>
      </c>
      <c r="T183" s="1"/>
      <c r="U183" s="1"/>
      <c r="V183" s="1" t="s">
        <v>93</v>
      </c>
      <c r="W183" s="1"/>
      <c r="X183" s="1" t="s">
        <v>55</v>
      </c>
      <c r="Y183" s="1" t="s">
        <v>56</v>
      </c>
      <c r="Z183" s="3">
        <v>45665</v>
      </c>
      <c r="AA183" s="3">
        <v>45665</v>
      </c>
      <c r="AB183" s="6"/>
      <c r="AC183" s="1"/>
      <c r="AD183" s="4" t="s">
        <v>587</v>
      </c>
      <c r="AE183" s="2">
        <v>307009</v>
      </c>
      <c r="AF183" s="3" t="s">
        <v>969</v>
      </c>
      <c r="AG183" s="7" t="s">
        <v>60</v>
      </c>
      <c r="AH183" s="7" t="s">
        <v>60</v>
      </c>
      <c r="AI183" s="7" t="s">
        <v>60</v>
      </c>
      <c r="AJ183" s="7" t="s">
        <v>60</v>
      </c>
      <c r="AK183" s="7">
        <v>2</v>
      </c>
      <c r="AL183" s="25" t="s">
        <v>70</v>
      </c>
      <c r="AM183" s="25" t="s">
        <v>58</v>
      </c>
      <c r="AN183" s="25" t="s">
        <v>59</v>
      </c>
      <c r="AO183" s="25" t="e">
        <v>#N/A</v>
      </c>
      <c r="AP183" s="19" t="s">
        <v>1811</v>
      </c>
      <c r="AQ183" s="19" t="s">
        <v>1869</v>
      </c>
      <c r="AR183" s="19" t="s">
        <v>60</v>
      </c>
      <c r="AS183" s="19"/>
      <c r="AT183" s="19" t="s">
        <v>2062</v>
      </c>
      <c r="AU183" s="19" t="s">
        <v>2091</v>
      </c>
      <c r="AV183" s="19">
        <v>9354241930</v>
      </c>
      <c r="AW183" s="20">
        <v>46135</v>
      </c>
      <c r="AX183" s="19" t="s">
        <v>1990</v>
      </c>
      <c r="AY183" s="27" t="s">
        <v>414</v>
      </c>
      <c r="AZ183" s="27" t="s">
        <v>968</v>
      </c>
      <c r="BA183" s="19" t="s">
        <v>60</v>
      </c>
      <c r="BB183" s="19" t="s">
        <v>2555</v>
      </c>
      <c r="BC183" s="19" t="s">
        <v>322</v>
      </c>
      <c r="BD183" s="75" t="s">
        <v>1726</v>
      </c>
      <c r="BE183" s="100" t="s">
        <v>3854</v>
      </c>
      <c r="BF183" s="100" t="s">
        <v>4204</v>
      </c>
      <c r="BG183" s="100" t="s">
        <v>4205</v>
      </c>
    </row>
    <row r="184" spans="1:59" s="10" customFormat="1" ht="13.5" x14ac:dyDescent="0.25">
      <c r="A184" s="59">
        <v>173</v>
      </c>
      <c r="B184" s="15" t="s">
        <v>1164</v>
      </c>
      <c r="C184" s="12">
        <v>54054</v>
      </c>
      <c r="D184" s="11" t="s">
        <v>40</v>
      </c>
      <c r="E184" s="11" t="s">
        <v>199</v>
      </c>
      <c r="F184" s="11" t="s">
        <v>214</v>
      </c>
      <c r="G184" s="13" t="s">
        <v>63</v>
      </c>
      <c r="H184" s="11" t="s">
        <v>1165</v>
      </c>
      <c r="I184" s="3" t="s">
        <v>1166</v>
      </c>
      <c r="J184" s="3" t="s">
        <v>1166</v>
      </c>
      <c r="K184" s="11" t="s">
        <v>1167</v>
      </c>
      <c r="L184" s="4" t="s">
        <v>1168</v>
      </c>
      <c r="M184" s="4" t="s">
        <v>1169</v>
      </c>
      <c r="N184" s="4" t="s">
        <v>1168</v>
      </c>
      <c r="O184" s="26" t="s">
        <v>1170</v>
      </c>
      <c r="P184" s="5" t="s">
        <v>60</v>
      </c>
      <c r="Q184" s="1" t="s">
        <v>1171</v>
      </c>
      <c r="R184" s="1"/>
      <c r="S184" s="1" t="s">
        <v>1172</v>
      </c>
      <c r="T184" s="1"/>
      <c r="U184" s="1"/>
      <c r="V184" s="1" t="s">
        <v>77</v>
      </c>
      <c r="W184" s="1"/>
      <c r="X184" s="1" t="s">
        <v>55</v>
      </c>
      <c r="Y184" s="1" t="s">
        <v>56</v>
      </c>
      <c r="Z184" s="3">
        <v>43321</v>
      </c>
      <c r="AA184" s="3">
        <v>43304</v>
      </c>
      <c r="AB184" s="6"/>
      <c r="AC184" s="1"/>
      <c r="AD184" s="4"/>
      <c r="AE184" s="2">
        <v>54054</v>
      </c>
      <c r="AF184" s="3" t="s">
        <v>1165</v>
      </c>
      <c r="AG184" s="7" t="s">
        <v>60</v>
      </c>
      <c r="AH184" s="7" t="s">
        <v>60</v>
      </c>
      <c r="AI184" s="7" t="s">
        <v>60</v>
      </c>
      <c r="AJ184" s="7" t="s">
        <v>60</v>
      </c>
      <c r="AK184" s="7">
        <v>2</v>
      </c>
      <c r="AL184" s="25" t="s">
        <v>70</v>
      </c>
      <c r="AM184" s="25" t="s">
        <v>58</v>
      </c>
      <c r="AN184" s="25" t="s">
        <v>59</v>
      </c>
      <c r="AO184" s="25" t="e">
        <v>#N/A</v>
      </c>
      <c r="AP184" s="19" t="s">
        <v>1167</v>
      </c>
      <c r="AQ184" s="19" t="s">
        <v>1869</v>
      </c>
      <c r="AR184" s="19" t="s">
        <v>60</v>
      </c>
      <c r="AS184" s="19"/>
      <c r="AT184" s="19" t="s">
        <v>2312</v>
      </c>
      <c r="AU184" s="19" t="s">
        <v>2096</v>
      </c>
      <c r="AV184" s="19">
        <v>7688959606</v>
      </c>
      <c r="AW184" s="20">
        <v>46126</v>
      </c>
      <c r="AX184" s="19" t="s">
        <v>1990</v>
      </c>
      <c r="AY184" s="27" t="s">
        <v>214</v>
      </c>
      <c r="AZ184" s="27" t="s">
        <v>199</v>
      </c>
      <c r="BA184" s="19" t="s">
        <v>60</v>
      </c>
      <c r="BB184" s="19" t="s">
        <v>2550</v>
      </c>
      <c r="BC184" s="19" t="s">
        <v>1042</v>
      </c>
      <c r="BD184" s="75" t="s">
        <v>1165</v>
      </c>
      <c r="BE184" s="100" t="s">
        <v>3851</v>
      </c>
      <c r="BF184" s="100" t="s">
        <v>4198</v>
      </c>
      <c r="BG184" s="100" t="s">
        <v>4199</v>
      </c>
    </row>
    <row r="185" spans="1:59" s="10" customFormat="1" ht="13.5" x14ac:dyDescent="0.25">
      <c r="A185" s="59">
        <v>52</v>
      </c>
      <c r="B185" s="15" t="s">
        <v>39</v>
      </c>
      <c r="C185" s="12">
        <v>54010</v>
      </c>
      <c r="D185" s="11" t="s">
        <v>40</v>
      </c>
      <c r="E185" s="11" t="s">
        <v>41</v>
      </c>
      <c r="F185" s="11" t="s">
        <v>42</v>
      </c>
      <c r="G185" s="13" t="s">
        <v>43</v>
      </c>
      <c r="H185" s="11" t="s">
        <v>44</v>
      </c>
      <c r="I185" s="3" t="s">
        <v>45</v>
      </c>
      <c r="J185" s="3" t="s">
        <v>45</v>
      </c>
      <c r="K185" s="11" t="s">
        <v>46</v>
      </c>
      <c r="L185" s="4" t="s">
        <v>47</v>
      </c>
      <c r="M185" s="4" t="s">
        <v>48</v>
      </c>
      <c r="N185" s="4" t="s">
        <v>49</v>
      </c>
      <c r="O185" s="26" t="s">
        <v>50</v>
      </c>
      <c r="P185" s="5" t="s">
        <v>60</v>
      </c>
      <c r="Q185" s="1" t="s">
        <v>51</v>
      </c>
      <c r="R185" s="1" t="s">
        <v>52</v>
      </c>
      <c r="S185" s="1" t="s">
        <v>53</v>
      </c>
      <c r="T185" s="1"/>
      <c r="U185" s="1"/>
      <c r="V185" s="1" t="s">
        <v>54</v>
      </c>
      <c r="W185" s="1"/>
      <c r="X185" s="1" t="s">
        <v>55</v>
      </c>
      <c r="Y185" s="1" t="s">
        <v>56</v>
      </c>
      <c r="Z185" s="3">
        <v>41726</v>
      </c>
      <c r="AA185" s="3">
        <v>41724</v>
      </c>
      <c r="AB185" s="6"/>
      <c r="AC185" s="1"/>
      <c r="AD185" s="4"/>
      <c r="AE185" s="2">
        <v>54010</v>
      </c>
      <c r="AF185" s="3" t="s">
        <v>44</v>
      </c>
      <c r="AG185" s="7">
        <v>904</v>
      </c>
      <c r="AH185" s="7">
        <v>937</v>
      </c>
      <c r="AI185" s="7">
        <v>891</v>
      </c>
      <c r="AJ185" s="7">
        <v>2732</v>
      </c>
      <c r="AK185" s="7">
        <v>2</v>
      </c>
      <c r="AL185" s="25" t="s">
        <v>57</v>
      </c>
      <c r="AM185" s="25" t="s">
        <v>58</v>
      </c>
      <c r="AN185" s="25" t="s">
        <v>59</v>
      </c>
      <c r="AO185" s="25" t="s">
        <v>60</v>
      </c>
      <c r="AP185" s="19" t="s">
        <v>46</v>
      </c>
      <c r="AQ185" s="19" t="s">
        <v>1869</v>
      </c>
      <c r="AR185" s="19" t="s">
        <v>60</v>
      </c>
      <c r="AS185" s="19"/>
      <c r="AT185" s="19" t="s">
        <v>1991</v>
      </c>
      <c r="AU185" s="19" t="s">
        <v>2090</v>
      </c>
      <c r="AV185" s="19">
        <v>9354183359</v>
      </c>
      <c r="AW185" s="20">
        <v>46132</v>
      </c>
      <c r="AX185" s="19" t="s">
        <v>1990</v>
      </c>
      <c r="AY185" s="27" t="s">
        <v>42</v>
      </c>
      <c r="AZ185" s="27" t="s">
        <v>41</v>
      </c>
      <c r="BA185" s="19" t="s">
        <v>2407</v>
      </c>
      <c r="BB185" s="19" t="s">
        <v>2408</v>
      </c>
      <c r="BC185" s="19" t="s">
        <v>2801</v>
      </c>
      <c r="BD185" s="75" t="s">
        <v>44</v>
      </c>
      <c r="BE185" s="100" t="s">
        <v>3744</v>
      </c>
      <c r="BF185" s="100" t="s">
        <v>4174</v>
      </c>
      <c r="BG185" s="100" t="s">
        <v>4175</v>
      </c>
    </row>
    <row r="186" spans="1:59" s="10" customFormat="1" ht="13.5" x14ac:dyDescent="0.25">
      <c r="A186" s="59">
        <v>307</v>
      </c>
      <c r="B186" s="15" t="s">
        <v>60</v>
      </c>
      <c r="C186" s="12" t="s">
        <v>60</v>
      </c>
      <c r="D186" s="11" t="s">
        <v>103</v>
      </c>
      <c r="E186" s="11" t="s">
        <v>104</v>
      </c>
      <c r="F186" s="11" t="s">
        <v>1562</v>
      </c>
      <c r="G186" s="13" t="s">
        <v>1417</v>
      </c>
      <c r="H186" s="11" t="s">
        <v>1305</v>
      </c>
      <c r="I186" s="3" t="s">
        <v>60</v>
      </c>
      <c r="J186" s="3" t="s">
        <v>60</v>
      </c>
      <c r="K186" s="11" t="s">
        <v>1438</v>
      </c>
      <c r="L186" s="4" t="s">
        <v>60</v>
      </c>
      <c r="M186" s="4" t="s">
        <v>60</v>
      </c>
      <c r="N186" s="4" t="s">
        <v>60</v>
      </c>
      <c r="O186" s="4" t="s">
        <v>60</v>
      </c>
      <c r="P186" s="4" t="s">
        <v>60</v>
      </c>
      <c r="Q186" s="4" t="s">
        <v>60</v>
      </c>
      <c r="R186" s="4" t="s">
        <v>60</v>
      </c>
      <c r="S186" s="4" t="s">
        <v>60</v>
      </c>
      <c r="T186" s="4" t="s">
        <v>60</v>
      </c>
      <c r="U186" s="4" t="s">
        <v>60</v>
      </c>
      <c r="V186" s="4" t="s">
        <v>60</v>
      </c>
      <c r="W186" s="4" t="s">
        <v>60</v>
      </c>
      <c r="X186" s="4" t="s">
        <v>60</v>
      </c>
      <c r="Y186" s="4" t="s">
        <v>60</v>
      </c>
      <c r="Z186" s="4" t="s">
        <v>60</v>
      </c>
      <c r="AA186" s="4" t="s">
        <v>60</v>
      </c>
      <c r="AB186" s="4" t="s">
        <v>60</v>
      </c>
      <c r="AC186" s="4" t="s">
        <v>60</v>
      </c>
      <c r="AD186" s="4" t="s">
        <v>60</v>
      </c>
      <c r="AE186" s="2" t="s">
        <v>60</v>
      </c>
      <c r="AF186" s="3" t="s">
        <v>1305</v>
      </c>
      <c r="AG186" s="7" t="s">
        <v>60</v>
      </c>
      <c r="AH186" s="7" t="s">
        <v>60</v>
      </c>
      <c r="AI186" s="7" t="s">
        <v>60</v>
      </c>
      <c r="AJ186" s="7" t="s">
        <v>60</v>
      </c>
      <c r="AK186" s="7" t="s">
        <v>60</v>
      </c>
      <c r="AL186" s="25" t="s">
        <v>1904</v>
      </c>
      <c r="AM186" s="25" t="s">
        <v>58</v>
      </c>
      <c r="AN186" s="25" t="s">
        <v>59</v>
      </c>
      <c r="AO186" s="25" t="s">
        <v>60</v>
      </c>
      <c r="AP186" s="19" t="s">
        <v>1438</v>
      </c>
      <c r="AQ186" s="19" t="s">
        <v>1869</v>
      </c>
      <c r="AR186" s="19" t="s">
        <v>60</v>
      </c>
      <c r="AS186" s="19" t="s">
        <v>2360</v>
      </c>
      <c r="AT186" s="19" t="s">
        <v>2325</v>
      </c>
      <c r="AU186" s="19" t="s">
        <v>2124</v>
      </c>
      <c r="AV186" s="19">
        <v>9999934588</v>
      </c>
      <c r="AW186" s="20">
        <v>46121</v>
      </c>
      <c r="AX186" s="19" t="s">
        <v>1990</v>
      </c>
      <c r="AY186" s="27" t="s">
        <v>1562</v>
      </c>
      <c r="AZ186" s="27" t="s">
        <v>104</v>
      </c>
      <c r="BA186" s="19" t="s">
        <v>60</v>
      </c>
      <c r="BB186" s="19" t="s">
        <v>2668</v>
      </c>
      <c r="BC186" s="19" t="s">
        <v>427</v>
      </c>
      <c r="BD186" s="75" t="s">
        <v>1305</v>
      </c>
      <c r="BE186" s="100" t="s">
        <v>3984</v>
      </c>
      <c r="BF186" s="100" t="s">
        <v>4227</v>
      </c>
      <c r="BG186" s="100"/>
    </row>
    <row r="187" spans="1:59" s="10" customFormat="1" ht="13.5" x14ac:dyDescent="0.25">
      <c r="A187" s="59">
        <v>207</v>
      </c>
      <c r="B187" s="15" t="s">
        <v>60</v>
      </c>
      <c r="C187" s="12" t="s">
        <v>60</v>
      </c>
      <c r="D187" s="11" t="s">
        <v>40</v>
      </c>
      <c r="E187" s="11" t="s">
        <v>96</v>
      </c>
      <c r="F187" s="11" t="s">
        <v>1593</v>
      </c>
      <c r="G187" s="13" t="s">
        <v>1417</v>
      </c>
      <c r="H187" s="11" t="s">
        <v>1363</v>
      </c>
      <c r="I187" s="3" t="s">
        <v>60</v>
      </c>
      <c r="J187" s="3" t="s">
        <v>60</v>
      </c>
      <c r="K187" s="11" t="s">
        <v>1496</v>
      </c>
      <c r="L187" s="4" t="s">
        <v>60</v>
      </c>
      <c r="M187" s="4" t="s">
        <v>60</v>
      </c>
      <c r="N187" s="4" t="s">
        <v>60</v>
      </c>
      <c r="O187" s="4" t="s">
        <v>60</v>
      </c>
      <c r="P187" s="4" t="s">
        <v>60</v>
      </c>
      <c r="Q187" s="4" t="s">
        <v>60</v>
      </c>
      <c r="R187" s="4" t="s">
        <v>60</v>
      </c>
      <c r="S187" s="4" t="s">
        <v>60</v>
      </c>
      <c r="T187" s="4" t="s">
        <v>60</v>
      </c>
      <c r="U187" s="4" t="s">
        <v>60</v>
      </c>
      <c r="V187" s="4" t="s">
        <v>60</v>
      </c>
      <c r="W187" s="4" t="s">
        <v>60</v>
      </c>
      <c r="X187" s="4" t="s">
        <v>60</v>
      </c>
      <c r="Y187" s="4" t="s">
        <v>60</v>
      </c>
      <c r="Z187" s="4" t="s">
        <v>60</v>
      </c>
      <c r="AA187" s="4" t="s">
        <v>60</v>
      </c>
      <c r="AB187" s="4" t="s">
        <v>60</v>
      </c>
      <c r="AC187" s="4" t="s">
        <v>60</v>
      </c>
      <c r="AD187" s="4" t="s">
        <v>60</v>
      </c>
      <c r="AE187" s="2" t="s">
        <v>60</v>
      </c>
      <c r="AF187" s="3" t="s">
        <v>1363</v>
      </c>
      <c r="AG187" s="7" t="s">
        <v>60</v>
      </c>
      <c r="AH187" s="7" t="s">
        <v>60</v>
      </c>
      <c r="AI187" s="7" t="s">
        <v>60</v>
      </c>
      <c r="AJ187" s="7" t="s">
        <v>60</v>
      </c>
      <c r="AK187" s="7" t="s">
        <v>60</v>
      </c>
      <c r="AL187" s="25" t="s">
        <v>1904</v>
      </c>
      <c r="AM187" s="25" t="s">
        <v>58</v>
      </c>
      <c r="AN187" s="25" t="s">
        <v>59</v>
      </c>
      <c r="AO187" s="25" t="s">
        <v>60</v>
      </c>
      <c r="AP187" s="19" t="s">
        <v>1496</v>
      </c>
      <c r="AQ187" s="19" t="s">
        <v>1869</v>
      </c>
      <c r="AR187" s="19" t="s">
        <v>60</v>
      </c>
      <c r="AS187" s="19" t="s">
        <v>2359</v>
      </c>
      <c r="AT187" s="19" t="s">
        <v>917</v>
      </c>
      <c r="AU187" s="19" t="s">
        <v>2141</v>
      </c>
      <c r="AV187" s="19">
        <v>9999934588</v>
      </c>
      <c r="AW187" s="20">
        <v>46121</v>
      </c>
      <c r="AX187" s="19" t="s">
        <v>1990</v>
      </c>
      <c r="AY187" s="27" t="s">
        <v>1593</v>
      </c>
      <c r="AZ187" s="27" t="s">
        <v>96</v>
      </c>
      <c r="BA187" s="19" t="s">
        <v>60</v>
      </c>
      <c r="BB187" s="19" t="s">
        <v>2601</v>
      </c>
      <c r="BC187" s="19" t="s">
        <v>2592</v>
      </c>
      <c r="BD187" s="75" t="s">
        <v>1363</v>
      </c>
      <c r="BE187" s="100" t="s">
        <v>3884</v>
      </c>
      <c r="BF187" s="100" t="s">
        <v>4228</v>
      </c>
      <c r="BG187" s="100"/>
    </row>
    <row r="188" spans="1:59" s="10" customFormat="1" ht="13.5" x14ac:dyDescent="0.25">
      <c r="A188" s="59">
        <v>242</v>
      </c>
      <c r="B188" s="15" t="s">
        <v>60</v>
      </c>
      <c r="C188" s="12" t="s">
        <v>60</v>
      </c>
      <c r="D188" s="11" t="s">
        <v>40</v>
      </c>
      <c r="E188" s="11" t="s">
        <v>199</v>
      </c>
      <c r="F188" s="11" t="s">
        <v>1552</v>
      </c>
      <c r="G188" s="13" t="s">
        <v>1417</v>
      </c>
      <c r="H188" s="11" t="s">
        <v>1293</v>
      </c>
      <c r="I188" s="3" t="s">
        <v>60</v>
      </c>
      <c r="J188" s="3" t="s">
        <v>60</v>
      </c>
      <c r="K188" s="11" t="s">
        <v>1426</v>
      </c>
      <c r="L188" s="4" t="s">
        <v>60</v>
      </c>
      <c r="M188" s="4" t="s">
        <v>60</v>
      </c>
      <c r="N188" s="4" t="s">
        <v>60</v>
      </c>
      <c r="O188" s="4" t="s">
        <v>60</v>
      </c>
      <c r="P188" s="4" t="s">
        <v>60</v>
      </c>
      <c r="Q188" s="4" t="s">
        <v>60</v>
      </c>
      <c r="R188" s="4" t="s">
        <v>60</v>
      </c>
      <c r="S188" s="4" t="s">
        <v>60</v>
      </c>
      <c r="T188" s="4" t="s">
        <v>60</v>
      </c>
      <c r="U188" s="4" t="s">
        <v>60</v>
      </c>
      <c r="V188" s="4" t="s">
        <v>60</v>
      </c>
      <c r="W188" s="4" t="s">
        <v>60</v>
      </c>
      <c r="X188" s="4" t="s">
        <v>60</v>
      </c>
      <c r="Y188" s="4" t="s">
        <v>60</v>
      </c>
      <c r="Z188" s="4" t="s">
        <v>60</v>
      </c>
      <c r="AA188" s="4" t="s">
        <v>60</v>
      </c>
      <c r="AB188" s="4" t="s">
        <v>60</v>
      </c>
      <c r="AC188" s="4" t="s">
        <v>60</v>
      </c>
      <c r="AD188" s="4" t="s">
        <v>60</v>
      </c>
      <c r="AE188" s="2" t="s">
        <v>60</v>
      </c>
      <c r="AF188" s="3" t="s">
        <v>1293</v>
      </c>
      <c r="AG188" s="7" t="s">
        <v>60</v>
      </c>
      <c r="AH188" s="7" t="s">
        <v>60</v>
      </c>
      <c r="AI188" s="7" t="s">
        <v>60</v>
      </c>
      <c r="AJ188" s="7" t="s">
        <v>60</v>
      </c>
      <c r="AK188" s="7" t="s">
        <v>60</v>
      </c>
      <c r="AL188" s="25" t="s">
        <v>1904</v>
      </c>
      <c r="AM188" s="25" t="s">
        <v>58</v>
      </c>
      <c r="AN188" s="25" t="s">
        <v>59</v>
      </c>
      <c r="AO188" s="25" t="s">
        <v>60</v>
      </c>
      <c r="AP188" s="19" t="s">
        <v>1426</v>
      </c>
      <c r="AQ188" s="19" t="s">
        <v>1869</v>
      </c>
      <c r="AR188" s="19" t="s">
        <v>60</v>
      </c>
      <c r="AS188" s="19" t="s">
        <v>2360</v>
      </c>
      <c r="AT188" s="19" t="s">
        <v>2322</v>
      </c>
      <c r="AU188" s="19" t="s">
        <v>2349</v>
      </c>
      <c r="AV188" s="19">
        <v>9999934588</v>
      </c>
      <c r="AW188" s="20">
        <v>46120</v>
      </c>
      <c r="AX188" s="19" t="s">
        <v>1990</v>
      </c>
      <c r="AY188" s="27" t="s">
        <v>1552</v>
      </c>
      <c r="AZ188" s="27" t="s">
        <v>199</v>
      </c>
      <c r="BA188" s="19" t="s">
        <v>60</v>
      </c>
      <c r="BB188" s="19" t="s">
        <v>60</v>
      </c>
      <c r="BC188" s="19" t="s">
        <v>538</v>
      </c>
      <c r="BD188" s="75" t="s">
        <v>1293</v>
      </c>
      <c r="BE188" s="100" t="s">
        <v>3919</v>
      </c>
      <c r="BF188" s="100" t="s">
        <v>4229</v>
      </c>
      <c r="BG188" s="100"/>
    </row>
    <row r="189" spans="1:59" s="10" customFormat="1" ht="13.5" x14ac:dyDescent="0.25">
      <c r="A189" s="59">
        <v>316</v>
      </c>
      <c r="B189" s="15" t="s">
        <v>60</v>
      </c>
      <c r="C189" s="12" t="s">
        <v>60</v>
      </c>
      <c r="D189" s="11" t="s">
        <v>103</v>
      </c>
      <c r="E189" s="11" t="s">
        <v>104</v>
      </c>
      <c r="F189" s="11" t="s">
        <v>1614</v>
      </c>
      <c r="G189" s="13" t="s">
        <v>1417</v>
      </c>
      <c r="H189" s="11" t="s">
        <v>1407</v>
      </c>
      <c r="I189" s="3" t="s">
        <v>60</v>
      </c>
      <c r="J189" s="3" t="s">
        <v>60</v>
      </c>
      <c r="K189" s="11" t="s">
        <v>1541</v>
      </c>
      <c r="L189" s="4" t="s">
        <v>60</v>
      </c>
      <c r="M189" s="4" t="s">
        <v>60</v>
      </c>
      <c r="N189" s="4" t="s">
        <v>60</v>
      </c>
      <c r="O189" s="4" t="s">
        <v>60</v>
      </c>
      <c r="P189" s="4" t="s">
        <v>60</v>
      </c>
      <c r="Q189" s="4" t="s">
        <v>60</v>
      </c>
      <c r="R189" s="4" t="s">
        <v>60</v>
      </c>
      <c r="S189" s="4" t="s">
        <v>60</v>
      </c>
      <c r="T189" s="4" t="s">
        <v>60</v>
      </c>
      <c r="U189" s="4" t="s">
        <v>60</v>
      </c>
      <c r="V189" s="4" t="s">
        <v>60</v>
      </c>
      <c r="W189" s="4" t="s">
        <v>60</v>
      </c>
      <c r="X189" s="4" t="s">
        <v>60</v>
      </c>
      <c r="Y189" s="4" t="s">
        <v>60</v>
      </c>
      <c r="Z189" s="4" t="s">
        <v>60</v>
      </c>
      <c r="AA189" s="4" t="s">
        <v>60</v>
      </c>
      <c r="AB189" s="4" t="s">
        <v>60</v>
      </c>
      <c r="AC189" s="4" t="s">
        <v>60</v>
      </c>
      <c r="AD189" s="4" t="s">
        <v>60</v>
      </c>
      <c r="AE189" s="2" t="s">
        <v>60</v>
      </c>
      <c r="AF189" s="3" t="s">
        <v>1407</v>
      </c>
      <c r="AG189" s="7" t="s">
        <v>60</v>
      </c>
      <c r="AH189" s="7" t="s">
        <v>60</v>
      </c>
      <c r="AI189" s="7" t="s">
        <v>60</v>
      </c>
      <c r="AJ189" s="7" t="s">
        <v>60</v>
      </c>
      <c r="AK189" s="7" t="s">
        <v>60</v>
      </c>
      <c r="AL189" s="25" t="s">
        <v>1904</v>
      </c>
      <c r="AM189" s="25" t="s">
        <v>58</v>
      </c>
      <c r="AN189" s="25" t="s">
        <v>59</v>
      </c>
      <c r="AO189" s="25" t="s">
        <v>60</v>
      </c>
      <c r="AP189" s="19" t="s">
        <v>1541</v>
      </c>
      <c r="AQ189" s="19" t="s">
        <v>1869</v>
      </c>
      <c r="AR189" s="19" t="s">
        <v>60</v>
      </c>
      <c r="AS189" s="19" t="s">
        <v>2360</v>
      </c>
      <c r="AT189" s="19" t="s">
        <v>2258</v>
      </c>
      <c r="AU189" s="19" t="s">
        <v>2149</v>
      </c>
      <c r="AV189" s="19">
        <v>9999934588</v>
      </c>
      <c r="AW189" s="20">
        <v>46127</v>
      </c>
      <c r="AX189" s="19" t="s">
        <v>1990</v>
      </c>
      <c r="AY189" s="27" t="s">
        <v>1614</v>
      </c>
      <c r="AZ189" s="27" t="s">
        <v>104</v>
      </c>
      <c r="BA189" s="19" t="s">
        <v>60</v>
      </c>
      <c r="BB189" s="19" t="s">
        <v>2569</v>
      </c>
      <c r="BC189" s="19" t="s">
        <v>2568</v>
      </c>
      <c r="BD189" s="75" t="s">
        <v>1407</v>
      </c>
      <c r="BE189" s="100" t="s">
        <v>3993</v>
      </c>
      <c r="BF189" s="100" t="s">
        <v>4230</v>
      </c>
      <c r="BG189" s="100"/>
    </row>
    <row r="190" spans="1:59" s="10" customFormat="1" ht="13.5" x14ac:dyDescent="0.25">
      <c r="A190" s="59">
        <v>237</v>
      </c>
      <c r="B190" s="15" t="s">
        <v>60</v>
      </c>
      <c r="C190" s="12" t="s">
        <v>60</v>
      </c>
      <c r="D190" s="11" t="s">
        <v>40</v>
      </c>
      <c r="E190" s="11" t="s">
        <v>41</v>
      </c>
      <c r="F190" s="11" t="s">
        <v>1609</v>
      </c>
      <c r="G190" s="13" t="s">
        <v>1417</v>
      </c>
      <c r="H190" s="11" t="s">
        <v>1395</v>
      </c>
      <c r="I190" s="3" t="s">
        <v>60</v>
      </c>
      <c r="J190" s="3" t="s">
        <v>60</v>
      </c>
      <c r="K190" s="11" t="s">
        <v>1529</v>
      </c>
      <c r="L190" s="4" t="s">
        <v>60</v>
      </c>
      <c r="M190" s="4" t="s">
        <v>60</v>
      </c>
      <c r="N190" s="4" t="s">
        <v>60</v>
      </c>
      <c r="O190" s="4" t="s">
        <v>60</v>
      </c>
      <c r="P190" s="4" t="s">
        <v>60</v>
      </c>
      <c r="Q190" s="4" t="s">
        <v>60</v>
      </c>
      <c r="R190" s="4" t="s">
        <v>60</v>
      </c>
      <c r="S190" s="4" t="s">
        <v>60</v>
      </c>
      <c r="T190" s="4" t="s">
        <v>60</v>
      </c>
      <c r="U190" s="4" t="s">
        <v>60</v>
      </c>
      <c r="V190" s="4" t="s">
        <v>60</v>
      </c>
      <c r="W190" s="4" t="s">
        <v>60</v>
      </c>
      <c r="X190" s="4" t="s">
        <v>60</v>
      </c>
      <c r="Y190" s="4" t="s">
        <v>60</v>
      </c>
      <c r="Z190" s="4" t="s">
        <v>60</v>
      </c>
      <c r="AA190" s="4" t="s">
        <v>60</v>
      </c>
      <c r="AB190" s="4" t="s">
        <v>60</v>
      </c>
      <c r="AC190" s="4" t="s">
        <v>60</v>
      </c>
      <c r="AD190" s="4" t="s">
        <v>60</v>
      </c>
      <c r="AE190" s="2" t="s">
        <v>60</v>
      </c>
      <c r="AF190" s="3" t="s">
        <v>1395</v>
      </c>
      <c r="AG190" s="7" t="s">
        <v>60</v>
      </c>
      <c r="AH190" s="7" t="s">
        <v>60</v>
      </c>
      <c r="AI190" s="7" t="s">
        <v>60</v>
      </c>
      <c r="AJ190" s="7" t="s">
        <v>60</v>
      </c>
      <c r="AK190" s="7" t="s">
        <v>60</v>
      </c>
      <c r="AL190" s="25" t="s">
        <v>1904</v>
      </c>
      <c r="AM190" s="25" t="s">
        <v>58</v>
      </c>
      <c r="AN190" s="25" t="s">
        <v>59</v>
      </c>
      <c r="AO190" s="25" t="s">
        <v>60</v>
      </c>
      <c r="AP190" s="19" t="s">
        <v>1529</v>
      </c>
      <c r="AQ190" s="19" t="s">
        <v>1869</v>
      </c>
      <c r="AR190" s="19" t="s">
        <v>60</v>
      </c>
      <c r="AS190" s="19" t="s">
        <v>2360</v>
      </c>
      <c r="AT190" s="19" t="s">
        <v>2240</v>
      </c>
      <c r="AU190" s="19" t="s">
        <v>2141</v>
      </c>
      <c r="AV190" s="19">
        <v>9999934588</v>
      </c>
      <c r="AW190" s="20">
        <v>46123</v>
      </c>
      <c r="AX190" s="19" t="s">
        <v>1990</v>
      </c>
      <c r="AY190" s="27" t="s">
        <v>1609</v>
      </c>
      <c r="AZ190" s="27" t="s">
        <v>41</v>
      </c>
      <c r="BA190" s="19" t="s">
        <v>60</v>
      </c>
      <c r="BB190" s="19" t="s">
        <v>2621</v>
      </c>
      <c r="BC190" s="19" t="s">
        <v>2364</v>
      </c>
      <c r="BD190" s="75" t="s">
        <v>1395</v>
      </c>
      <c r="BE190" s="100" t="s">
        <v>3914</v>
      </c>
      <c r="BF190" s="100" t="s">
        <v>4231</v>
      </c>
      <c r="BG190" s="100"/>
    </row>
    <row r="191" spans="1:59" s="10" customFormat="1" ht="13.5" x14ac:dyDescent="0.25">
      <c r="A191" s="59">
        <v>309</v>
      </c>
      <c r="B191" s="15" t="s">
        <v>60</v>
      </c>
      <c r="C191" s="12" t="s">
        <v>60</v>
      </c>
      <c r="D191" s="11" t="s">
        <v>103</v>
      </c>
      <c r="E191" s="11" t="s">
        <v>104</v>
      </c>
      <c r="F191" s="11" t="s">
        <v>1572</v>
      </c>
      <c r="G191" s="13" t="s">
        <v>1417</v>
      </c>
      <c r="H191" s="11" t="s">
        <v>1321</v>
      </c>
      <c r="I191" s="3" t="s">
        <v>60</v>
      </c>
      <c r="J191" s="3" t="s">
        <v>60</v>
      </c>
      <c r="K191" s="11" t="s">
        <v>1454</v>
      </c>
      <c r="L191" s="4" t="s">
        <v>60</v>
      </c>
      <c r="M191" s="4" t="s">
        <v>60</v>
      </c>
      <c r="N191" s="4" t="s">
        <v>60</v>
      </c>
      <c r="O191" s="4" t="s">
        <v>60</v>
      </c>
      <c r="P191" s="4" t="s">
        <v>60</v>
      </c>
      <c r="Q191" s="4" t="s">
        <v>60</v>
      </c>
      <c r="R191" s="4" t="s">
        <v>60</v>
      </c>
      <c r="S191" s="4" t="s">
        <v>60</v>
      </c>
      <c r="T191" s="4" t="s">
        <v>60</v>
      </c>
      <c r="U191" s="4" t="s">
        <v>60</v>
      </c>
      <c r="V191" s="4" t="s">
        <v>60</v>
      </c>
      <c r="W191" s="4" t="s">
        <v>60</v>
      </c>
      <c r="X191" s="4" t="s">
        <v>60</v>
      </c>
      <c r="Y191" s="4" t="s">
        <v>60</v>
      </c>
      <c r="Z191" s="4" t="s">
        <v>60</v>
      </c>
      <c r="AA191" s="4" t="s">
        <v>60</v>
      </c>
      <c r="AB191" s="4" t="s">
        <v>60</v>
      </c>
      <c r="AC191" s="4" t="s">
        <v>60</v>
      </c>
      <c r="AD191" s="4" t="s">
        <v>60</v>
      </c>
      <c r="AE191" s="2" t="s">
        <v>60</v>
      </c>
      <c r="AF191" s="3" t="s">
        <v>1321</v>
      </c>
      <c r="AG191" s="7" t="s">
        <v>60</v>
      </c>
      <c r="AH191" s="7" t="s">
        <v>60</v>
      </c>
      <c r="AI191" s="7" t="s">
        <v>60</v>
      </c>
      <c r="AJ191" s="7" t="s">
        <v>60</v>
      </c>
      <c r="AK191" s="7" t="s">
        <v>60</v>
      </c>
      <c r="AL191" s="25" t="s">
        <v>1904</v>
      </c>
      <c r="AM191" s="25" t="s">
        <v>58</v>
      </c>
      <c r="AN191" s="25" t="s">
        <v>59</v>
      </c>
      <c r="AO191" s="25" t="s">
        <v>60</v>
      </c>
      <c r="AP191" s="19" t="s">
        <v>1454</v>
      </c>
      <c r="AQ191" s="19" t="s">
        <v>1869</v>
      </c>
      <c r="AR191" s="19" t="s">
        <v>60</v>
      </c>
      <c r="AS191" s="19" t="s">
        <v>2360</v>
      </c>
      <c r="AT191" s="19" t="s">
        <v>2146</v>
      </c>
      <c r="AU191" s="19" t="s">
        <v>2147</v>
      </c>
      <c r="AV191" s="19">
        <v>9999934588</v>
      </c>
      <c r="AW191" s="20">
        <v>46128</v>
      </c>
      <c r="AX191" s="19" t="s">
        <v>1990</v>
      </c>
      <c r="AY191" s="27" t="s">
        <v>1572</v>
      </c>
      <c r="AZ191" s="27" t="s">
        <v>104</v>
      </c>
      <c r="BA191" s="19" t="s">
        <v>60</v>
      </c>
      <c r="BB191" s="19" t="s">
        <v>2728</v>
      </c>
      <c r="BC191" s="19" t="s">
        <v>322</v>
      </c>
      <c r="BD191" s="75" t="s">
        <v>1321</v>
      </c>
      <c r="BE191" s="100" t="s">
        <v>3986</v>
      </c>
      <c r="BF191" s="100" t="s">
        <v>4232</v>
      </c>
      <c r="BG191" s="100"/>
    </row>
    <row r="192" spans="1:59" s="10" customFormat="1" ht="13.5" x14ac:dyDescent="0.25">
      <c r="A192" s="59">
        <v>206</v>
      </c>
      <c r="B192" s="15" t="s">
        <v>60</v>
      </c>
      <c r="C192" s="12" t="s">
        <v>60</v>
      </c>
      <c r="D192" s="11" t="s">
        <v>40</v>
      </c>
      <c r="E192" s="11" t="s">
        <v>96</v>
      </c>
      <c r="F192" s="11" t="s">
        <v>1591</v>
      </c>
      <c r="G192" s="13" t="s">
        <v>1417</v>
      </c>
      <c r="H192" s="11" t="s">
        <v>1361</v>
      </c>
      <c r="I192" s="3" t="s">
        <v>60</v>
      </c>
      <c r="J192" s="3" t="s">
        <v>60</v>
      </c>
      <c r="K192" s="11" t="s">
        <v>1494</v>
      </c>
      <c r="L192" s="4" t="s">
        <v>60</v>
      </c>
      <c r="M192" s="4" t="s">
        <v>60</v>
      </c>
      <c r="N192" s="4" t="s">
        <v>60</v>
      </c>
      <c r="O192" s="4" t="s">
        <v>60</v>
      </c>
      <c r="P192" s="4" t="s">
        <v>60</v>
      </c>
      <c r="Q192" s="4" t="s">
        <v>60</v>
      </c>
      <c r="R192" s="4" t="s">
        <v>60</v>
      </c>
      <c r="S192" s="4" t="s">
        <v>60</v>
      </c>
      <c r="T192" s="4" t="s">
        <v>60</v>
      </c>
      <c r="U192" s="4" t="s">
        <v>60</v>
      </c>
      <c r="V192" s="4" t="s">
        <v>60</v>
      </c>
      <c r="W192" s="4" t="s">
        <v>60</v>
      </c>
      <c r="X192" s="4" t="s">
        <v>60</v>
      </c>
      <c r="Y192" s="4" t="s">
        <v>60</v>
      </c>
      <c r="Z192" s="4" t="s">
        <v>60</v>
      </c>
      <c r="AA192" s="4" t="s">
        <v>60</v>
      </c>
      <c r="AB192" s="4" t="s">
        <v>60</v>
      </c>
      <c r="AC192" s="4" t="s">
        <v>60</v>
      </c>
      <c r="AD192" s="4" t="s">
        <v>60</v>
      </c>
      <c r="AE192" s="2" t="s">
        <v>60</v>
      </c>
      <c r="AF192" s="3" t="s">
        <v>1361</v>
      </c>
      <c r="AG192" s="7" t="s">
        <v>60</v>
      </c>
      <c r="AH192" s="7" t="s">
        <v>60</v>
      </c>
      <c r="AI192" s="7" t="s">
        <v>60</v>
      </c>
      <c r="AJ192" s="7" t="s">
        <v>60</v>
      </c>
      <c r="AK192" s="7" t="s">
        <v>60</v>
      </c>
      <c r="AL192" s="25" t="s">
        <v>1904</v>
      </c>
      <c r="AM192" s="25" t="s">
        <v>58</v>
      </c>
      <c r="AN192" s="25" t="s">
        <v>59</v>
      </c>
      <c r="AO192" s="25" t="s">
        <v>60</v>
      </c>
      <c r="AP192" s="19" t="s">
        <v>1494</v>
      </c>
      <c r="AQ192" s="19" t="s">
        <v>1869</v>
      </c>
      <c r="AR192" s="19" t="s">
        <v>60</v>
      </c>
      <c r="AS192" s="19" t="s">
        <v>2360</v>
      </c>
      <c r="AT192" s="19" t="s">
        <v>2202</v>
      </c>
      <c r="AU192" s="19" t="s">
        <v>2203</v>
      </c>
      <c r="AV192" s="19">
        <v>9999934588</v>
      </c>
      <c r="AW192" s="20">
        <v>46126</v>
      </c>
      <c r="AX192" s="19" t="s">
        <v>1990</v>
      </c>
      <c r="AY192" s="27" t="s">
        <v>1591</v>
      </c>
      <c r="AZ192" s="27" t="s">
        <v>96</v>
      </c>
      <c r="BA192" s="19" t="s">
        <v>60</v>
      </c>
      <c r="BB192" s="19" t="s">
        <v>2705</v>
      </c>
      <c r="BC192" s="19" t="s">
        <v>2554</v>
      </c>
      <c r="BD192" s="75" t="s">
        <v>1361</v>
      </c>
      <c r="BE192" s="100" t="s">
        <v>3883</v>
      </c>
      <c r="BF192" s="100" t="s">
        <v>4233</v>
      </c>
      <c r="BG192" s="100"/>
    </row>
    <row r="193" spans="1:59" s="10" customFormat="1" ht="13.5" x14ac:dyDescent="0.25">
      <c r="A193" s="59">
        <v>278</v>
      </c>
      <c r="B193" s="15" t="s">
        <v>60</v>
      </c>
      <c r="C193" s="12" t="s">
        <v>60</v>
      </c>
      <c r="D193" s="11" t="s">
        <v>40</v>
      </c>
      <c r="E193" s="11" t="s">
        <v>61</v>
      </c>
      <c r="F193" s="11" t="s">
        <v>1569</v>
      </c>
      <c r="G193" s="13" t="s">
        <v>1417</v>
      </c>
      <c r="H193" s="11" t="s">
        <v>1314</v>
      </c>
      <c r="I193" s="3" t="s">
        <v>60</v>
      </c>
      <c r="J193" s="3" t="s">
        <v>60</v>
      </c>
      <c r="K193" s="11" t="s">
        <v>1447</v>
      </c>
      <c r="L193" s="4" t="s">
        <v>60</v>
      </c>
      <c r="M193" s="4" t="s">
        <v>60</v>
      </c>
      <c r="N193" s="4" t="s">
        <v>60</v>
      </c>
      <c r="O193" s="4" t="s">
        <v>60</v>
      </c>
      <c r="P193" s="4" t="s">
        <v>60</v>
      </c>
      <c r="Q193" s="4" t="s">
        <v>60</v>
      </c>
      <c r="R193" s="4" t="s">
        <v>60</v>
      </c>
      <c r="S193" s="4" t="s">
        <v>60</v>
      </c>
      <c r="T193" s="4" t="s">
        <v>60</v>
      </c>
      <c r="U193" s="4" t="s">
        <v>60</v>
      </c>
      <c r="V193" s="4" t="s">
        <v>60</v>
      </c>
      <c r="W193" s="4" t="s">
        <v>60</v>
      </c>
      <c r="X193" s="4" t="s">
        <v>60</v>
      </c>
      <c r="Y193" s="4" t="s">
        <v>60</v>
      </c>
      <c r="Z193" s="4" t="s">
        <v>60</v>
      </c>
      <c r="AA193" s="4" t="s">
        <v>60</v>
      </c>
      <c r="AB193" s="4" t="s">
        <v>60</v>
      </c>
      <c r="AC193" s="4" t="s">
        <v>60</v>
      </c>
      <c r="AD193" s="4" t="s">
        <v>60</v>
      </c>
      <c r="AE193" s="2" t="s">
        <v>60</v>
      </c>
      <c r="AF193" s="3" t="s">
        <v>1314</v>
      </c>
      <c r="AG193" s="7" t="s">
        <v>60</v>
      </c>
      <c r="AH193" s="7" t="s">
        <v>60</v>
      </c>
      <c r="AI193" s="7" t="s">
        <v>60</v>
      </c>
      <c r="AJ193" s="7" t="s">
        <v>60</v>
      </c>
      <c r="AK193" s="7" t="s">
        <v>60</v>
      </c>
      <c r="AL193" s="25" t="s">
        <v>1904</v>
      </c>
      <c r="AM193" s="25" t="s">
        <v>58</v>
      </c>
      <c r="AN193" s="25" t="s">
        <v>59</v>
      </c>
      <c r="AO193" s="25" t="s">
        <v>60</v>
      </c>
      <c r="AP193" s="19" t="s">
        <v>1447</v>
      </c>
      <c r="AQ193" s="19" t="s">
        <v>1869</v>
      </c>
      <c r="AR193" s="19" t="s">
        <v>60</v>
      </c>
      <c r="AS193" s="19" t="s">
        <v>2360</v>
      </c>
      <c r="AT193" s="19" t="s">
        <v>60</v>
      </c>
      <c r="AU193" s="19" t="s">
        <v>2815</v>
      </c>
      <c r="AV193" s="19">
        <v>9999934588</v>
      </c>
      <c r="AW193" s="20">
        <v>46128</v>
      </c>
      <c r="AX193" s="19" t="s">
        <v>1990</v>
      </c>
      <c r="AY193" s="27" t="s">
        <v>1569</v>
      </c>
      <c r="AZ193" s="27" t="s">
        <v>61</v>
      </c>
      <c r="BA193" s="19" t="s">
        <v>60</v>
      </c>
      <c r="BB193" s="19" t="s">
        <v>2589</v>
      </c>
      <c r="BC193" s="19" t="s">
        <v>143</v>
      </c>
      <c r="BD193" s="75" t="s">
        <v>1314</v>
      </c>
      <c r="BE193" s="100" t="s">
        <v>3955</v>
      </c>
      <c r="BF193" s="100" t="s">
        <v>4234</v>
      </c>
      <c r="BG193" s="100"/>
    </row>
    <row r="194" spans="1:59" s="10" customFormat="1" ht="13.5" x14ac:dyDescent="0.25">
      <c r="A194" s="59">
        <v>265</v>
      </c>
      <c r="B194" s="15" t="s">
        <v>60</v>
      </c>
      <c r="C194" s="12" t="s">
        <v>60</v>
      </c>
      <c r="D194" s="11" t="s">
        <v>40</v>
      </c>
      <c r="E194" s="11" t="s">
        <v>199</v>
      </c>
      <c r="F194" s="11" t="s">
        <v>1605</v>
      </c>
      <c r="G194" s="13" t="s">
        <v>1417</v>
      </c>
      <c r="H194" s="11" t="s">
        <v>1388</v>
      </c>
      <c r="I194" s="3" t="s">
        <v>60</v>
      </c>
      <c r="J194" s="3" t="s">
        <v>60</v>
      </c>
      <c r="K194" s="11" t="s">
        <v>1522</v>
      </c>
      <c r="L194" s="4" t="s">
        <v>60</v>
      </c>
      <c r="M194" s="4" t="s">
        <v>60</v>
      </c>
      <c r="N194" s="4" t="s">
        <v>60</v>
      </c>
      <c r="O194" s="4" t="s">
        <v>60</v>
      </c>
      <c r="P194" s="4" t="s">
        <v>60</v>
      </c>
      <c r="Q194" s="4" t="s">
        <v>60</v>
      </c>
      <c r="R194" s="4" t="s">
        <v>60</v>
      </c>
      <c r="S194" s="4" t="s">
        <v>60</v>
      </c>
      <c r="T194" s="4" t="s">
        <v>60</v>
      </c>
      <c r="U194" s="4" t="s">
        <v>60</v>
      </c>
      <c r="V194" s="4" t="s">
        <v>60</v>
      </c>
      <c r="W194" s="4" t="s">
        <v>60</v>
      </c>
      <c r="X194" s="4" t="s">
        <v>60</v>
      </c>
      <c r="Y194" s="4" t="s">
        <v>60</v>
      </c>
      <c r="Z194" s="4" t="s">
        <v>60</v>
      </c>
      <c r="AA194" s="4" t="s">
        <v>60</v>
      </c>
      <c r="AB194" s="4" t="s">
        <v>60</v>
      </c>
      <c r="AC194" s="4" t="s">
        <v>60</v>
      </c>
      <c r="AD194" s="4" t="s">
        <v>60</v>
      </c>
      <c r="AE194" s="2" t="s">
        <v>60</v>
      </c>
      <c r="AF194" s="3" t="s">
        <v>1388</v>
      </c>
      <c r="AG194" s="7" t="s">
        <v>60</v>
      </c>
      <c r="AH194" s="7" t="s">
        <v>60</v>
      </c>
      <c r="AI194" s="7" t="s">
        <v>60</v>
      </c>
      <c r="AJ194" s="7" t="s">
        <v>60</v>
      </c>
      <c r="AK194" s="7" t="s">
        <v>60</v>
      </c>
      <c r="AL194" s="25" t="s">
        <v>1904</v>
      </c>
      <c r="AM194" s="25" t="s">
        <v>58</v>
      </c>
      <c r="AN194" s="25" t="s">
        <v>59</v>
      </c>
      <c r="AO194" s="25" t="s">
        <v>60</v>
      </c>
      <c r="AP194" s="19" t="s">
        <v>1522</v>
      </c>
      <c r="AQ194" s="19" t="s">
        <v>1869</v>
      </c>
      <c r="AR194" s="19" t="s">
        <v>60</v>
      </c>
      <c r="AS194" s="19" t="s">
        <v>2360</v>
      </c>
      <c r="AT194" s="19" t="s">
        <v>2232</v>
      </c>
      <c r="AU194" s="19" t="s">
        <v>2233</v>
      </c>
      <c r="AV194" s="19">
        <v>9999934588</v>
      </c>
      <c r="AW194" s="20">
        <v>46123</v>
      </c>
      <c r="AX194" s="19" t="s">
        <v>1990</v>
      </c>
      <c r="AY194" s="27" t="s">
        <v>1605</v>
      </c>
      <c r="AZ194" s="27" t="s">
        <v>199</v>
      </c>
      <c r="BA194" s="19" t="s">
        <v>60</v>
      </c>
      <c r="BB194" s="19" t="s">
        <v>2419</v>
      </c>
      <c r="BC194" s="19" t="s">
        <v>538</v>
      </c>
      <c r="BD194" s="75" t="s">
        <v>1388</v>
      </c>
      <c r="BE194" s="100" t="s">
        <v>3942</v>
      </c>
      <c r="BF194" s="100" t="s">
        <v>4235</v>
      </c>
      <c r="BG194" s="100"/>
    </row>
    <row r="195" spans="1:59" s="10" customFormat="1" ht="13.5" x14ac:dyDescent="0.25">
      <c r="A195" s="59">
        <v>299</v>
      </c>
      <c r="B195" s="15" t="s">
        <v>60</v>
      </c>
      <c r="C195" s="12" t="s">
        <v>60</v>
      </c>
      <c r="D195" s="11" t="s">
        <v>40</v>
      </c>
      <c r="E195" s="11" t="s">
        <v>61</v>
      </c>
      <c r="F195" s="11" t="s">
        <v>1610</v>
      </c>
      <c r="G195" s="13" t="s">
        <v>1417</v>
      </c>
      <c r="H195" s="11" t="s">
        <v>1397</v>
      </c>
      <c r="I195" s="3" t="s">
        <v>60</v>
      </c>
      <c r="J195" s="3" t="s">
        <v>60</v>
      </c>
      <c r="K195" s="11" t="s">
        <v>1531</v>
      </c>
      <c r="L195" s="4" t="s">
        <v>60</v>
      </c>
      <c r="M195" s="4" t="s">
        <v>60</v>
      </c>
      <c r="N195" s="4" t="s">
        <v>60</v>
      </c>
      <c r="O195" s="4" t="s">
        <v>60</v>
      </c>
      <c r="P195" s="4" t="s">
        <v>60</v>
      </c>
      <c r="Q195" s="4" t="s">
        <v>60</v>
      </c>
      <c r="R195" s="4" t="s">
        <v>60</v>
      </c>
      <c r="S195" s="4" t="s">
        <v>60</v>
      </c>
      <c r="T195" s="4" t="s">
        <v>60</v>
      </c>
      <c r="U195" s="4" t="s">
        <v>60</v>
      </c>
      <c r="V195" s="4" t="s">
        <v>60</v>
      </c>
      <c r="W195" s="4" t="s">
        <v>60</v>
      </c>
      <c r="X195" s="4" t="s">
        <v>60</v>
      </c>
      <c r="Y195" s="4" t="s">
        <v>60</v>
      </c>
      <c r="Z195" s="4" t="s">
        <v>60</v>
      </c>
      <c r="AA195" s="4" t="s">
        <v>60</v>
      </c>
      <c r="AB195" s="4" t="s">
        <v>60</v>
      </c>
      <c r="AC195" s="4" t="s">
        <v>60</v>
      </c>
      <c r="AD195" s="4" t="s">
        <v>60</v>
      </c>
      <c r="AE195" s="2" t="s">
        <v>60</v>
      </c>
      <c r="AF195" s="3" t="s">
        <v>1397</v>
      </c>
      <c r="AG195" s="7" t="s">
        <v>60</v>
      </c>
      <c r="AH195" s="7" t="s">
        <v>60</v>
      </c>
      <c r="AI195" s="7" t="s">
        <v>60</v>
      </c>
      <c r="AJ195" s="7" t="s">
        <v>60</v>
      </c>
      <c r="AK195" s="7" t="s">
        <v>60</v>
      </c>
      <c r="AL195" s="25" t="s">
        <v>1904</v>
      </c>
      <c r="AM195" s="25" t="s">
        <v>58</v>
      </c>
      <c r="AN195" s="25" t="s">
        <v>59</v>
      </c>
      <c r="AO195" s="25" t="s">
        <v>60</v>
      </c>
      <c r="AP195" s="19" t="s">
        <v>1531</v>
      </c>
      <c r="AQ195" s="19" t="s">
        <v>1869</v>
      </c>
      <c r="AR195" s="19" t="s">
        <v>60</v>
      </c>
      <c r="AS195" s="19" t="s">
        <v>2360</v>
      </c>
      <c r="AT195" s="19" t="s">
        <v>2242</v>
      </c>
      <c r="AU195" s="19" t="s">
        <v>2243</v>
      </c>
      <c r="AV195" s="19">
        <v>9999934588</v>
      </c>
      <c r="AW195" s="20">
        <v>46126</v>
      </c>
      <c r="AX195" s="19" t="s">
        <v>1990</v>
      </c>
      <c r="AY195" s="27" t="s">
        <v>1610</v>
      </c>
      <c r="AZ195" s="27" t="s">
        <v>61</v>
      </c>
      <c r="BA195" s="19" t="s">
        <v>60</v>
      </c>
      <c r="BB195" s="19" t="s">
        <v>2659</v>
      </c>
      <c r="BC195" s="19" t="s">
        <v>143</v>
      </c>
      <c r="BD195" s="75" t="s">
        <v>1397</v>
      </c>
      <c r="BE195" s="100" t="s">
        <v>3976</v>
      </c>
      <c r="BF195" s="100" t="s">
        <v>4236</v>
      </c>
      <c r="BG195" s="100"/>
    </row>
    <row r="196" spans="1:59" s="10" customFormat="1" ht="13.5" x14ac:dyDescent="0.25">
      <c r="A196" s="59">
        <v>293</v>
      </c>
      <c r="B196" s="15" t="s">
        <v>60</v>
      </c>
      <c r="C196" s="12" t="s">
        <v>60</v>
      </c>
      <c r="D196" s="11" t="s">
        <v>40</v>
      </c>
      <c r="E196" s="11" t="s">
        <v>61</v>
      </c>
      <c r="F196" s="11" t="s">
        <v>62</v>
      </c>
      <c r="G196" s="13" t="s">
        <v>1417</v>
      </c>
      <c r="H196" s="11" t="s">
        <v>1380</v>
      </c>
      <c r="I196" s="3" t="s">
        <v>60</v>
      </c>
      <c r="J196" s="3" t="s">
        <v>60</v>
      </c>
      <c r="K196" s="11" t="s">
        <v>1514</v>
      </c>
      <c r="L196" s="4" t="s">
        <v>60</v>
      </c>
      <c r="M196" s="4" t="s">
        <v>60</v>
      </c>
      <c r="N196" s="4" t="s">
        <v>60</v>
      </c>
      <c r="O196" s="4" t="s">
        <v>60</v>
      </c>
      <c r="P196" s="4" t="s">
        <v>60</v>
      </c>
      <c r="Q196" s="4" t="s">
        <v>60</v>
      </c>
      <c r="R196" s="4" t="s">
        <v>60</v>
      </c>
      <c r="S196" s="4" t="s">
        <v>60</v>
      </c>
      <c r="T196" s="4" t="s">
        <v>60</v>
      </c>
      <c r="U196" s="4" t="s">
        <v>60</v>
      </c>
      <c r="V196" s="4" t="s">
        <v>60</v>
      </c>
      <c r="W196" s="4" t="s">
        <v>60</v>
      </c>
      <c r="X196" s="4" t="s">
        <v>60</v>
      </c>
      <c r="Y196" s="4" t="s">
        <v>60</v>
      </c>
      <c r="Z196" s="4" t="s">
        <v>60</v>
      </c>
      <c r="AA196" s="4" t="s">
        <v>60</v>
      </c>
      <c r="AB196" s="4" t="s">
        <v>60</v>
      </c>
      <c r="AC196" s="4" t="s">
        <v>60</v>
      </c>
      <c r="AD196" s="4" t="s">
        <v>60</v>
      </c>
      <c r="AE196" s="2" t="s">
        <v>60</v>
      </c>
      <c r="AF196" s="3" t="s">
        <v>1380</v>
      </c>
      <c r="AG196" s="7" t="s">
        <v>60</v>
      </c>
      <c r="AH196" s="7" t="s">
        <v>60</v>
      </c>
      <c r="AI196" s="7" t="s">
        <v>60</v>
      </c>
      <c r="AJ196" s="7" t="s">
        <v>60</v>
      </c>
      <c r="AK196" s="7" t="s">
        <v>60</v>
      </c>
      <c r="AL196" s="25" t="s">
        <v>1904</v>
      </c>
      <c r="AM196" s="25" t="s">
        <v>58</v>
      </c>
      <c r="AN196" s="25" t="s">
        <v>59</v>
      </c>
      <c r="AO196" s="25" t="s">
        <v>60</v>
      </c>
      <c r="AP196" s="19" t="s">
        <v>1514</v>
      </c>
      <c r="AQ196" s="19" t="s">
        <v>1869</v>
      </c>
      <c r="AR196" s="19" t="s">
        <v>60</v>
      </c>
      <c r="AS196" s="19" t="s">
        <v>2360</v>
      </c>
      <c r="AT196" s="19" t="s">
        <v>2225</v>
      </c>
      <c r="AU196" s="19" t="s">
        <v>2223</v>
      </c>
      <c r="AV196" s="19">
        <v>9999934588</v>
      </c>
      <c r="AW196" s="20">
        <v>46122</v>
      </c>
      <c r="AX196" s="19" t="s">
        <v>1990</v>
      </c>
      <c r="AY196" s="27" t="s">
        <v>62</v>
      </c>
      <c r="AZ196" s="27" t="s">
        <v>61</v>
      </c>
      <c r="BA196" s="19" t="s">
        <v>60</v>
      </c>
      <c r="BB196" s="19" t="s">
        <v>2660</v>
      </c>
      <c r="BC196" s="19" t="s">
        <v>2533</v>
      </c>
      <c r="BD196" s="75" t="s">
        <v>1380</v>
      </c>
      <c r="BE196" s="100" t="s">
        <v>3970</v>
      </c>
      <c r="BF196" s="100" t="s">
        <v>4237</v>
      </c>
      <c r="BG196" s="100"/>
    </row>
    <row r="197" spans="1:59" s="10" customFormat="1" ht="13.5" x14ac:dyDescent="0.25">
      <c r="A197" s="59">
        <v>254</v>
      </c>
      <c r="B197" s="15" t="s">
        <v>60</v>
      </c>
      <c r="C197" s="12" t="s">
        <v>60</v>
      </c>
      <c r="D197" s="11" t="s">
        <v>40</v>
      </c>
      <c r="E197" s="11" t="s">
        <v>199</v>
      </c>
      <c r="F197" s="11" t="s">
        <v>1585</v>
      </c>
      <c r="G197" s="13" t="s">
        <v>1417</v>
      </c>
      <c r="H197" s="11" t="s">
        <v>1344</v>
      </c>
      <c r="I197" s="3" t="s">
        <v>60</v>
      </c>
      <c r="J197" s="3" t="s">
        <v>60</v>
      </c>
      <c r="K197" s="11" t="s">
        <v>1477</v>
      </c>
      <c r="L197" s="4" t="s">
        <v>60</v>
      </c>
      <c r="M197" s="4" t="s">
        <v>60</v>
      </c>
      <c r="N197" s="4" t="s">
        <v>60</v>
      </c>
      <c r="O197" s="4" t="s">
        <v>60</v>
      </c>
      <c r="P197" s="4" t="s">
        <v>60</v>
      </c>
      <c r="Q197" s="4" t="s">
        <v>60</v>
      </c>
      <c r="R197" s="4" t="s">
        <v>60</v>
      </c>
      <c r="S197" s="4" t="s">
        <v>60</v>
      </c>
      <c r="T197" s="4" t="s">
        <v>60</v>
      </c>
      <c r="U197" s="4" t="s">
        <v>60</v>
      </c>
      <c r="V197" s="4" t="s">
        <v>60</v>
      </c>
      <c r="W197" s="4" t="s">
        <v>60</v>
      </c>
      <c r="X197" s="4" t="s">
        <v>60</v>
      </c>
      <c r="Y197" s="4" t="s">
        <v>60</v>
      </c>
      <c r="Z197" s="4" t="s">
        <v>60</v>
      </c>
      <c r="AA197" s="4" t="s">
        <v>60</v>
      </c>
      <c r="AB197" s="4" t="s">
        <v>60</v>
      </c>
      <c r="AC197" s="4" t="s">
        <v>60</v>
      </c>
      <c r="AD197" s="4" t="s">
        <v>60</v>
      </c>
      <c r="AE197" s="2" t="s">
        <v>60</v>
      </c>
      <c r="AF197" s="3" t="s">
        <v>1344</v>
      </c>
      <c r="AG197" s="7" t="s">
        <v>60</v>
      </c>
      <c r="AH197" s="7" t="s">
        <v>60</v>
      </c>
      <c r="AI197" s="7" t="s">
        <v>60</v>
      </c>
      <c r="AJ197" s="7" t="s">
        <v>60</v>
      </c>
      <c r="AK197" s="7" t="s">
        <v>60</v>
      </c>
      <c r="AL197" s="25" t="s">
        <v>1904</v>
      </c>
      <c r="AM197" s="25" t="s">
        <v>58</v>
      </c>
      <c r="AN197" s="25" t="s">
        <v>59</v>
      </c>
      <c r="AO197" s="25" t="s">
        <v>60</v>
      </c>
      <c r="AP197" s="19" t="s">
        <v>1477</v>
      </c>
      <c r="AQ197" s="19" t="s">
        <v>1869</v>
      </c>
      <c r="AR197" s="19" t="s">
        <v>60</v>
      </c>
      <c r="AS197" s="19" t="s">
        <v>2360</v>
      </c>
      <c r="AT197" s="19" t="s">
        <v>2179</v>
      </c>
      <c r="AU197" s="19" t="s">
        <v>2180</v>
      </c>
      <c r="AV197" s="19">
        <v>9999934588</v>
      </c>
      <c r="AW197" s="20">
        <v>46120</v>
      </c>
      <c r="AX197" s="19" t="s">
        <v>1990</v>
      </c>
      <c r="AY197" s="27" t="s">
        <v>1585</v>
      </c>
      <c r="AZ197" s="27" t="s">
        <v>199</v>
      </c>
      <c r="BA197" s="19" t="s">
        <v>60</v>
      </c>
      <c r="BB197" s="19" t="s">
        <v>2635</v>
      </c>
      <c r="BC197" s="19" t="s">
        <v>538</v>
      </c>
      <c r="BD197" s="75" t="s">
        <v>1344</v>
      </c>
      <c r="BE197" s="100" t="s">
        <v>3931</v>
      </c>
      <c r="BF197" s="100" t="s">
        <v>4238</v>
      </c>
      <c r="BG197" s="100"/>
    </row>
    <row r="198" spans="1:59" s="10" customFormat="1" ht="13.5" x14ac:dyDescent="0.25">
      <c r="A198" s="59">
        <v>301</v>
      </c>
      <c r="B198" s="15" t="s">
        <v>60</v>
      </c>
      <c r="C198" s="12" t="s">
        <v>60</v>
      </c>
      <c r="D198" s="11" t="s">
        <v>40</v>
      </c>
      <c r="E198" s="11" t="s">
        <v>61</v>
      </c>
      <c r="F198" s="11" t="s">
        <v>1619</v>
      </c>
      <c r="G198" s="13" t="s">
        <v>1417</v>
      </c>
      <c r="H198" s="11" t="s">
        <v>1413</v>
      </c>
      <c r="I198" s="3" t="s">
        <v>60</v>
      </c>
      <c r="J198" s="3" t="s">
        <v>60</v>
      </c>
      <c r="K198" s="11" t="s">
        <v>1547</v>
      </c>
      <c r="L198" s="4" t="s">
        <v>60</v>
      </c>
      <c r="M198" s="4" t="s">
        <v>60</v>
      </c>
      <c r="N198" s="4" t="s">
        <v>60</v>
      </c>
      <c r="O198" s="4" t="s">
        <v>60</v>
      </c>
      <c r="P198" s="4" t="s">
        <v>60</v>
      </c>
      <c r="Q198" s="4" t="s">
        <v>60</v>
      </c>
      <c r="R198" s="4" t="s">
        <v>60</v>
      </c>
      <c r="S198" s="4" t="s">
        <v>60</v>
      </c>
      <c r="T198" s="4" t="s">
        <v>60</v>
      </c>
      <c r="U198" s="4" t="s">
        <v>60</v>
      </c>
      <c r="V198" s="4" t="s">
        <v>60</v>
      </c>
      <c r="W198" s="4" t="s">
        <v>60</v>
      </c>
      <c r="X198" s="4" t="s">
        <v>60</v>
      </c>
      <c r="Y198" s="4" t="s">
        <v>60</v>
      </c>
      <c r="Z198" s="4" t="s">
        <v>60</v>
      </c>
      <c r="AA198" s="4" t="s">
        <v>60</v>
      </c>
      <c r="AB198" s="4" t="s">
        <v>60</v>
      </c>
      <c r="AC198" s="4" t="s">
        <v>60</v>
      </c>
      <c r="AD198" s="4" t="s">
        <v>60</v>
      </c>
      <c r="AE198" s="2" t="s">
        <v>60</v>
      </c>
      <c r="AF198" s="3" t="s">
        <v>1413</v>
      </c>
      <c r="AG198" s="7" t="s">
        <v>60</v>
      </c>
      <c r="AH198" s="7" t="s">
        <v>60</v>
      </c>
      <c r="AI198" s="7" t="s">
        <v>60</v>
      </c>
      <c r="AJ198" s="7" t="s">
        <v>60</v>
      </c>
      <c r="AK198" s="7" t="s">
        <v>60</v>
      </c>
      <c r="AL198" s="25" t="s">
        <v>1904</v>
      </c>
      <c r="AM198" s="25" t="s">
        <v>58</v>
      </c>
      <c r="AN198" s="25" t="s">
        <v>59</v>
      </c>
      <c r="AO198" s="25" t="s">
        <v>60</v>
      </c>
      <c r="AP198" s="19" t="s">
        <v>1547</v>
      </c>
      <c r="AQ198" s="19" t="s">
        <v>1869</v>
      </c>
      <c r="AR198" s="19" t="s">
        <v>60</v>
      </c>
      <c r="AS198" s="19" t="s">
        <v>2360</v>
      </c>
      <c r="AT198" s="19" t="s">
        <v>2266</v>
      </c>
      <c r="AU198" s="19" t="s">
        <v>2210</v>
      </c>
      <c r="AV198" s="19">
        <v>9999934588</v>
      </c>
      <c r="AW198" s="20">
        <v>46120</v>
      </c>
      <c r="AX198" s="19" t="s">
        <v>1990</v>
      </c>
      <c r="AY198" s="27" t="s">
        <v>1619</v>
      </c>
      <c r="AZ198" s="27" t="s">
        <v>61</v>
      </c>
      <c r="BA198" s="19" t="s">
        <v>60</v>
      </c>
      <c r="BB198" s="19" t="s">
        <v>2663</v>
      </c>
      <c r="BC198" s="19" t="s">
        <v>2554</v>
      </c>
      <c r="BD198" s="75" t="s">
        <v>1413</v>
      </c>
      <c r="BE198" s="100" t="s">
        <v>3978</v>
      </c>
      <c r="BF198" s="100" t="s">
        <v>4239</v>
      </c>
      <c r="BG198" s="100"/>
    </row>
    <row r="199" spans="1:59" s="10" customFormat="1" ht="13.5" x14ac:dyDescent="0.25">
      <c r="A199" s="59">
        <v>284</v>
      </c>
      <c r="B199" s="15" t="s">
        <v>60</v>
      </c>
      <c r="C199" s="12" t="s">
        <v>60</v>
      </c>
      <c r="D199" s="11" t="s">
        <v>40</v>
      </c>
      <c r="E199" s="11" t="s">
        <v>61</v>
      </c>
      <c r="F199" s="11" t="s">
        <v>1582</v>
      </c>
      <c r="G199" s="13" t="s">
        <v>1417</v>
      </c>
      <c r="H199" s="11" t="s">
        <v>1337</v>
      </c>
      <c r="I199" s="3" t="s">
        <v>60</v>
      </c>
      <c r="J199" s="3" t="s">
        <v>60</v>
      </c>
      <c r="K199" s="11" t="s">
        <v>1470</v>
      </c>
      <c r="L199" s="4" t="s">
        <v>60</v>
      </c>
      <c r="M199" s="4" t="s">
        <v>60</v>
      </c>
      <c r="N199" s="4" t="s">
        <v>60</v>
      </c>
      <c r="O199" s="4" t="s">
        <v>60</v>
      </c>
      <c r="P199" s="4" t="s">
        <v>60</v>
      </c>
      <c r="Q199" s="4" t="s">
        <v>60</v>
      </c>
      <c r="R199" s="4" t="s">
        <v>60</v>
      </c>
      <c r="S199" s="4" t="s">
        <v>60</v>
      </c>
      <c r="T199" s="4" t="s">
        <v>60</v>
      </c>
      <c r="U199" s="4" t="s">
        <v>60</v>
      </c>
      <c r="V199" s="4" t="s">
        <v>60</v>
      </c>
      <c r="W199" s="4" t="s">
        <v>60</v>
      </c>
      <c r="X199" s="4" t="s">
        <v>60</v>
      </c>
      <c r="Y199" s="4" t="s">
        <v>60</v>
      </c>
      <c r="Z199" s="4" t="s">
        <v>60</v>
      </c>
      <c r="AA199" s="4" t="s">
        <v>60</v>
      </c>
      <c r="AB199" s="4" t="s">
        <v>60</v>
      </c>
      <c r="AC199" s="4" t="s">
        <v>60</v>
      </c>
      <c r="AD199" s="4" t="s">
        <v>60</v>
      </c>
      <c r="AE199" s="2" t="s">
        <v>60</v>
      </c>
      <c r="AF199" s="3" t="s">
        <v>1337</v>
      </c>
      <c r="AG199" s="7" t="s">
        <v>60</v>
      </c>
      <c r="AH199" s="7" t="s">
        <v>60</v>
      </c>
      <c r="AI199" s="7" t="s">
        <v>60</v>
      </c>
      <c r="AJ199" s="7" t="s">
        <v>60</v>
      </c>
      <c r="AK199" s="7" t="s">
        <v>60</v>
      </c>
      <c r="AL199" s="25" t="s">
        <v>1904</v>
      </c>
      <c r="AM199" s="25" t="s">
        <v>58</v>
      </c>
      <c r="AN199" s="25" t="s">
        <v>59</v>
      </c>
      <c r="AO199" s="25" t="s">
        <v>60</v>
      </c>
      <c r="AP199" s="19" t="s">
        <v>1470</v>
      </c>
      <c r="AQ199" s="19" t="s">
        <v>1869</v>
      </c>
      <c r="AR199" s="19" t="s">
        <v>60</v>
      </c>
      <c r="AS199" s="19" t="s">
        <v>2360</v>
      </c>
      <c r="AT199" s="19" t="s">
        <v>2171</v>
      </c>
      <c r="AU199" s="19" t="s">
        <v>2116</v>
      </c>
      <c r="AV199" s="19">
        <v>9999934588</v>
      </c>
      <c r="AW199" s="20">
        <v>46122</v>
      </c>
      <c r="AX199" s="19" t="s">
        <v>1990</v>
      </c>
      <c r="AY199" s="27" t="s">
        <v>1582</v>
      </c>
      <c r="AZ199" s="27" t="s">
        <v>61</v>
      </c>
      <c r="BA199" s="19" t="s">
        <v>60</v>
      </c>
      <c r="BB199" s="19" t="s">
        <v>2653</v>
      </c>
      <c r="BC199" s="19" t="s">
        <v>143</v>
      </c>
      <c r="BD199" s="75" t="s">
        <v>1337</v>
      </c>
      <c r="BE199" s="100" t="s">
        <v>3961</v>
      </c>
      <c r="BF199" s="100" t="s">
        <v>4240</v>
      </c>
      <c r="BG199" s="100"/>
    </row>
    <row r="200" spans="1:59" s="10" customFormat="1" ht="13.5" x14ac:dyDescent="0.25">
      <c r="A200" s="59">
        <v>229</v>
      </c>
      <c r="B200" s="15" t="s">
        <v>60</v>
      </c>
      <c r="C200" s="12" t="s">
        <v>60</v>
      </c>
      <c r="D200" s="11" t="s">
        <v>103</v>
      </c>
      <c r="E200" s="11" t="s">
        <v>237</v>
      </c>
      <c r="F200" s="11" t="s">
        <v>1611</v>
      </c>
      <c r="G200" s="13" t="s">
        <v>1417</v>
      </c>
      <c r="H200" s="11" t="s">
        <v>1401</v>
      </c>
      <c r="I200" s="3" t="s">
        <v>60</v>
      </c>
      <c r="J200" s="3" t="s">
        <v>60</v>
      </c>
      <c r="K200" s="11" t="s">
        <v>1535</v>
      </c>
      <c r="L200" s="4" t="s">
        <v>60</v>
      </c>
      <c r="M200" s="4" t="s">
        <v>60</v>
      </c>
      <c r="N200" s="4" t="s">
        <v>60</v>
      </c>
      <c r="O200" s="4" t="s">
        <v>60</v>
      </c>
      <c r="P200" s="4" t="s">
        <v>60</v>
      </c>
      <c r="Q200" s="4" t="s">
        <v>60</v>
      </c>
      <c r="R200" s="4" t="s">
        <v>60</v>
      </c>
      <c r="S200" s="4" t="s">
        <v>60</v>
      </c>
      <c r="T200" s="4" t="s">
        <v>60</v>
      </c>
      <c r="U200" s="4" t="s">
        <v>60</v>
      </c>
      <c r="V200" s="4" t="s">
        <v>60</v>
      </c>
      <c r="W200" s="4" t="s">
        <v>60</v>
      </c>
      <c r="X200" s="4" t="s">
        <v>60</v>
      </c>
      <c r="Y200" s="4" t="s">
        <v>60</v>
      </c>
      <c r="Z200" s="4" t="s">
        <v>60</v>
      </c>
      <c r="AA200" s="4" t="s">
        <v>60</v>
      </c>
      <c r="AB200" s="4" t="s">
        <v>60</v>
      </c>
      <c r="AC200" s="4" t="s">
        <v>60</v>
      </c>
      <c r="AD200" s="4" t="s">
        <v>60</v>
      </c>
      <c r="AE200" s="2" t="s">
        <v>60</v>
      </c>
      <c r="AF200" s="3" t="s">
        <v>1401</v>
      </c>
      <c r="AG200" s="7" t="s">
        <v>60</v>
      </c>
      <c r="AH200" s="7" t="s">
        <v>60</v>
      </c>
      <c r="AI200" s="7" t="s">
        <v>60</v>
      </c>
      <c r="AJ200" s="7" t="s">
        <v>60</v>
      </c>
      <c r="AK200" s="7" t="s">
        <v>60</v>
      </c>
      <c r="AL200" s="25" t="s">
        <v>1904</v>
      </c>
      <c r="AM200" s="25" t="s">
        <v>58</v>
      </c>
      <c r="AN200" s="25" t="s">
        <v>59</v>
      </c>
      <c r="AO200" s="25" t="s">
        <v>60</v>
      </c>
      <c r="AP200" s="19" t="s">
        <v>1535</v>
      </c>
      <c r="AQ200" s="19" t="s">
        <v>1869</v>
      </c>
      <c r="AR200" s="19" t="s">
        <v>60</v>
      </c>
      <c r="AS200" s="19" t="s">
        <v>2360</v>
      </c>
      <c r="AT200" s="19" t="s">
        <v>2250</v>
      </c>
      <c r="AU200" s="19" t="s">
        <v>2251</v>
      </c>
      <c r="AV200" s="19">
        <v>9999934588</v>
      </c>
      <c r="AW200" s="20">
        <v>46128</v>
      </c>
      <c r="AX200" s="19" t="s">
        <v>1990</v>
      </c>
      <c r="AY200" s="27" t="s">
        <v>1611</v>
      </c>
      <c r="AZ200" s="27" t="s">
        <v>237</v>
      </c>
      <c r="BA200" s="19" t="s">
        <v>60</v>
      </c>
      <c r="BB200" s="19" t="s">
        <v>2612</v>
      </c>
      <c r="BC200" s="19" t="s">
        <v>322</v>
      </c>
      <c r="BD200" s="75" t="s">
        <v>1401</v>
      </c>
      <c r="BE200" s="100" t="s">
        <v>3906</v>
      </c>
      <c r="BF200" s="100" t="s">
        <v>4241</v>
      </c>
      <c r="BG200" s="100"/>
    </row>
    <row r="201" spans="1:59" s="10" customFormat="1" ht="13.5" x14ac:dyDescent="0.25">
      <c r="A201" s="59">
        <v>220</v>
      </c>
      <c r="B201" s="15" t="s">
        <v>60</v>
      </c>
      <c r="C201" s="12" t="s">
        <v>60</v>
      </c>
      <c r="D201" s="11" t="s">
        <v>103</v>
      </c>
      <c r="E201" s="11" t="s">
        <v>465</v>
      </c>
      <c r="F201" s="11" t="s">
        <v>466</v>
      </c>
      <c r="G201" s="13" t="s">
        <v>1417</v>
      </c>
      <c r="H201" s="11" t="s">
        <v>1400</v>
      </c>
      <c r="I201" s="3" t="s">
        <v>60</v>
      </c>
      <c r="J201" s="3" t="s">
        <v>60</v>
      </c>
      <c r="K201" s="11" t="s">
        <v>1534</v>
      </c>
      <c r="L201" s="4" t="s">
        <v>60</v>
      </c>
      <c r="M201" s="4" t="s">
        <v>60</v>
      </c>
      <c r="N201" s="4" t="s">
        <v>60</v>
      </c>
      <c r="O201" s="4" t="s">
        <v>60</v>
      </c>
      <c r="P201" s="4" t="s">
        <v>60</v>
      </c>
      <c r="Q201" s="4" t="s">
        <v>60</v>
      </c>
      <c r="R201" s="4" t="s">
        <v>60</v>
      </c>
      <c r="S201" s="4" t="s">
        <v>60</v>
      </c>
      <c r="T201" s="4" t="s">
        <v>60</v>
      </c>
      <c r="U201" s="4" t="s">
        <v>60</v>
      </c>
      <c r="V201" s="4" t="s">
        <v>60</v>
      </c>
      <c r="W201" s="4" t="s">
        <v>60</v>
      </c>
      <c r="X201" s="4" t="s">
        <v>60</v>
      </c>
      <c r="Y201" s="4" t="s">
        <v>60</v>
      </c>
      <c r="Z201" s="4" t="s">
        <v>60</v>
      </c>
      <c r="AA201" s="4" t="s">
        <v>60</v>
      </c>
      <c r="AB201" s="4" t="s">
        <v>60</v>
      </c>
      <c r="AC201" s="4" t="s">
        <v>60</v>
      </c>
      <c r="AD201" s="4" t="s">
        <v>60</v>
      </c>
      <c r="AE201" s="2" t="s">
        <v>60</v>
      </c>
      <c r="AF201" s="3" t="s">
        <v>1400</v>
      </c>
      <c r="AG201" s="7" t="s">
        <v>60</v>
      </c>
      <c r="AH201" s="7" t="s">
        <v>60</v>
      </c>
      <c r="AI201" s="7" t="s">
        <v>60</v>
      </c>
      <c r="AJ201" s="7" t="s">
        <v>60</v>
      </c>
      <c r="AK201" s="7" t="s">
        <v>60</v>
      </c>
      <c r="AL201" s="25" t="s">
        <v>1904</v>
      </c>
      <c r="AM201" s="25" t="s">
        <v>58</v>
      </c>
      <c r="AN201" s="25" t="s">
        <v>59</v>
      </c>
      <c r="AO201" s="25" t="s">
        <v>60</v>
      </c>
      <c r="AP201" s="19" t="s">
        <v>1534</v>
      </c>
      <c r="AQ201" s="19" t="s">
        <v>1869</v>
      </c>
      <c r="AR201" s="19" t="s">
        <v>60</v>
      </c>
      <c r="AS201" s="19" t="s">
        <v>2360</v>
      </c>
      <c r="AT201" s="19" t="s">
        <v>2341</v>
      </c>
      <c r="AU201" s="19" t="s">
        <v>2249</v>
      </c>
      <c r="AV201" s="19">
        <v>9999934588</v>
      </c>
      <c r="AW201" s="20">
        <v>46127</v>
      </c>
      <c r="AX201" s="19" t="s">
        <v>1990</v>
      </c>
      <c r="AY201" s="27" t="s">
        <v>466</v>
      </c>
      <c r="AZ201" s="27" t="s">
        <v>465</v>
      </c>
      <c r="BA201" s="19" t="s">
        <v>60</v>
      </c>
      <c r="BB201" s="19" t="s">
        <v>2608</v>
      </c>
      <c r="BC201" s="19" t="s">
        <v>427</v>
      </c>
      <c r="BD201" s="75" t="s">
        <v>1400</v>
      </c>
      <c r="BE201" s="100" t="s">
        <v>3897</v>
      </c>
      <c r="BF201" s="100" t="s">
        <v>4242</v>
      </c>
      <c r="BG201" s="100"/>
    </row>
    <row r="202" spans="1:59" s="10" customFormat="1" ht="13.5" x14ac:dyDescent="0.25">
      <c r="A202" s="59">
        <v>260</v>
      </c>
      <c r="B202" s="15" t="s">
        <v>60</v>
      </c>
      <c r="C202" s="12" t="s">
        <v>60</v>
      </c>
      <c r="D202" s="11" t="s">
        <v>40</v>
      </c>
      <c r="E202" s="11" t="s">
        <v>199</v>
      </c>
      <c r="F202" s="11" t="s">
        <v>837</v>
      </c>
      <c r="G202" s="13" t="s">
        <v>1417</v>
      </c>
      <c r="H202" s="11" t="s">
        <v>1365</v>
      </c>
      <c r="I202" s="3" t="s">
        <v>60</v>
      </c>
      <c r="J202" s="3" t="s">
        <v>60</v>
      </c>
      <c r="K202" s="11" t="s">
        <v>1499</v>
      </c>
      <c r="L202" s="4" t="s">
        <v>60</v>
      </c>
      <c r="M202" s="4" t="s">
        <v>60</v>
      </c>
      <c r="N202" s="4" t="s">
        <v>60</v>
      </c>
      <c r="O202" s="4" t="s">
        <v>60</v>
      </c>
      <c r="P202" s="4" t="s">
        <v>60</v>
      </c>
      <c r="Q202" s="4" t="s">
        <v>60</v>
      </c>
      <c r="R202" s="4" t="s">
        <v>60</v>
      </c>
      <c r="S202" s="4" t="s">
        <v>60</v>
      </c>
      <c r="T202" s="4" t="s">
        <v>60</v>
      </c>
      <c r="U202" s="4" t="s">
        <v>60</v>
      </c>
      <c r="V202" s="4" t="s">
        <v>60</v>
      </c>
      <c r="W202" s="4" t="s">
        <v>60</v>
      </c>
      <c r="X202" s="4" t="s">
        <v>60</v>
      </c>
      <c r="Y202" s="4" t="s">
        <v>60</v>
      </c>
      <c r="Z202" s="4" t="s">
        <v>60</v>
      </c>
      <c r="AA202" s="4" t="s">
        <v>60</v>
      </c>
      <c r="AB202" s="4" t="s">
        <v>60</v>
      </c>
      <c r="AC202" s="4" t="s">
        <v>60</v>
      </c>
      <c r="AD202" s="4" t="s">
        <v>60</v>
      </c>
      <c r="AE202" s="2" t="s">
        <v>60</v>
      </c>
      <c r="AF202" s="3" t="s">
        <v>1365</v>
      </c>
      <c r="AG202" s="7" t="s">
        <v>60</v>
      </c>
      <c r="AH202" s="7" t="s">
        <v>60</v>
      </c>
      <c r="AI202" s="7" t="s">
        <v>60</v>
      </c>
      <c r="AJ202" s="7" t="s">
        <v>60</v>
      </c>
      <c r="AK202" s="7" t="s">
        <v>60</v>
      </c>
      <c r="AL202" s="25" t="s">
        <v>1904</v>
      </c>
      <c r="AM202" s="25" t="s">
        <v>58</v>
      </c>
      <c r="AN202" s="25" t="s">
        <v>59</v>
      </c>
      <c r="AO202" s="25" t="s">
        <v>60</v>
      </c>
      <c r="AP202" s="19" t="s">
        <v>1499</v>
      </c>
      <c r="AQ202" s="19" t="s">
        <v>1869</v>
      </c>
      <c r="AR202" s="19" t="s">
        <v>60</v>
      </c>
      <c r="AS202" s="19" t="s">
        <v>2360</v>
      </c>
      <c r="AT202" s="19" t="s">
        <v>2208</v>
      </c>
      <c r="AU202" s="19" t="s">
        <v>2207</v>
      </c>
      <c r="AV202" s="19">
        <v>9999934588</v>
      </c>
      <c r="AW202" s="20">
        <v>46121</v>
      </c>
      <c r="AX202" s="19" t="s">
        <v>1990</v>
      </c>
      <c r="AY202" s="27" t="s">
        <v>837</v>
      </c>
      <c r="AZ202" s="27" t="s">
        <v>199</v>
      </c>
      <c r="BA202" s="19" t="s">
        <v>60</v>
      </c>
      <c r="BB202" s="19" t="s">
        <v>2639</v>
      </c>
      <c r="BC202" s="19" t="s">
        <v>2640</v>
      </c>
      <c r="BD202" s="75" t="s">
        <v>1365</v>
      </c>
      <c r="BE202" s="100" t="s">
        <v>3937</v>
      </c>
      <c r="BF202" s="100" t="s">
        <v>4243</v>
      </c>
      <c r="BG202" s="100"/>
    </row>
    <row r="203" spans="1:59" s="10" customFormat="1" ht="13.5" x14ac:dyDescent="0.25">
      <c r="A203" s="59">
        <v>228</v>
      </c>
      <c r="B203" s="15" t="s">
        <v>60</v>
      </c>
      <c r="C203" s="12" t="s">
        <v>60</v>
      </c>
      <c r="D203" s="11" t="s">
        <v>103</v>
      </c>
      <c r="E203" s="11" t="s">
        <v>237</v>
      </c>
      <c r="F203" s="11" t="s">
        <v>1606</v>
      </c>
      <c r="G203" s="13" t="s">
        <v>1417</v>
      </c>
      <c r="H203" s="11" t="s">
        <v>1390</v>
      </c>
      <c r="I203" s="3" t="s">
        <v>60</v>
      </c>
      <c r="J203" s="3" t="s">
        <v>60</v>
      </c>
      <c r="K203" s="11" t="s">
        <v>1524</v>
      </c>
      <c r="L203" s="4" t="s">
        <v>60</v>
      </c>
      <c r="M203" s="4" t="s">
        <v>60</v>
      </c>
      <c r="N203" s="4" t="s">
        <v>60</v>
      </c>
      <c r="O203" s="4" t="s">
        <v>60</v>
      </c>
      <c r="P203" s="4" t="s">
        <v>60</v>
      </c>
      <c r="Q203" s="4" t="s">
        <v>60</v>
      </c>
      <c r="R203" s="4" t="s">
        <v>60</v>
      </c>
      <c r="S203" s="4" t="s">
        <v>60</v>
      </c>
      <c r="T203" s="4" t="s">
        <v>60</v>
      </c>
      <c r="U203" s="4" t="s">
        <v>60</v>
      </c>
      <c r="V203" s="4" t="s">
        <v>60</v>
      </c>
      <c r="W203" s="4" t="s">
        <v>60</v>
      </c>
      <c r="X203" s="4" t="s">
        <v>60</v>
      </c>
      <c r="Y203" s="4" t="s">
        <v>60</v>
      </c>
      <c r="Z203" s="4" t="s">
        <v>60</v>
      </c>
      <c r="AA203" s="4" t="s">
        <v>60</v>
      </c>
      <c r="AB203" s="4" t="s">
        <v>60</v>
      </c>
      <c r="AC203" s="4" t="s">
        <v>60</v>
      </c>
      <c r="AD203" s="4" t="s">
        <v>60</v>
      </c>
      <c r="AE203" s="2" t="s">
        <v>60</v>
      </c>
      <c r="AF203" s="3" t="s">
        <v>1390</v>
      </c>
      <c r="AG203" s="7" t="s">
        <v>60</v>
      </c>
      <c r="AH203" s="7" t="s">
        <v>60</v>
      </c>
      <c r="AI203" s="7" t="s">
        <v>60</v>
      </c>
      <c r="AJ203" s="7" t="s">
        <v>60</v>
      </c>
      <c r="AK203" s="7" t="s">
        <v>60</v>
      </c>
      <c r="AL203" s="25" t="s">
        <v>1904</v>
      </c>
      <c r="AM203" s="25" t="s">
        <v>58</v>
      </c>
      <c r="AN203" s="25" t="s">
        <v>59</v>
      </c>
      <c r="AO203" s="25" t="s">
        <v>60</v>
      </c>
      <c r="AP203" s="19" t="s">
        <v>1524</v>
      </c>
      <c r="AQ203" s="19" t="s">
        <v>1869</v>
      </c>
      <c r="AR203" s="19" t="s">
        <v>60</v>
      </c>
      <c r="AS203" s="19" t="s">
        <v>2360</v>
      </c>
      <c r="AT203" s="19" t="s">
        <v>2338</v>
      </c>
      <c r="AU203" s="19" t="s">
        <v>2236</v>
      </c>
      <c r="AV203" s="19">
        <v>9999934588</v>
      </c>
      <c r="AW203" s="20">
        <v>46129</v>
      </c>
      <c r="AX203" s="19" t="s">
        <v>1990</v>
      </c>
      <c r="AY203" s="27" t="s">
        <v>1606</v>
      </c>
      <c r="AZ203" s="27" t="s">
        <v>237</v>
      </c>
      <c r="BA203" s="19" t="s">
        <v>60</v>
      </c>
      <c r="BB203" s="19" t="s">
        <v>2577</v>
      </c>
      <c r="BC203" s="19" t="s">
        <v>322</v>
      </c>
      <c r="BD203" s="75" t="s">
        <v>1390</v>
      </c>
      <c r="BE203" s="100" t="s">
        <v>3905</v>
      </c>
      <c r="BF203" s="100" t="s">
        <v>4244</v>
      </c>
      <c r="BG203" s="100"/>
    </row>
    <row r="204" spans="1:59" s="10" customFormat="1" ht="13.5" x14ac:dyDescent="0.25">
      <c r="A204" s="59">
        <v>214</v>
      </c>
      <c r="B204" s="15" t="s">
        <v>60</v>
      </c>
      <c r="C204" s="12" t="s">
        <v>60</v>
      </c>
      <c r="D204" s="11" t="s">
        <v>103</v>
      </c>
      <c r="E204" s="11" t="s">
        <v>465</v>
      </c>
      <c r="F204" s="11" t="s">
        <v>1576</v>
      </c>
      <c r="G204" s="13" t="s">
        <v>1417</v>
      </c>
      <c r="H204" s="11" t="s">
        <v>1330</v>
      </c>
      <c r="I204" s="3" t="s">
        <v>60</v>
      </c>
      <c r="J204" s="3" t="s">
        <v>60</v>
      </c>
      <c r="K204" s="11" t="s">
        <v>1463</v>
      </c>
      <c r="L204" s="4" t="s">
        <v>60</v>
      </c>
      <c r="M204" s="4" t="s">
        <v>60</v>
      </c>
      <c r="N204" s="4" t="s">
        <v>60</v>
      </c>
      <c r="O204" s="4" t="s">
        <v>60</v>
      </c>
      <c r="P204" s="4" t="s">
        <v>60</v>
      </c>
      <c r="Q204" s="4" t="s">
        <v>60</v>
      </c>
      <c r="R204" s="4" t="s">
        <v>60</v>
      </c>
      <c r="S204" s="4" t="s">
        <v>60</v>
      </c>
      <c r="T204" s="4" t="s">
        <v>60</v>
      </c>
      <c r="U204" s="4" t="s">
        <v>60</v>
      </c>
      <c r="V204" s="4" t="s">
        <v>60</v>
      </c>
      <c r="W204" s="4" t="s">
        <v>60</v>
      </c>
      <c r="X204" s="4" t="s">
        <v>60</v>
      </c>
      <c r="Y204" s="4" t="s">
        <v>60</v>
      </c>
      <c r="Z204" s="4" t="s">
        <v>60</v>
      </c>
      <c r="AA204" s="4" t="s">
        <v>60</v>
      </c>
      <c r="AB204" s="4" t="s">
        <v>60</v>
      </c>
      <c r="AC204" s="4" t="s">
        <v>60</v>
      </c>
      <c r="AD204" s="4" t="s">
        <v>60</v>
      </c>
      <c r="AE204" s="2" t="s">
        <v>60</v>
      </c>
      <c r="AF204" s="3" t="s">
        <v>1330</v>
      </c>
      <c r="AG204" s="7" t="s">
        <v>60</v>
      </c>
      <c r="AH204" s="7" t="s">
        <v>60</v>
      </c>
      <c r="AI204" s="7" t="s">
        <v>60</v>
      </c>
      <c r="AJ204" s="7" t="s">
        <v>60</v>
      </c>
      <c r="AK204" s="7" t="s">
        <v>60</v>
      </c>
      <c r="AL204" s="25" t="s">
        <v>1904</v>
      </c>
      <c r="AM204" s="25" t="s">
        <v>58</v>
      </c>
      <c r="AN204" s="25" t="s">
        <v>59</v>
      </c>
      <c r="AO204" s="25" t="s">
        <v>60</v>
      </c>
      <c r="AP204" s="19" t="s">
        <v>1463</v>
      </c>
      <c r="AQ204" s="19" t="s">
        <v>1869</v>
      </c>
      <c r="AR204" s="19" t="s">
        <v>60</v>
      </c>
      <c r="AS204" s="19" t="s">
        <v>2360</v>
      </c>
      <c r="AT204" s="19" t="s">
        <v>2159</v>
      </c>
      <c r="AU204" s="19" t="s">
        <v>2160</v>
      </c>
      <c r="AV204" s="19">
        <v>9999934588</v>
      </c>
      <c r="AW204" s="20">
        <v>46125</v>
      </c>
      <c r="AX204" s="19" t="s">
        <v>1990</v>
      </c>
      <c r="AY204" s="27" t="s">
        <v>1576</v>
      </c>
      <c r="AZ204" s="27" t="s">
        <v>465</v>
      </c>
      <c r="BA204" s="19" t="s">
        <v>60</v>
      </c>
      <c r="BB204" s="19" t="s">
        <v>2605</v>
      </c>
      <c r="BC204" s="19" t="s">
        <v>322</v>
      </c>
      <c r="BD204" s="75" t="s">
        <v>1330</v>
      </c>
      <c r="BE204" s="100" t="s">
        <v>3891</v>
      </c>
      <c r="BF204" s="100" t="s">
        <v>4245</v>
      </c>
      <c r="BG204" s="100"/>
    </row>
    <row r="205" spans="1:59" s="10" customFormat="1" ht="13.5" x14ac:dyDescent="0.25">
      <c r="A205" s="59">
        <v>315</v>
      </c>
      <c r="B205" s="15" t="s">
        <v>60</v>
      </c>
      <c r="C205" s="12" t="s">
        <v>60</v>
      </c>
      <c r="D205" s="11" t="s">
        <v>103</v>
      </c>
      <c r="E205" s="11" t="s">
        <v>104</v>
      </c>
      <c r="F205" s="11" t="s">
        <v>1599</v>
      </c>
      <c r="G205" s="13" t="s">
        <v>1417</v>
      </c>
      <c r="H205" s="11" t="s">
        <v>1376</v>
      </c>
      <c r="I205" s="3" t="s">
        <v>60</v>
      </c>
      <c r="J205" s="3" t="s">
        <v>60</v>
      </c>
      <c r="K205" s="11" t="s">
        <v>1510</v>
      </c>
      <c r="L205" s="4" t="s">
        <v>60</v>
      </c>
      <c r="M205" s="4" t="s">
        <v>60</v>
      </c>
      <c r="N205" s="4" t="s">
        <v>60</v>
      </c>
      <c r="O205" s="4" t="s">
        <v>60</v>
      </c>
      <c r="P205" s="4" t="s">
        <v>60</v>
      </c>
      <c r="Q205" s="4" t="s">
        <v>60</v>
      </c>
      <c r="R205" s="4" t="s">
        <v>60</v>
      </c>
      <c r="S205" s="4" t="s">
        <v>60</v>
      </c>
      <c r="T205" s="4" t="s">
        <v>60</v>
      </c>
      <c r="U205" s="4" t="s">
        <v>60</v>
      </c>
      <c r="V205" s="4" t="s">
        <v>60</v>
      </c>
      <c r="W205" s="4" t="s">
        <v>60</v>
      </c>
      <c r="X205" s="4" t="s">
        <v>60</v>
      </c>
      <c r="Y205" s="4" t="s">
        <v>60</v>
      </c>
      <c r="Z205" s="4" t="s">
        <v>60</v>
      </c>
      <c r="AA205" s="4" t="s">
        <v>60</v>
      </c>
      <c r="AB205" s="4" t="s">
        <v>60</v>
      </c>
      <c r="AC205" s="4" t="s">
        <v>60</v>
      </c>
      <c r="AD205" s="4" t="s">
        <v>60</v>
      </c>
      <c r="AE205" s="2" t="s">
        <v>60</v>
      </c>
      <c r="AF205" s="3" t="s">
        <v>1376</v>
      </c>
      <c r="AG205" s="7" t="s">
        <v>60</v>
      </c>
      <c r="AH205" s="7" t="s">
        <v>60</v>
      </c>
      <c r="AI205" s="7" t="s">
        <v>60</v>
      </c>
      <c r="AJ205" s="7" t="s">
        <v>60</v>
      </c>
      <c r="AK205" s="7" t="s">
        <v>60</v>
      </c>
      <c r="AL205" s="25" t="s">
        <v>1904</v>
      </c>
      <c r="AM205" s="25" t="s">
        <v>58</v>
      </c>
      <c r="AN205" s="25" t="s">
        <v>59</v>
      </c>
      <c r="AO205" s="25" t="s">
        <v>60</v>
      </c>
      <c r="AP205" s="19" t="s">
        <v>1510</v>
      </c>
      <c r="AQ205" s="19" t="s">
        <v>1869</v>
      </c>
      <c r="AR205" s="19" t="s">
        <v>60</v>
      </c>
      <c r="AS205" s="19" t="s">
        <v>2360</v>
      </c>
      <c r="AT205" s="19" t="s">
        <v>2220</v>
      </c>
      <c r="AU205" s="19" t="s">
        <v>2221</v>
      </c>
      <c r="AV205" s="19">
        <v>9999934588</v>
      </c>
      <c r="AW205" s="20">
        <v>46129</v>
      </c>
      <c r="AX205" s="19" t="s">
        <v>1990</v>
      </c>
      <c r="AY205" s="27" t="s">
        <v>1599</v>
      </c>
      <c r="AZ205" s="27" t="s">
        <v>104</v>
      </c>
      <c r="BA205" s="19" t="s">
        <v>60</v>
      </c>
      <c r="BB205" s="19" t="s">
        <v>2674</v>
      </c>
      <c r="BC205" s="19" t="s">
        <v>322</v>
      </c>
      <c r="BD205" s="75" t="s">
        <v>1376</v>
      </c>
      <c r="BE205" s="100" t="s">
        <v>3992</v>
      </c>
      <c r="BF205" s="100" t="s">
        <v>4246</v>
      </c>
      <c r="BG205" s="100"/>
    </row>
    <row r="206" spans="1:59" s="10" customFormat="1" ht="13.5" x14ac:dyDescent="0.25">
      <c r="A206" s="59">
        <v>239</v>
      </c>
      <c r="B206" s="15" t="s">
        <v>60</v>
      </c>
      <c r="C206" s="12" t="s">
        <v>60</v>
      </c>
      <c r="D206" s="11" t="s">
        <v>40</v>
      </c>
      <c r="E206" s="11" t="s">
        <v>199</v>
      </c>
      <c r="F206" s="11" t="s">
        <v>452</v>
      </c>
      <c r="G206" s="13" t="s">
        <v>1417</v>
      </c>
      <c r="H206" s="11" t="s">
        <v>1287</v>
      </c>
      <c r="I206" s="3" t="s">
        <v>60</v>
      </c>
      <c r="J206" s="3" t="s">
        <v>60</v>
      </c>
      <c r="K206" s="11" t="s">
        <v>1420</v>
      </c>
      <c r="L206" s="4" t="s">
        <v>60</v>
      </c>
      <c r="M206" s="4" t="s">
        <v>60</v>
      </c>
      <c r="N206" s="4" t="s">
        <v>60</v>
      </c>
      <c r="O206" s="4" t="s">
        <v>60</v>
      </c>
      <c r="P206" s="4" t="s">
        <v>60</v>
      </c>
      <c r="Q206" s="4" t="s">
        <v>60</v>
      </c>
      <c r="R206" s="4" t="s">
        <v>60</v>
      </c>
      <c r="S206" s="4" t="s">
        <v>60</v>
      </c>
      <c r="T206" s="4" t="s">
        <v>60</v>
      </c>
      <c r="U206" s="4" t="s">
        <v>60</v>
      </c>
      <c r="V206" s="4" t="s">
        <v>60</v>
      </c>
      <c r="W206" s="4" t="s">
        <v>60</v>
      </c>
      <c r="X206" s="4" t="s">
        <v>60</v>
      </c>
      <c r="Y206" s="4" t="s">
        <v>60</v>
      </c>
      <c r="Z206" s="4" t="s">
        <v>60</v>
      </c>
      <c r="AA206" s="4" t="s">
        <v>60</v>
      </c>
      <c r="AB206" s="4" t="s">
        <v>60</v>
      </c>
      <c r="AC206" s="4" t="s">
        <v>60</v>
      </c>
      <c r="AD206" s="4" t="s">
        <v>60</v>
      </c>
      <c r="AE206" s="2" t="s">
        <v>60</v>
      </c>
      <c r="AF206" s="3" t="s">
        <v>1287</v>
      </c>
      <c r="AG206" s="7" t="s">
        <v>60</v>
      </c>
      <c r="AH206" s="7" t="s">
        <v>60</v>
      </c>
      <c r="AI206" s="7" t="s">
        <v>60</v>
      </c>
      <c r="AJ206" s="7" t="s">
        <v>60</v>
      </c>
      <c r="AK206" s="7" t="s">
        <v>60</v>
      </c>
      <c r="AL206" s="25" t="s">
        <v>1904</v>
      </c>
      <c r="AM206" s="25" t="s">
        <v>58</v>
      </c>
      <c r="AN206" s="25" t="s">
        <v>59</v>
      </c>
      <c r="AO206" s="25" t="s">
        <v>60</v>
      </c>
      <c r="AP206" s="19" t="s">
        <v>1420</v>
      </c>
      <c r="AQ206" s="19" t="s">
        <v>1869</v>
      </c>
      <c r="AR206" s="19" t="s">
        <v>60</v>
      </c>
      <c r="AS206" s="19" t="s">
        <v>2360</v>
      </c>
      <c r="AT206" s="19" t="s">
        <v>2101</v>
      </c>
      <c r="AU206" s="19" t="s">
        <v>2347</v>
      </c>
      <c r="AV206" s="19">
        <v>9999934588</v>
      </c>
      <c r="AW206" s="20">
        <v>46120</v>
      </c>
      <c r="AX206" s="19" t="s">
        <v>1990</v>
      </c>
      <c r="AY206" s="27" t="s">
        <v>452</v>
      </c>
      <c r="AZ206" s="27" t="s">
        <v>199</v>
      </c>
      <c r="BA206" s="19" t="s">
        <v>60</v>
      </c>
      <c r="BB206" s="19" t="s">
        <v>2623</v>
      </c>
      <c r="BC206" s="19" t="s">
        <v>538</v>
      </c>
      <c r="BD206" s="75" t="s">
        <v>1287</v>
      </c>
      <c r="BE206" s="100" t="s">
        <v>3916</v>
      </c>
      <c r="BF206" s="100" t="s">
        <v>4247</v>
      </c>
      <c r="BG206" s="100"/>
    </row>
    <row r="207" spans="1:59" s="10" customFormat="1" ht="13.5" x14ac:dyDescent="0.25">
      <c r="A207" s="59">
        <v>290</v>
      </c>
      <c r="B207" s="15" t="s">
        <v>60</v>
      </c>
      <c r="C207" s="12" t="s">
        <v>60</v>
      </c>
      <c r="D207" s="11" t="s">
        <v>40</v>
      </c>
      <c r="E207" s="11" t="s">
        <v>61</v>
      </c>
      <c r="F207" s="11" t="s">
        <v>270</v>
      </c>
      <c r="G207" s="13" t="s">
        <v>1417</v>
      </c>
      <c r="H207" s="11" t="s">
        <v>1368</v>
      </c>
      <c r="I207" s="3" t="s">
        <v>60</v>
      </c>
      <c r="J207" s="3" t="s">
        <v>60</v>
      </c>
      <c r="K207" s="11" t="s">
        <v>1502</v>
      </c>
      <c r="L207" s="4" t="s">
        <v>60</v>
      </c>
      <c r="M207" s="4" t="s">
        <v>60</v>
      </c>
      <c r="N207" s="4" t="s">
        <v>60</v>
      </c>
      <c r="O207" s="4" t="s">
        <v>60</v>
      </c>
      <c r="P207" s="4" t="s">
        <v>60</v>
      </c>
      <c r="Q207" s="4" t="s">
        <v>60</v>
      </c>
      <c r="R207" s="4" t="s">
        <v>60</v>
      </c>
      <c r="S207" s="4" t="s">
        <v>60</v>
      </c>
      <c r="T207" s="4" t="s">
        <v>60</v>
      </c>
      <c r="U207" s="4" t="s">
        <v>60</v>
      </c>
      <c r="V207" s="4" t="s">
        <v>60</v>
      </c>
      <c r="W207" s="4" t="s">
        <v>60</v>
      </c>
      <c r="X207" s="4" t="s">
        <v>60</v>
      </c>
      <c r="Y207" s="4" t="s">
        <v>60</v>
      </c>
      <c r="Z207" s="4" t="s">
        <v>60</v>
      </c>
      <c r="AA207" s="4" t="s">
        <v>60</v>
      </c>
      <c r="AB207" s="4" t="s">
        <v>60</v>
      </c>
      <c r="AC207" s="4" t="s">
        <v>60</v>
      </c>
      <c r="AD207" s="4" t="s">
        <v>60</v>
      </c>
      <c r="AE207" s="2" t="s">
        <v>60</v>
      </c>
      <c r="AF207" s="3" t="s">
        <v>1368</v>
      </c>
      <c r="AG207" s="7" t="s">
        <v>60</v>
      </c>
      <c r="AH207" s="7" t="s">
        <v>60</v>
      </c>
      <c r="AI207" s="7" t="s">
        <v>60</v>
      </c>
      <c r="AJ207" s="7" t="s">
        <v>60</v>
      </c>
      <c r="AK207" s="7" t="s">
        <v>60</v>
      </c>
      <c r="AL207" s="25" t="s">
        <v>1904</v>
      </c>
      <c r="AM207" s="25" t="s">
        <v>58</v>
      </c>
      <c r="AN207" s="25" t="s">
        <v>59</v>
      </c>
      <c r="AO207" s="25" t="s">
        <v>60</v>
      </c>
      <c r="AP207" s="19" t="s">
        <v>1502</v>
      </c>
      <c r="AQ207" s="19" t="s">
        <v>1869</v>
      </c>
      <c r="AR207" s="19" t="s">
        <v>60</v>
      </c>
      <c r="AS207" s="19" t="s">
        <v>2360</v>
      </c>
      <c r="AT207" s="19" t="s">
        <v>60</v>
      </c>
      <c r="AU207" s="19" t="s">
        <v>2816</v>
      </c>
      <c r="AV207" s="19">
        <v>9999934588</v>
      </c>
      <c r="AW207" s="20">
        <v>46120</v>
      </c>
      <c r="AX207" s="19" t="s">
        <v>1990</v>
      </c>
      <c r="AY207" s="27" t="s">
        <v>270</v>
      </c>
      <c r="AZ207" s="27" t="s">
        <v>61</v>
      </c>
      <c r="BA207" s="19" t="s">
        <v>60</v>
      </c>
      <c r="BB207" s="19" t="s">
        <v>2659</v>
      </c>
      <c r="BC207" s="19" t="s">
        <v>143</v>
      </c>
      <c r="BD207" s="75" t="s">
        <v>1368</v>
      </c>
      <c r="BE207" s="100" t="s">
        <v>3967</v>
      </c>
      <c r="BF207" s="100" t="s">
        <v>4248</v>
      </c>
      <c r="BG207" s="100"/>
    </row>
    <row r="208" spans="1:59" s="10" customFormat="1" ht="13.5" x14ac:dyDescent="0.25">
      <c r="A208" s="59">
        <v>312</v>
      </c>
      <c r="B208" s="15" t="s">
        <v>60</v>
      </c>
      <c r="C208" s="12" t="s">
        <v>60</v>
      </c>
      <c r="D208" s="11" t="s">
        <v>103</v>
      </c>
      <c r="E208" s="11" t="s">
        <v>104</v>
      </c>
      <c r="F208" s="11" t="s">
        <v>1588</v>
      </c>
      <c r="G208" s="13" t="s">
        <v>1417</v>
      </c>
      <c r="H208" s="11" t="s">
        <v>1349</v>
      </c>
      <c r="I208" s="3" t="s">
        <v>60</v>
      </c>
      <c r="J208" s="3" t="s">
        <v>60</v>
      </c>
      <c r="K208" s="11" t="s">
        <v>1482</v>
      </c>
      <c r="L208" s="4" t="s">
        <v>60</v>
      </c>
      <c r="M208" s="4" t="s">
        <v>60</v>
      </c>
      <c r="N208" s="4" t="s">
        <v>60</v>
      </c>
      <c r="O208" s="4" t="s">
        <v>60</v>
      </c>
      <c r="P208" s="4" t="s">
        <v>60</v>
      </c>
      <c r="Q208" s="4" t="s">
        <v>60</v>
      </c>
      <c r="R208" s="4" t="s">
        <v>60</v>
      </c>
      <c r="S208" s="4" t="s">
        <v>60</v>
      </c>
      <c r="T208" s="4" t="s">
        <v>60</v>
      </c>
      <c r="U208" s="4" t="s">
        <v>60</v>
      </c>
      <c r="V208" s="4" t="s">
        <v>60</v>
      </c>
      <c r="W208" s="4" t="s">
        <v>60</v>
      </c>
      <c r="X208" s="4" t="s">
        <v>60</v>
      </c>
      <c r="Y208" s="4" t="s">
        <v>60</v>
      </c>
      <c r="Z208" s="4" t="s">
        <v>60</v>
      </c>
      <c r="AA208" s="4" t="s">
        <v>60</v>
      </c>
      <c r="AB208" s="4" t="s">
        <v>60</v>
      </c>
      <c r="AC208" s="4" t="s">
        <v>60</v>
      </c>
      <c r="AD208" s="4" t="s">
        <v>60</v>
      </c>
      <c r="AE208" s="2" t="s">
        <v>60</v>
      </c>
      <c r="AF208" s="3" t="s">
        <v>1349</v>
      </c>
      <c r="AG208" s="7" t="s">
        <v>60</v>
      </c>
      <c r="AH208" s="7" t="s">
        <v>60</v>
      </c>
      <c r="AI208" s="7" t="s">
        <v>60</v>
      </c>
      <c r="AJ208" s="7" t="s">
        <v>60</v>
      </c>
      <c r="AK208" s="7" t="s">
        <v>60</v>
      </c>
      <c r="AL208" s="25" t="s">
        <v>1904</v>
      </c>
      <c r="AM208" s="25" t="s">
        <v>58</v>
      </c>
      <c r="AN208" s="25" t="s">
        <v>59</v>
      </c>
      <c r="AO208" s="25" t="s">
        <v>60</v>
      </c>
      <c r="AP208" s="19" t="s">
        <v>1482</v>
      </c>
      <c r="AQ208" s="19" t="s">
        <v>1869</v>
      </c>
      <c r="AR208" s="19" t="s">
        <v>60</v>
      </c>
      <c r="AS208" s="19" t="s">
        <v>2360</v>
      </c>
      <c r="AT208" s="19" t="s">
        <v>2330</v>
      </c>
      <c r="AU208" s="19" t="s">
        <v>2187</v>
      </c>
      <c r="AV208" s="19">
        <v>9999934588</v>
      </c>
      <c r="AW208" s="20">
        <v>46136</v>
      </c>
      <c r="AX208" s="19" t="s">
        <v>1990</v>
      </c>
      <c r="AY208" s="27" t="s">
        <v>1588</v>
      </c>
      <c r="AZ208" s="27" t="s">
        <v>104</v>
      </c>
      <c r="BA208" s="19" t="s">
        <v>60</v>
      </c>
      <c r="BB208" s="19" t="s">
        <v>2672</v>
      </c>
      <c r="BC208" s="19" t="s">
        <v>322</v>
      </c>
      <c r="BD208" s="75" t="s">
        <v>1349</v>
      </c>
      <c r="BE208" s="100" t="s">
        <v>3989</v>
      </c>
      <c r="BF208" s="100" t="s">
        <v>4249</v>
      </c>
      <c r="BG208" s="100"/>
    </row>
    <row r="209" spans="1:59" s="10" customFormat="1" ht="13.5" x14ac:dyDescent="0.25">
      <c r="A209" s="59">
        <v>235</v>
      </c>
      <c r="B209" s="15" t="s">
        <v>60</v>
      </c>
      <c r="C209" s="12" t="s">
        <v>60</v>
      </c>
      <c r="D209" s="11" t="s">
        <v>40</v>
      </c>
      <c r="E209" s="11" t="s">
        <v>41</v>
      </c>
      <c r="F209" s="11" t="s">
        <v>1603</v>
      </c>
      <c r="G209" s="13" t="s">
        <v>1417</v>
      </c>
      <c r="H209" s="11" t="s">
        <v>1385</v>
      </c>
      <c r="I209" s="3" t="s">
        <v>60</v>
      </c>
      <c r="J209" s="3" t="s">
        <v>60</v>
      </c>
      <c r="K209" s="11" t="s">
        <v>1519</v>
      </c>
      <c r="L209" s="4" t="s">
        <v>60</v>
      </c>
      <c r="M209" s="4" t="s">
        <v>60</v>
      </c>
      <c r="N209" s="4" t="s">
        <v>60</v>
      </c>
      <c r="O209" s="4" t="s">
        <v>60</v>
      </c>
      <c r="P209" s="4" t="s">
        <v>60</v>
      </c>
      <c r="Q209" s="4" t="s">
        <v>60</v>
      </c>
      <c r="R209" s="4" t="s">
        <v>60</v>
      </c>
      <c r="S209" s="4" t="s">
        <v>60</v>
      </c>
      <c r="T209" s="4" t="s">
        <v>60</v>
      </c>
      <c r="U209" s="4" t="s">
        <v>60</v>
      </c>
      <c r="V209" s="4" t="s">
        <v>60</v>
      </c>
      <c r="W209" s="4" t="s">
        <v>60</v>
      </c>
      <c r="X209" s="4" t="s">
        <v>60</v>
      </c>
      <c r="Y209" s="4" t="s">
        <v>60</v>
      </c>
      <c r="Z209" s="4" t="s">
        <v>60</v>
      </c>
      <c r="AA209" s="4" t="s">
        <v>60</v>
      </c>
      <c r="AB209" s="4" t="s">
        <v>60</v>
      </c>
      <c r="AC209" s="4" t="s">
        <v>60</v>
      </c>
      <c r="AD209" s="4" t="s">
        <v>60</v>
      </c>
      <c r="AE209" s="2" t="s">
        <v>60</v>
      </c>
      <c r="AF209" s="3" t="s">
        <v>1385</v>
      </c>
      <c r="AG209" s="7" t="s">
        <v>60</v>
      </c>
      <c r="AH209" s="7" t="s">
        <v>60</v>
      </c>
      <c r="AI209" s="7" t="s">
        <v>60</v>
      </c>
      <c r="AJ209" s="7" t="s">
        <v>60</v>
      </c>
      <c r="AK209" s="7" t="s">
        <v>60</v>
      </c>
      <c r="AL209" s="25" t="s">
        <v>1904</v>
      </c>
      <c r="AM209" s="25" t="s">
        <v>58</v>
      </c>
      <c r="AN209" s="25" t="s">
        <v>59</v>
      </c>
      <c r="AO209" s="25" t="s">
        <v>60</v>
      </c>
      <c r="AP209" s="19" t="s">
        <v>1519</v>
      </c>
      <c r="AQ209" s="19" t="s">
        <v>1869</v>
      </c>
      <c r="AR209" s="19" t="s">
        <v>60</v>
      </c>
      <c r="AS209" s="19" t="s">
        <v>2360</v>
      </c>
      <c r="AT209" s="19" t="s">
        <v>2335</v>
      </c>
      <c r="AU209" s="19" t="s">
        <v>2229</v>
      </c>
      <c r="AV209" s="19">
        <v>9999934588</v>
      </c>
      <c r="AW209" s="20">
        <v>46122</v>
      </c>
      <c r="AX209" s="19" t="s">
        <v>1990</v>
      </c>
      <c r="AY209" s="27" t="s">
        <v>1603</v>
      </c>
      <c r="AZ209" s="27" t="s">
        <v>41</v>
      </c>
      <c r="BA209" s="19" t="s">
        <v>60</v>
      </c>
      <c r="BB209" s="19" t="s">
        <v>2619</v>
      </c>
      <c r="BC209" s="19" t="s">
        <v>2364</v>
      </c>
      <c r="BD209" s="75" t="s">
        <v>1385</v>
      </c>
      <c r="BE209" s="100" t="s">
        <v>3912</v>
      </c>
      <c r="BF209" s="100" t="s">
        <v>4250</v>
      </c>
      <c r="BG209" s="100"/>
    </row>
    <row r="210" spans="1:59" s="10" customFormat="1" ht="13.5" x14ac:dyDescent="0.25">
      <c r="A210" s="59">
        <v>231</v>
      </c>
      <c r="B210" s="15" t="s">
        <v>60</v>
      </c>
      <c r="C210" s="12" t="s">
        <v>60</v>
      </c>
      <c r="D210" s="11" t="s">
        <v>40</v>
      </c>
      <c r="E210" s="11" t="s">
        <v>41</v>
      </c>
      <c r="F210" s="11" t="s">
        <v>992</v>
      </c>
      <c r="G210" s="13" t="s">
        <v>1417</v>
      </c>
      <c r="H210" s="11" t="s">
        <v>1295</v>
      </c>
      <c r="I210" s="3" t="s">
        <v>60</v>
      </c>
      <c r="J210" s="3" t="s">
        <v>60</v>
      </c>
      <c r="K210" s="11" t="s">
        <v>1428</v>
      </c>
      <c r="L210" s="4" t="s">
        <v>60</v>
      </c>
      <c r="M210" s="4" t="s">
        <v>60</v>
      </c>
      <c r="N210" s="4" t="s">
        <v>60</v>
      </c>
      <c r="O210" s="4" t="s">
        <v>60</v>
      </c>
      <c r="P210" s="4" t="s">
        <v>60</v>
      </c>
      <c r="Q210" s="4" t="s">
        <v>60</v>
      </c>
      <c r="R210" s="4" t="s">
        <v>60</v>
      </c>
      <c r="S210" s="4" t="s">
        <v>60</v>
      </c>
      <c r="T210" s="4" t="s">
        <v>60</v>
      </c>
      <c r="U210" s="4" t="s">
        <v>60</v>
      </c>
      <c r="V210" s="4" t="s">
        <v>60</v>
      </c>
      <c r="W210" s="4" t="s">
        <v>60</v>
      </c>
      <c r="X210" s="4" t="s">
        <v>60</v>
      </c>
      <c r="Y210" s="4" t="s">
        <v>60</v>
      </c>
      <c r="Z210" s="4" t="s">
        <v>60</v>
      </c>
      <c r="AA210" s="4" t="s">
        <v>60</v>
      </c>
      <c r="AB210" s="4" t="s">
        <v>60</v>
      </c>
      <c r="AC210" s="4" t="s">
        <v>60</v>
      </c>
      <c r="AD210" s="4" t="s">
        <v>60</v>
      </c>
      <c r="AE210" s="2" t="s">
        <v>60</v>
      </c>
      <c r="AF210" s="3" t="s">
        <v>1295</v>
      </c>
      <c r="AG210" s="7" t="s">
        <v>60</v>
      </c>
      <c r="AH210" s="7" t="s">
        <v>60</v>
      </c>
      <c r="AI210" s="7" t="s">
        <v>60</v>
      </c>
      <c r="AJ210" s="7" t="s">
        <v>60</v>
      </c>
      <c r="AK210" s="7" t="s">
        <v>60</v>
      </c>
      <c r="AL210" s="25" t="s">
        <v>1904</v>
      </c>
      <c r="AM210" s="25" t="s">
        <v>58</v>
      </c>
      <c r="AN210" s="25" t="s">
        <v>59</v>
      </c>
      <c r="AO210" s="25" t="s">
        <v>60</v>
      </c>
      <c r="AP210" s="19" t="s">
        <v>1428</v>
      </c>
      <c r="AQ210" s="19" t="s">
        <v>1869</v>
      </c>
      <c r="AR210" s="19" t="s">
        <v>60</v>
      </c>
      <c r="AS210" s="19" t="s">
        <v>2360</v>
      </c>
      <c r="AT210" s="19" t="s">
        <v>2109</v>
      </c>
      <c r="AU210" s="19" t="s">
        <v>2110</v>
      </c>
      <c r="AV210" s="19">
        <v>9999934588</v>
      </c>
      <c r="AW210" s="20">
        <v>46120</v>
      </c>
      <c r="AX210" s="19" t="s">
        <v>1990</v>
      </c>
      <c r="AY210" s="27" t="s">
        <v>992</v>
      </c>
      <c r="AZ210" s="27" t="s">
        <v>41</v>
      </c>
      <c r="BA210" s="19" t="s">
        <v>60</v>
      </c>
      <c r="BB210" s="19" t="s">
        <v>2615</v>
      </c>
      <c r="BC210" s="19" t="s">
        <v>2616</v>
      </c>
      <c r="BD210" s="75" t="s">
        <v>1295</v>
      </c>
      <c r="BE210" s="100" t="s">
        <v>3908</v>
      </c>
      <c r="BF210" s="100" t="s">
        <v>4251</v>
      </c>
      <c r="BG210" s="100"/>
    </row>
    <row r="211" spans="1:59" s="10" customFormat="1" ht="13.5" x14ac:dyDescent="0.25">
      <c r="A211" s="59">
        <v>233</v>
      </c>
      <c r="B211" s="15" t="s">
        <v>60</v>
      </c>
      <c r="C211" s="12" t="s">
        <v>60</v>
      </c>
      <c r="D211" s="11" t="s">
        <v>40</v>
      </c>
      <c r="E211" s="11" t="s">
        <v>41</v>
      </c>
      <c r="F211" s="11" t="s">
        <v>156</v>
      </c>
      <c r="G211" s="13" t="s">
        <v>1417</v>
      </c>
      <c r="H211" s="11" t="s">
        <v>1381</v>
      </c>
      <c r="I211" s="3" t="s">
        <v>60</v>
      </c>
      <c r="J211" s="3" t="s">
        <v>60</v>
      </c>
      <c r="K211" s="11" t="s">
        <v>1515</v>
      </c>
      <c r="L211" s="4" t="s">
        <v>60</v>
      </c>
      <c r="M211" s="4" t="s">
        <v>60</v>
      </c>
      <c r="N211" s="4" t="s">
        <v>60</v>
      </c>
      <c r="O211" s="4" t="s">
        <v>60</v>
      </c>
      <c r="P211" s="4" t="s">
        <v>60</v>
      </c>
      <c r="Q211" s="4" t="s">
        <v>60</v>
      </c>
      <c r="R211" s="4" t="s">
        <v>60</v>
      </c>
      <c r="S211" s="4" t="s">
        <v>60</v>
      </c>
      <c r="T211" s="4" t="s">
        <v>60</v>
      </c>
      <c r="U211" s="4" t="s">
        <v>60</v>
      </c>
      <c r="V211" s="4" t="s">
        <v>60</v>
      </c>
      <c r="W211" s="4" t="s">
        <v>60</v>
      </c>
      <c r="X211" s="4" t="s">
        <v>60</v>
      </c>
      <c r="Y211" s="4" t="s">
        <v>60</v>
      </c>
      <c r="Z211" s="4" t="s">
        <v>60</v>
      </c>
      <c r="AA211" s="4" t="s">
        <v>60</v>
      </c>
      <c r="AB211" s="4" t="s">
        <v>60</v>
      </c>
      <c r="AC211" s="4" t="s">
        <v>60</v>
      </c>
      <c r="AD211" s="4" t="s">
        <v>60</v>
      </c>
      <c r="AE211" s="2" t="s">
        <v>60</v>
      </c>
      <c r="AF211" s="3" t="s">
        <v>1381</v>
      </c>
      <c r="AG211" s="7" t="s">
        <v>60</v>
      </c>
      <c r="AH211" s="7" t="s">
        <v>60</v>
      </c>
      <c r="AI211" s="7" t="s">
        <v>60</v>
      </c>
      <c r="AJ211" s="7" t="s">
        <v>60</v>
      </c>
      <c r="AK211" s="7" t="s">
        <v>60</v>
      </c>
      <c r="AL211" s="25" t="s">
        <v>1904</v>
      </c>
      <c r="AM211" s="25" t="s">
        <v>58</v>
      </c>
      <c r="AN211" s="25" t="s">
        <v>59</v>
      </c>
      <c r="AO211" s="25" t="s">
        <v>60</v>
      </c>
      <c r="AP211" s="19" t="s">
        <v>1515</v>
      </c>
      <c r="AQ211" s="19" t="s">
        <v>1869</v>
      </c>
      <c r="AR211" s="19" t="s">
        <v>60</v>
      </c>
      <c r="AS211" s="19" t="s">
        <v>2360</v>
      </c>
      <c r="AT211" s="19" t="s">
        <v>2226</v>
      </c>
      <c r="AU211" s="19" t="s">
        <v>2198</v>
      </c>
      <c r="AV211" s="19">
        <v>9999934588</v>
      </c>
      <c r="AW211" s="20">
        <v>46129</v>
      </c>
      <c r="AX211" s="19" t="s">
        <v>1990</v>
      </c>
      <c r="AY211" s="27" t="s">
        <v>156</v>
      </c>
      <c r="AZ211" s="27" t="s">
        <v>41</v>
      </c>
      <c r="BA211" s="19" t="s">
        <v>60</v>
      </c>
      <c r="BB211" s="19" t="s">
        <v>2576</v>
      </c>
      <c r="BC211" s="19" t="s">
        <v>143</v>
      </c>
      <c r="BD211" s="75" t="s">
        <v>1381</v>
      </c>
      <c r="BE211" s="100" t="s">
        <v>3910</v>
      </c>
      <c r="BF211" s="100" t="s">
        <v>4252</v>
      </c>
      <c r="BG211" s="100"/>
    </row>
    <row r="212" spans="1:59" s="10" customFormat="1" ht="13.5" x14ac:dyDescent="0.25">
      <c r="A212" s="59">
        <v>190</v>
      </c>
      <c r="B212" s="15" t="s">
        <v>60</v>
      </c>
      <c r="C212" s="12" t="s">
        <v>60</v>
      </c>
      <c r="D212" s="11" t="s">
        <v>40</v>
      </c>
      <c r="E212" s="11" t="s">
        <v>42</v>
      </c>
      <c r="F212" s="11" t="s">
        <v>42</v>
      </c>
      <c r="G212" s="13" t="s">
        <v>1417</v>
      </c>
      <c r="H212" s="11" t="s">
        <v>1317</v>
      </c>
      <c r="I212" s="3" t="s">
        <v>60</v>
      </c>
      <c r="J212" s="3" t="s">
        <v>60</v>
      </c>
      <c r="K212" s="11" t="s">
        <v>1450</v>
      </c>
      <c r="L212" s="4" t="s">
        <v>60</v>
      </c>
      <c r="M212" s="4" t="s">
        <v>60</v>
      </c>
      <c r="N212" s="4" t="s">
        <v>60</v>
      </c>
      <c r="O212" s="4" t="s">
        <v>60</v>
      </c>
      <c r="P212" s="4" t="s">
        <v>60</v>
      </c>
      <c r="Q212" s="4" t="s">
        <v>60</v>
      </c>
      <c r="R212" s="4" t="s">
        <v>60</v>
      </c>
      <c r="S212" s="4" t="s">
        <v>60</v>
      </c>
      <c r="T212" s="4" t="s">
        <v>60</v>
      </c>
      <c r="U212" s="4" t="s">
        <v>60</v>
      </c>
      <c r="V212" s="4" t="s">
        <v>60</v>
      </c>
      <c r="W212" s="4" t="s">
        <v>60</v>
      </c>
      <c r="X212" s="4" t="s">
        <v>60</v>
      </c>
      <c r="Y212" s="4" t="s">
        <v>60</v>
      </c>
      <c r="Z212" s="4" t="s">
        <v>60</v>
      </c>
      <c r="AA212" s="4" t="s">
        <v>60</v>
      </c>
      <c r="AB212" s="4" t="s">
        <v>60</v>
      </c>
      <c r="AC212" s="4" t="s">
        <v>60</v>
      </c>
      <c r="AD212" s="4" t="s">
        <v>60</v>
      </c>
      <c r="AE212" s="2" t="s">
        <v>60</v>
      </c>
      <c r="AF212" s="3" t="s">
        <v>1317</v>
      </c>
      <c r="AG212" s="7" t="s">
        <v>60</v>
      </c>
      <c r="AH212" s="7" t="s">
        <v>60</v>
      </c>
      <c r="AI212" s="7" t="s">
        <v>60</v>
      </c>
      <c r="AJ212" s="7" t="s">
        <v>60</v>
      </c>
      <c r="AK212" s="7" t="s">
        <v>60</v>
      </c>
      <c r="AL212" s="25" t="s">
        <v>1904</v>
      </c>
      <c r="AM212" s="25" t="s">
        <v>58</v>
      </c>
      <c r="AN212" s="25" t="s">
        <v>59</v>
      </c>
      <c r="AO212" s="25" t="s">
        <v>60</v>
      </c>
      <c r="AP212" s="19" t="s">
        <v>1450</v>
      </c>
      <c r="AQ212" s="19" t="s">
        <v>1869</v>
      </c>
      <c r="AR212" s="19" t="s">
        <v>60</v>
      </c>
      <c r="AS212" s="19" t="s">
        <v>2360</v>
      </c>
      <c r="AT212" s="19" t="s">
        <v>2138</v>
      </c>
      <c r="AU212" s="19" t="s">
        <v>2139</v>
      </c>
      <c r="AV212" s="19">
        <v>9999934588</v>
      </c>
      <c r="AW212" s="20">
        <v>46130</v>
      </c>
      <c r="AX212" s="19" t="s">
        <v>1990</v>
      </c>
      <c r="AY212" s="27" t="s">
        <v>42</v>
      </c>
      <c r="AZ212" s="27" t="s">
        <v>42</v>
      </c>
      <c r="BA212" s="19" t="s">
        <v>60</v>
      </c>
      <c r="BB212" s="19" t="s">
        <v>2589</v>
      </c>
      <c r="BC212" s="19" t="s">
        <v>60</v>
      </c>
      <c r="BD212" s="75" t="s">
        <v>1317</v>
      </c>
      <c r="BE212" s="100" t="s">
        <v>3867</v>
      </c>
      <c r="BF212" s="100" t="s">
        <v>4253</v>
      </c>
      <c r="BG212" s="100"/>
    </row>
    <row r="213" spans="1:59" s="10" customFormat="1" ht="13.5" x14ac:dyDescent="0.25">
      <c r="A213" s="59">
        <v>291</v>
      </c>
      <c r="B213" s="15" t="s">
        <v>60</v>
      </c>
      <c r="C213" s="12" t="s">
        <v>60</v>
      </c>
      <c r="D213" s="11" t="s">
        <v>40</v>
      </c>
      <c r="E213" s="11" t="s">
        <v>61</v>
      </c>
      <c r="F213" s="11" t="s">
        <v>270</v>
      </c>
      <c r="G213" s="13" t="s">
        <v>1417</v>
      </c>
      <c r="H213" s="11" t="s">
        <v>1366</v>
      </c>
      <c r="I213" s="3" t="s">
        <v>60</v>
      </c>
      <c r="J213" s="3" t="s">
        <v>60</v>
      </c>
      <c r="K213" s="11" t="s">
        <v>1500</v>
      </c>
      <c r="L213" s="4" t="s">
        <v>60</v>
      </c>
      <c r="M213" s="4" t="s">
        <v>60</v>
      </c>
      <c r="N213" s="4" t="s">
        <v>60</v>
      </c>
      <c r="O213" s="4" t="s">
        <v>60</v>
      </c>
      <c r="P213" s="4" t="s">
        <v>60</v>
      </c>
      <c r="Q213" s="4" t="s">
        <v>60</v>
      </c>
      <c r="R213" s="4" t="s">
        <v>60</v>
      </c>
      <c r="S213" s="4" t="s">
        <v>60</v>
      </c>
      <c r="T213" s="4" t="s">
        <v>60</v>
      </c>
      <c r="U213" s="4" t="s">
        <v>60</v>
      </c>
      <c r="V213" s="4" t="s">
        <v>60</v>
      </c>
      <c r="W213" s="4" t="s">
        <v>60</v>
      </c>
      <c r="X213" s="4" t="s">
        <v>60</v>
      </c>
      <c r="Y213" s="4" t="s">
        <v>60</v>
      </c>
      <c r="Z213" s="4" t="s">
        <v>60</v>
      </c>
      <c r="AA213" s="4" t="s">
        <v>60</v>
      </c>
      <c r="AB213" s="4" t="s">
        <v>60</v>
      </c>
      <c r="AC213" s="4" t="s">
        <v>60</v>
      </c>
      <c r="AD213" s="4" t="s">
        <v>60</v>
      </c>
      <c r="AE213" s="2" t="s">
        <v>60</v>
      </c>
      <c r="AF213" s="3" t="s">
        <v>1366</v>
      </c>
      <c r="AG213" s="7" t="s">
        <v>60</v>
      </c>
      <c r="AH213" s="7" t="s">
        <v>60</v>
      </c>
      <c r="AI213" s="7" t="s">
        <v>60</v>
      </c>
      <c r="AJ213" s="7" t="s">
        <v>60</v>
      </c>
      <c r="AK213" s="7" t="s">
        <v>60</v>
      </c>
      <c r="AL213" s="25" t="s">
        <v>1904</v>
      </c>
      <c r="AM213" s="25" t="s">
        <v>58</v>
      </c>
      <c r="AN213" s="25" t="s">
        <v>59</v>
      </c>
      <c r="AO213" s="25" t="s">
        <v>60</v>
      </c>
      <c r="AP213" s="19" t="s">
        <v>1500</v>
      </c>
      <c r="AQ213" s="19" t="s">
        <v>1869</v>
      </c>
      <c r="AR213" s="19" t="s">
        <v>60</v>
      </c>
      <c r="AS213" s="19" t="s">
        <v>2360</v>
      </c>
      <c r="AT213" s="19" t="s">
        <v>2209</v>
      </c>
      <c r="AU213" s="19" t="s">
        <v>2210</v>
      </c>
      <c r="AV213" s="19">
        <v>9999934588</v>
      </c>
      <c r="AW213" s="20">
        <v>46119</v>
      </c>
      <c r="AX213" s="19" t="s">
        <v>1990</v>
      </c>
      <c r="AY213" s="27" t="s">
        <v>270</v>
      </c>
      <c r="AZ213" s="27" t="s">
        <v>61</v>
      </c>
      <c r="BA213" s="19" t="s">
        <v>60</v>
      </c>
      <c r="BB213" s="19" t="s">
        <v>2574</v>
      </c>
      <c r="BC213" s="19" t="s">
        <v>79</v>
      </c>
      <c r="BD213" s="75" t="s">
        <v>1366</v>
      </c>
      <c r="BE213" s="100" t="s">
        <v>3968</v>
      </c>
      <c r="BF213" s="100" t="s">
        <v>4254</v>
      </c>
      <c r="BG213" s="100"/>
    </row>
    <row r="214" spans="1:59" s="10" customFormat="1" ht="13.5" x14ac:dyDescent="0.25">
      <c r="A214" s="59">
        <v>223</v>
      </c>
      <c r="B214" s="15" t="s">
        <v>60</v>
      </c>
      <c r="C214" s="12" t="s">
        <v>60</v>
      </c>
      <c r="D214" s="11" t="s">
        <v>103</v>
      </c>
      <c r="E214" s="11" t="s">
        <v>237</v>
      </c>
      <c r="F214" s="11" t="s">
        <v>1557</v>
      </c>
      <c r="G214" s="13" t="s">
        <v>1417</v>
      </c>
      <c r="H214" s="11" t="s">
        <v>1299</v>
      </c>
      <c r="I214" s="3" t="s">
        <v>60</v>
      </c>
      <c r="J214" s="3" t="s">
        <v>60</v>
      </c>
      <c r="K214" s="11" t="s">
        <v>1432</v>
      </c>
      <c r="L214" s="4" t="s">
        <v>60</v>
      </c>
      <c r="M214" s="4" t="s">
        <v>60</v>
      </c>
      <c r="N214" s="4" t="s">
        <v>60</v>
      </c>
      <c r="O214" s="4" t="s">
        <v>60</v>
      </c>
      <c r="P214" s="4" t="s">
        <v>60</v>
      </c>
      <c r="Q214" s="4" t="s">
        <v>60</v>
      </c>
      <c r="R214" s="4" t="s">
        <v>60</v>
      </c>
      <c r="S214" s="4" t="s">
        <v>60</v>
      </c>
      <c r="T214" s="4" t="s">
        <v>60</v>
      </c>
      <c r="U214" s="4" t="s">
        <v>60</v>
      </c>
      <c r="V214" s="4" t="s">
        <v>60</v>
      </c>
      <c r="W214" s="4" t="s">
        <v>60</v>
      </c>
      <c r="X214" s="4" t="s">
        <v>60</v>
      </c>
      <c r="Y214" s="4" t="s">
        <v>60</v>
      </c>
      <c r="Z214" s="4" t="s">
        <v>60</v>
      </c>
      <c r="AA214" s="4" t="s">
        <v>60</v>
      </c>
      <c r="AB214" s="4" t="s">
        <v>60</v>
      </c>
      <c r="AC214" s="4" t="s">
        <v>60</v>
      </c>
      <c r="AD214" s="4" t="s">
        <v>60</v>
      </c>
      <c r="AE214" s="2" t="s">
        <v>60</v>
      </c>
      <c r="AF214" s="3" t="s">
        <v>1299</v>
      </c>
      <c r="AG214" s="7" t="s">
        <v>60</v>
      </c>
      <c r="AH214" s="7" t="s">
        <v>60</v>
      </c>
      <c r="AI214" s="7" t="s">
        <v>60</v>
      </c>
      <c r="AJ214" s="7" t="s">
        <v>60</v>
      </c>
      <c r="AK214" s="7" t="s">
        <v>60</v>
      </c>
      <c r="AL214" s="25" t="s">
        <v>1904</v>
      </c>
      <c r="AM214" s="25" t="s">
        <v>58</v>
      </c>
      <c r="AN214" s="25" t="s">
        <v>59</v>
      </c>
      <c r="AO214" s="25" t="s">
        <v>60</v>
      </c>
      <c r="AP214" s="19" t="s">
        <v>1432</v>
      </c>
      <c r="AQ214" s="19" t="s">
        <v>1869</v>
      </c>
      <c r="AR214" s="19" t="s">
        <v>60</v>
      </c>
      <c r="AS214" s="19" t="s">
        <v>2360</v>
      </c>
      <c r="AT214" s="19" t="s">
        <v>2323</v>
      </c>
      <c r="AU214" s="19" t="s">
        <v>2117</v>
      </c>
      <c r="AV214" s="19">
        <v>9999934588</v>
      </c>
      <c r="AW214" s="20">
        <v>46129</v>
      </c>
      <c r="AX214" s="19" t="s">
        <v>1990</v>
      </c>
      <c r="AY214" s="27" t="s">
        <v>1557</v>
      </c>
      <c r="AZ214" s="27" t="s">
        <v>237</v>
      </c>
      <c r="BA214" s="19" t="s">
        <v>60</v>
      </c>
      <c r="BB214" s="19" t="s">
        <v>2579</v>
      </c>
      <c r="BC214" s="19" t="s">
        <v>427</v>
      </c>
      <c r="BD214" s="75" t="s">
        <v>1299</v>
      </c>
      <c r="BE214" s="100" t="s">
        <v>3900</v>
      </c>
      <c r="BF214" s="100" t="s">
        <v>4255</v>
      </c>
      <c r="BG214" s="100"/>
    </row>
    <row r="215" spans="1:59" s="10" customFormat="1" ht="13.5" x14ac:dyDescent="0.25">
      <c r="A215" s="59">
        <v>276</v>
      </c>
      <c r="B215" s="15" t="s">
        <v>60</v>
      </c>
      <c r="C215" s="12" t="s">
        <v>60</v>
      </c>
      <c r="D215" s="11" t="s">
        <v>40</v>
      </c>
      <c r="E215" s="11" t="s">
        <v>61</v>
      </c>
      <c r="F215" s="11" t="s">
        <v>1556</v>
      </c>
      <c r="G215" s="13" t="s">
        <v>1417</v>
      </c>
      <c r="H215" s="11" t="s">
        <v>1298</v>
      </c>
      <c r="I215" s="3" t="s">
        <v>60</v>
      </c>
      <c r="J215" s="3" t="s">
        <v>60</v>
      </c>
      <c r="K215" s="11" t="s">
        <v>1431</v>
      </c>
      <c r="L215" s="4" t="s">
        <v>60</v>
      </c>
      <c r="M215" s="4" t="s">
        <v>60</v>
      </c>
      <c r="N215" s="4" t="s">
        <v>60</v>
      </c>
      <c r="O215" s="4" t="s">
        <v>60</v>
      </c>
      <c r="P215" s="4" t="s">
        <v>60</v>
      </c>
      <c r="Q215" s="4" t="s">
        <v>60</v>
      </c>
      <c r="R215" s="4" t="s">
        <v>60</v>
      </c>
      <c r="S215" s="4" t="s">
        <v>60</v>
      </c>
      <c r="T215" s="4" t="s">
        <v>60</v>
      </c>
      <c r="U215" s="4" t="s">
        <v>60</v>
      </c>
      <c r="V215" s="4" t="s">
        <v>60</v>
      </c>
      <c r="W215" s="4" t="s">
        <v>60</v>
      </c>
      <c r="X215" s="4" t="s">
        <v>60</v>
      </c>
      <c r="Y215" s="4" t="s">
        <v>60</v>
      </c>
      <c r="Z215" s="4" t="s">
        <v>60</v>
      </c>
      <c r="AA215" s="4" t="s">
        <v>60</v>
      </c>
      <c r="AB215" s="4" t="s">
        <v>60</v>
      </c>
      <c r="AC215" s="4" t="s">
        <v>60</v>
      </c>
      <c r="AD215" s="4" t="s">
        <v>60</v>
      </c>
      <c r="AE215" s="2" t="s">
        <v>60</v>
      </c>
      <c r="AF215" s="3" t="s">
        <v>1298</v>
      </c>
      <c r="AG215" s="7" t="s">
        <v>60</v>
      </c>
      <c r="AH215" s="7" t="s">
        <v>60</v>
      </c>
      <c r="AI215" s="7" t="s">
        <v>60</v>
      </c>
      <c r="AJ215" s="7" t="s">
        <v>60</v>
      </c>
      <c r="AK215" s="7" t="s">
        <v>60</v>
      </c>
      <c r="AL215" s="25" t="s">
        <v>1904</v>
      </c>
      <c r="AM215" s="25" t="s">
        <v>58</v>
      </c>
      <c r="AN215" s="25" t="s">
        <v>59</v>
      </c>
      <c r="AO215" s="25" t="s">
        <v>60</v>
      </c>
      <c r="AP215" s="19" t="s">
        <v>1431</v>
      </c>
      <c r="AQ215" s="19" t="s">
        <v>1869</v>
      </c>
      <c r="AR215" s="19" t="s">
        <v>60</v>
      </c>
      <c r="AS215" s="19" t="s">
        <v>2360</v>
      </c>
      <c r="AT215" s="19" t="s">
        <v>2115</v>
      </c>
      <c r="AU215" s="19" t="s">
        <v>2116</v>
      </c>
      <c r="AV215" s="19">
        <v>9999934588</v>
      </c>
      <c r="AW215" s="20">
        <v>46126</v>
      </c>
      <c r="AX215" s="19" t="s">
        <v>1990</v>
      </c>
      <c r="AY215" s="27" t="s">
        <v>1556</v>
      </c>
      <c r="AZ215" s="27" t="s">
        <v>61</v>
      </c>
      <c r="BA215" s="19" t="s">
        <v>60</v>
      </c>
      <c r="BB215" s="19" t="s">
        <v>2653</v>
      </c>
      <c r="BC215" s="19" t="s">
        <v>79</v>
      </c>
      <c r="BD215" s="75" t="s">
        <v>1298</v>
      </c>
      <c r="BE215" s="100" t="s">
        <v>3953</v>
      </c>
      <c r="BF215" s="100" t="s">
        <v>4256</v>
      </c>
      <c r="BG215" s="100"/>
    </row>
    <row r="216" spans="1:59" s="10" customFormat="1" ht="13.5" x14ac:dyDescent="0.25">
      <c r="A216" s="59">
        <v>296</v>
      </c>
      <c r="B216" s="15" t="s">
        <v>60</v>
      </c>
      <c r="C216" s="12" t="s">
        <v>60</v>
      </c>
      <c r="D216" s="11" t="s">
        <v>40</v>
      </c>
      <c r="E216" s="11" t="s">
        <v>61</v>
      </c>
      <c r="F216" s="11" t="s">
        <v>1601</v>
      </c>
      <c r="G216" s="13" t="s">
        <v>1417</v>
      </c>
      <c r="H216" s="11" t="s">
        <v>1383</v>
      </c>
      <c r="I216" s="3" t="s">
        <v>60</v>
      </c>
      <c r="J216" s="3" t="s">
        <v>60</v>
      </c>
      <c r="K216" s="11" t="s">
        <v>1517</v>
      </c>
      <c r="L216" s="4" t="s">
        <v>60</v>
      </c>
      <c r="M216" s="4" t="s">
        <v>60</v>
      </c>
      <c r="N216" s="4" t="s">
        <v>60</v>
      </c>
      <c r="O216" s="4" t="s">
        <v>60</v>
      </c>
      <c r="P216" s="4" t="s">
        <v>60</v>
      </c>
      <c r="Q216" s="4" t="s">
        <v>60</v>
      </c>
      <c r="R216" s="4" t="s">
        <v>60</v>
      </c>
      <c r="S216" s="4" t="s">
        <v>60</v>
      </c>
      <c r="T216" s="4" t="s">
        <v>60</v>
      </c>
      <c r="U216" s="4" t="s">
        <v>60</v>
      </c>
      <c r="V216" s="4" t="s">
        <v>60</v>
      </c>
      <c r="W216" s="4" t="s">
        <v>60</v>
      </c>
      <c r="X216" s="4" t="s">
        <v>60</v>
      </c>
      <c r="Y216" s="4" t="s">
        <v>60</v>
      </c>
      <c r="Z216" s="4" t="s">
        <v>60</v>
      </c>
      <c r="AA216" s="4" t="s">
        <v>60</v>
      </c>
      <c r="AB216" s="4" t="s">
        <v>60</v>
      </c>
      <c r="AC216" s="4" t="s">
        <v>60</v>
      </c>
      <c r="AD216" s="4" t="s">
        <v>60</v>
      </c>
      <c r="AE216" s="2" t="s">
        <v>60</v>
      </c>
      <c r="AF216" s="3" t="s">
        <v>1383</v>
      </c>
      <c r="AG216" s="7" t="s">
        <v>60</v>
      </c>
      <c r="AH216" s="7" t="s">
        <v>60</v>
      </c>
      <c r="AI216" s="7" t="s">
        <v>60</v>
      </c>
      <c r="AJ216" s="7" t="s">
        <v>60</v>
      </c>
      <c r="AK216" s="7" t="s">
        <v>60</v>
      </c>
      <c r="AL216" s="25" t="s">
        <v>1904</v>
      </c>
      <c r="AM216" s="25" t="s">
        <v>58</v>
      </c>
      <c r="AN216" s="25" t="s">
        <v>59</v>
      </c>
      <c r="AO216" s="25" t="s">
        <v>60</v>
      </c>
      <c r="AP216" s="19" t="s">
        <v>1517</v>
      </c>
      <c r="AQ216" s="19" t="s">
        <v>1869</v>
      </c>
      <c r="AR216" s="19" t="s">
        <v>60</v>
      </c>
      <c r="AS216" s="19" t="s">
        <v>2360</v>
      </c>
      <c r="AT216" s="19" t="s">
        <v>2228</v>
      </c>
      <c r="AU216" s="19" t="s">
        <v>2211</v>
      </c>
      <c r="AV216" s="19">
        <v>9999934588</v>
      </c>
      <c r="AW216" s="20">
        <v>46130</v>
      </c>
      <c r="AX216" s="19" t="s">
        <v>1990</v>
      </c>
      <c r="AY216" s="27" t="s">
        <v>1601</v>
      </c>
      <c r="AZ216" s="27" t="s">
        <v>61</v>
      </c>
      <c r="BA216" s="19" t="s">
        <v>60</v>
      </c>
      <c r="BB216" s="19" t="s">
        <v>2661</v>
      </c>
      <c r="BC216" s="19" t="s">
        <v>2364</v>
      </c>
      <c r="BD216" s="75" t="s">
        <v>1383</v>
      </c>
      <c r="BE216" s="100" t="s">
        <v>3973</v>
      </c>
      <c r="BF216" s="100" t="s">
        <v>4257</v>
      </c>
      <c r="BG216" s="100"/>
    </row>
    <row r="217" spans="1:59" s="10" customFormat="1" ht="13.5" x14ac:dyDescent="0.25">
      <c r="A217" s="59">
        <v>232</v>
      </c>
      <c r="B217" s="15" t="s">
        <v>60</v>
      </c>
      <c r="C217" s="12" t="s">
        <v>60</v>
      </c>
      <c r="D217" s="11" t="s">
        <v>40</v>
      </c>
      <c r="E217" s="11" t="s">
        <v>41</v>
      </c>
      <c r="F217" s="11" t="s">
        <v>631</v>
      </c>
      <c r="G217" s="13" t="s">
        <v>1417</v>
      </c>
      <c r="H217" s="11" t="s">
        <v>1356</v>
      </c>
      <c r="I217" s="3" t="s">
        <v>60</v>
      </c>
      <c r="J217" s="3" t="s">
        <v>60</v>
      </c>
      <c r="K217" s="11" t="s">
        <v>1489</v>
      </c>
      <c r="L217" s="4" t="s">
        <v>60</v>
      </c>
      <c r="M217" s="4" t="s">
        <v>60</v>
      </c>
      <c r="N217" s="4" t="s">
        <v>60</v>
      </c>
      <c r="O217" s="4" t="s">
        <v>60</v>
      </c>
      <c r="P217" s="4" t="s">
        <v>60</v>
      </c>
      <c r="Q217" s="4" t="s">
        <v>60</v>
      </c>
      <c r="R217" s="4" t="s">
        <v>60</v>
      </c>
      <c r="S217" s="4" t="s">
        <v>60</v>
      </c>
      <c r="T217" s="4" t="s">
        <v>60</v>
      </c>
      <c r="U217" s="4" t="s">
        <v>60</v>
      </c>
      <c r="V217" s="4" t="s">
        <v>60</v>
      </c>
      <c r="W217" s="4" t="s">
        <v>60</v>
      </c>
      <c r="X217" s="4" t="s">
        <v>60</v>
      </c>
      <c r="Y217" s="4" t="s">
        <v>60</v>
      </c>
      <c r="Z217" s="4" t="s">
        <v>60</v>
      </c>
      <c r="AA217" s="4" t="s">
        <v>60</v>
      </c>
      <c r="AB217" s="4" t="s">
        <v>60</v>
      </c>
      <c r="AC217" s="4" t="s">
        <v>60</v>
      </c>
      <c r="AD217" s="4" t="s">
        <v>60</v>
      </c>
      <c r="AE217" s="2" t="s">
        <v>60</v>
      </c>
      <c r="AF217" s="3" t="s">
        <v>1356</v>
      </c>
      <c r="AG217" s="7" t="s">
        <v>60</v>
      </c>
      <c r="AH217" s="7" t="s">
        <v>60</v>
      </c>
      <c r="AI217" s="7" t="s">
        <v>60</v>
      </c>
      <c r="AJ217" s="7" t="s">
        <v>60</v>
      </c>
      <c r="AK217" s="7" t="s">
        <v>60</v>
      </c>
      <c r="AL217" s="25" t="s">
        <v>1904</v>
      </c>
      <c r="AM217" s="25" t="s">
        <v>58</v>
      </c>
      <c r="AN217" s="25" t="s">
        <v>59</v>
      </c>
      <c r="AO217" s="25" t="s">
        <v>60</v>
      </c>
      <c r="AP217" s="19" t="s">
        <v>1489</v>
      </c>
      <c r="AQ217" s="19" t="s">
        <v>1869</v>
      </c>
      <c r="AR217" s="19" t="s">
        <v>60</v>
      </c>
      <c r="AS217" s="19" t="s">
        <v>2360</v>
      </c>
      <c r="AT217" s="19" t="s">
        <v>2197</v>
      </c>
      <c r="AU217" s="19" t="s">
        <v>2198</v>
      </c>
      <c r="AV217" s="19">
        <v>9999934588</v>
      </c>
      <c r="AW217" s="20">
        <v>46128</v>
      </c>
      <c r="AX217" s="19" t="s">
        <v>1990</v>
      </c>
      <c r="AY217" s="27" t="s">
        <v>631</v>
      </c>
      <c r="AZ217" s="27" t="s">
        <v>41</v>
      </c>
      <c r="BA217" s="19" t="s">
        <v>60</v>
      </c>
      <c r="BB217" s="19" t="s">
        <v>2617</v>
      </c>
      <c r="BC217" s="19" t="s">
        <v>60</v>
      </c>
      <c r="BD217" s="75" t="s">
        <v>1356</v>
      </c>
      <c r="BE217" s="100" t="s">
        <v>3909</v>
      </c>
      <c r="BF217" s="100" t="s">
        <v>4258</v>
      </c>
      <c r="BG217" s="100"/>
    </row>
    <row r="218" spans="1:59" s="10" customFormat="1" ht="13.5" x14ac:dyDescent="0.25">
      <c r="A218" s="59">
        <v>283</v>
      </c>
      <c r="B218" s="15" t="s">
        <v>60</v>
      </c>
      <c r="C218" s="12" t="s">
        <v>60</v>
      </c>
      <c r="D218" s="11" t="s">
        <v>40</v>
      </c>
      <c r="E218" s="11" t="s">
        <v>61</v>
      </c>
      <c r="F218" s="11" t="s">
        <v>1581</v>
      </c>
      <c r="G218" s="13" t="s">
        <v>1417</v>
      </c>
      <c r="H218" s="11" t="s">
        <v>1335</v>
      </c>
      <c r="I218" s="3" t="s">
        <v>60</v>
      </c>
      <c r="J218" s="3" t="s">
        <v>60</v>
      </c>
      <c r="K218" s="11" t="s">
        <v>1468</v>
      </c>
      <c r="L218" s="4" t="s">
        <v>60</v>
      </c>
      <c r="M218" s="4" t="s">
        <v>60</v>
      </c>
      <c r="N218" s="4" t="s">
        <v>60</v>
      </c>
      <c r="O218" s="4" t="s">
        <v>60</v>
      </c>
      <c r="P218" s="4" t="s">
        <v>60</v>
      </c>
      <c r="Q218" s="4" t="s">
        <v>60</v>
      </c>
      <c r="R218" s="4" t="s">
        <v>60</v>
      </c>
      <c r="S218" s="4" t="s">
        <v>60</v>
      </c>
      <c r="T218" s="4" t="s">
        <v>60</v>
      </c>
      <c r="U218" s="4" t="s">
        <v>60</v>
      </c>
      <c r="V218" s="4" t="s">
        <v>60</v>
      </c>
      <c r="W218" s="4" t="s">
        <v>60</v>
      </c>
      <c r="X218" s="4" t="s">
        <v>60</v>
      </c>
      <c r="Y218" s="4" t="s">
        <v>60</v>
      </c>
      <c r="Z218" s="4" t="s">
        <v>60</v>
      </c>
      <c r="AA218" s="4" t="s">
        <v>60</v>
      </c>
      <c r="AB218" s="4" t="s">
        <v>60</v>
      </c>
      <c r="AC218" s="4" t="s">
        <v>60</v>
      </c>
      <c r="AD218" s="4" t="s">
        <v>60</v>
      </c>
      <c r="AE218" s="2" t="s">
        <v>60</v>
      </c>
      <c r="AF218" s="3" t="s">
        <v>1335</v>
      </c>
      <c r="AG218" s="7" t="s">
        <v>60</v>
      </c>
      <c r="AH218" s="7" t="s">
        <v>60</v>
      </c>
      <c r="AI218" s="7" t="s">
        <v>60</v>
      </c>
      <c r="AJ218" s="7" t="s">
        <v>60</v>
      </c>
      <c r="AK218" s="7" t="s">
        <v>60</v>
      </c>
      <c r="AL218" s="25" t="s">
        <v>1904</v>
      </c>
      <c r="AM218" s="25" t="s">
        <v>58</v>
      </c>
      <c r="AN218" s="25" t="s">
        <v>59</v>
      </c>
      <c r="AO218" s="25" t="s">
        <v>60</v>
      </c>
      <c r="AP218" s="19" t="s">
        <v>1468</v>
      </c>
      <c r="AQ218" s="19" t="s">
        <v>1869</v>
      </c>
      <c r="AR218" s="19" t="s">
        <v>60</v>
      </c>
      <c r="AS218" s="19" t="s">
        <v>2360</v>
      </c>
      <c r="AT218" s="19" t="s">
        <v>2169</v>
      </c>
      <c r="AU218" s="19" t="s">
        <v>2170</v>
      </c>
      <c r="AV218" s="19">
        <v>9999934588</v>
      </c>
      <c r="AW218" s="20">
        <v>46128</v>
      </c>
      <c r="AX218" s="19" t="s">
        <v>1990</v>
      </c>
      <c r="AY218" s="27" t="s">
        <v>1581</v>
      </c>
      <c r="AZ218" s="27" t="s">
        <v>61</v>
      </c>
      <c r="BA218" s="19" t="s">
        <v>60</v>
      </c>
      <c r="BB218" s="19" t="s">
        <v>2572</v>
      </c>
      <c r="BC218" s="19" t="s">
        <v>60</v>
      </c>
      <c r="BD218" s="75" t="s">
        <v>1335</v>
      </c>
      <c r="BE218" s="100" t="s">
        <v>3960</v>
      </c>
      <c r="BF218" s="100" t="s">
        <v>4259</v>
      </c>
      <c r="BG218" s="100"/>
    </row>
    <row r="219" spans="1:59" s="10" customFormat="1" ht="13.5" x14ac:dyDescent="0.25">
      <c r="A219" s="59">
        <v>255</v>
      </c>
      <c r="B219" s="15" t="s">
        <v>60</v>
      </c>
      <c r="C219" s="12" t="s">
        <v>60</v>
      </c>
      <c r="D219" s="11" t="s">
        <v>40</v>
      </c>
      <c r="E219" s="11" t="s">
        <v>199</v>
      </c>
      <c r="F219" s="11" t="s">
        <v>214</v>
      </c>
      <c r="G219" s="13" t="s">
        <v>1417</v>
      </c>
      <c r="H219" s="11" t="s">
        <v>1352</v>
      </c>
      <c r="I219" s="3" t="s">
        <v>60</v>
      </c>
      <c r="J219" s="3" t="s">
        <v>60</v>
      </c>
      <c r="K219" s="11" t="s">
        <v>1485</v>
      </c>
      <c r="L219" s="4" t="s">
        <v>60</v>
      </c>
      <c r="M219" s="4" t="s">
        <v>60</v>
      </c>
      <c r="N219" s="4" t="s">
        <v>60</v>
      </c>
      <c r="O219" s="4" t="s">
        <v>60</v>
      </c>
      <c r="P219" s="4" t="s">
        <v>60</v>
      </c>
      <c r="Q219" s="4" t="s">
        <v>60</v>
      </c>
      <c r="R219" s="4" t="s">
        <v>60</v>
      </c>
      <c r="S219" s="4" t="s">
        <v>60</v>
      </c>
      <c r="T219" s="4" t="s">
        <v>60</v>
      </c>
      <c r="U219" s="4" t="s">
        <v>60</v>
      </c>
      <c r="V219" s="4" t="s">
        <v>60</v>
      </c>
      <c r="W219" s="4" t="s">
        <v>60</v>
      </c>
      <c r="X219" s="4" t="s">
        <v>60</v>
      </c>
      <c r="Y219" s="4" t="s">
        <v>60</v>
      </c>
      <c r="Z219" s="4" t="s">
        <v>60</v>
      </c>
      <c r="AA219" s="4" t="s">
        <v>60</v>
      </c>
      <c r="AB219" s="4" t="s">
        <v>60</v>
      </c>
      <c r="AC219" s="4" t="s">
        <v>60</v>
      </c>
      <c r="AD219" s="4" t="s">
        <v>60</v>
      </c>
      <c r="AE219" s="2" t="s">
        <v>60</v>
      </c>
      <c r="AF219" s="3" t="s">
        <v>1352</v>
      </c>
      <c r="AG219" s="7" t="s">
        <v>60</v>
      </c>
      <c r="AH219" s="7" t="s">
        <v>60</v>
      </c>
      <c r="AI219" s="7" t="s">
        <v>60</v>
      </c>
      <c r="AJ219" s="7" t="s">
        <v>60</v>
      </c>
      <c r="AK219" s="7" t="s">
        <v>60</v>
      </c>
      <c r="AL219" s="25" t="s">
        <v>1904</v>
      </c>
      <c r="AM219" s="25" t="s">
        <v>58</v>
      </c>
      <c r="AN219" s="25" t="s">
        <v>59</v>
      </c>
      <c r="AO219" s="25" t="s">
        <v>60</v>
      </c>
      <c r="AP219" s="19" t="s">
        <v>1485</v>
      </c>
      <c r="AQ219" s="19" t="s">
        <v>1869</v>
      </c>
      <c r="AR219" s="19" t="s">
        <v>60</v>
      </c>
      <c r="AS219" s="19" t="s">
        <v>2360</v>
      </c>
      <c r="AT219" s="19" t="s">
        <v>2191</v>
      </c>
      <c r="AU219" s="19" t="s">
        <v>2190</v>
      </c>
      <c r="AV219" s="19">
        <v>9999934588</v>
      </c>
      <c r="AW219" s="20">
        <v>46122</v>
      </c>
      <c r="AX219" s="19" t="s">
        <v>1990</v>
      </c>
      <c r="AY219" s="27" t="s">
        <v>214</v>
      </c>
      <c r="AZ219" s="27" t="s">
        <v>199</v>
      </c>
      <c r="BA219" s="19" t="s">
        <v>60</v>
      </c>
      <c r="BB219" s="19" t="s">
        <v>2589</v>
      </c>
      <c r="BC219" s="19" t="s">
        <v>60</v>
      </c>
      <c r="BD219" s="75" t="s">
        <v>1352</v>
      </c>
      <c r="BE219" s="100" t="s">
        <v>3932</v>
      </c>
      <c r="BF219" s="100" t="s">
        <v>4260</v>
      </c>
      <c r="BG219" s="100"/>
    </row>
    <row r="220" spans="1:59" s="10" customFormat="1" ht="13.5" x14ac:dyDescent="0.25">
      <c r="A220" s="59">
        <v>185</v>
      </c>
      <c r="B220" s="15" t="s">
        <v>60</v>
      </c>
      <c r="C220" s="12" t="s">
        <v>60</v>
      </c>
      <c r="D220" s="11" t="s">
        <v>103</v>
      </c>
      <c r="E220" s="11" t="s">
        <v>767</v>
      </c>
      <c r="F220" s="11" t="s">
        <v>1583</v>
      </c>
      <c r="G220" s="13" t="s">
        <v>1417</v>
      </c>
      <c r="H220" s="11" t="s">
        <v>1340</v>
      </c>
      <c r="I220" s="3" t="s">
        <v>60</v>
      </c>
      <c r="J220" s="3" t="s">
        <v>60</v>
      </c>
      <c r="K220" s="11" t="s">
        <v>1473</v>
      </c>
      <c r="L220" s="4" t="s">
        <v>60</v>
      </c>
      <c r="M220" s="4" t="s">
        <v>60</v>
      </c>
      <c r="N220" s="4" t="s">
        <v>60</v>
      </c>
      <c r="O220" s="4" t="s">
        <v>60</v>
      </c>
      <c r="P220" s="4" t="s">
        <v>60</v>
      </c>
      <c r="Q220" s="4" t="s">
        <v>60</v>
      </c>
      <c r="R220" s="4" t="s">
        <v>60</v>
      </c>
      <c r="S220" s="4" t="s">
        <v>60</v>
      </c>
      <c r="T220" s="4" t="s">
        <v>60</v>
      </c>
      <c r="U220" s="4" t="s">
        <v>60</v>
      </c>
      <c r="V220" s="4" t="s">
        <v>60</v>
      </c>
      <c r="W220" s="4" t="s">
        <v>60</v>
      </c>
      <c r="X220" s="4" t="s">
        <v>60</v>
      </c>
      <c r="Y220" s="4" t="s">
        <v>60</v>
      </c>
      <c r="Z220" s="4" t="s">
        <v>60</v>
      </c>
      <c r="AA220" s="4" t="s">
        <v>60</v>
      </c>
      <c r="AB220" s="4" t="s">
        <v>60</v>
      </c>
      <c r="AC220" s="4" t="s">
        <v>60</v>
      </c>
      <c r="AD220" s="4" t="s">
        <v>60</v>
      </c>
      <c r="AE220" s="2" t="s">
        <v>60</v>
      </c>
      <c r="AF220" s="3" t="s">
        <v>1340</v>
      </c>
      <c r="AG220" s="7" t="s">
        <v>60</v>
      </c>
      <c r="AH220" s="7" t="s">
        <v>60</v>
      </c>
      <c r="AI220" s="7" t="s">
        <v>60</v>
      </c>
      <c r="AJ220" s="7" t="s">
        <v>60</v>
      </c>
      <c r="AK220" s="7" t="s">
        <v>60</v>
      </c>
      <c r="AL220" s="25" t="s">
        <v>1904</v>
      </c>
      <c r="AM220" s="25" t="s">
        <v>58</v>
      </c>
      <c r="AN220" s="25" t="s">
        <v>59</v>
      </c>
      <c r="AO220" s="25" t="s">
        <v>60</v>
      </c>
      <c r="AP220" s="19" t="s">
        <v>1473</v>
      </c>
      <c r="AQ220" s="19" t="s">
        <v>1869</v>
      </c>
      <c r="AR220" s="19" t="s">
        <v>60</v>
      </c>
      <c r="AS220" s="19" t="s">
        <v>2360</v>
      </c>
      <c r="AT220" s="19" t="s">
        <v>60</v>
      </c>
      <c r="AU220" s="19" t="s">
        <v>2812</v>
      </c>
      <c r="AV220" s="19">
        <v>9999934588</v>
      </c>
      <c r="AW220" s="20">
        <v>46128</v>
      </c>
      <c r="AX220" s="19" t="s">
        <v>1990</v>
      </c>
      <c r="AY220" s="27" t="s">
        <v>1583</v>
      </c>
      <c r="AZ220" s="27" t="s">
        <v>767</v>
      </c>
      <c r="BA220" s="19" t="s">
        <v>60</v>
      </c>
      <c r="BB220" s="19" t="s">
        <v>2586</v>
      </c>
      <c r="BC220" s="19" t="s">
        <v>60</v>
      </c>
      <c r="BD220" s="75" t="s">
        <v>1340</v>
      </c>
      <c r="BE220" s="100" t="s">
        <v>3862</v>
      </c>
      <c r="BF220" s="100" t="s">
        <v>4261</v>
      </c>
      <c r="BG220" s="100"/>
    </row>
    <row r="221" spans="1:59" s="10" customFormat="1" ht="13.5" x14ac:dyDescent="0.25">
      <c r="A221" s="59">
        <v>212</v>
      </c>
      <c r="B221" s="15" t="s">
        <v>60</v>
      </c>
      <c r="C221" s="12" t="s">
        <v>60</v>
      </c>
      <c r="D221" s="11" t="s">
        <v>40</v>
      </c>
      <c r="E221" s="11" t="s">
        <v>351</v>
      </c>
      <c r="F221" s="11" t="s">
        <v>351</v>
      </c>
      <c r="G221" s="13" t="s">
        <v>1417</v>
      </c>
      <c r="H221" s="11" t="s">
        <v>1357</v>
      </c>
      <c r="I221" s="3" t="s">
        <v>60</v>
      </c>
      <c r="J221" s="3" t="s">
        <v>60</v>
      </c>
      <c r="K221" s="11" t="s">
        <v>1490</v>
      </c>
      <c r="L221" s="4" t="s">
        <v>60</v>
      </c>
      <c r="M221" s="4" t="s">
        <v>60</v>
      </c>
      <c r="N221" s="4" t="s">
        <v>60</v>
      </c>
      <c r="O221" s="4" t="s">
        <v>60</v>
      </c>
      <c r="P221" s="4" t="s">
        <v>60</v>
      </c>
      <c r="Q221" s="4" t="s">
        <v>60</v>
      </c>
      <c r="R221" s="4" t="s">
        <v>60</v>
      </c>
      <c r="S221" s="4" t="s">
        <v>60</v>
      </c>
      <c r="T221" s="4" t="s">
        <v>60</v>
      </c>
      <c r="U221" s="4" t="s">
        <v>60</v>
      </c>
      <c r="V221" s="4" t="s">
        <v>60</v>
      </c>
      <c r="W221" s="4" t="s">
        <v>60</v>
      </c>
      <c r="X221" s="4" t="s">
        <v>60</v>
      </c>
      <c r="Y221" s="4" t="s">
        <v>60</v>
      </c>
      <c r="Z221" s="4" t="s">
        <v>60</v>
      </c>
      <c r="AA221" s="4" t="s">
        <v>60</v>
      </c>
      <c r="AB221" s="4" t="s">
        <v>60</v>
      </c>
      <c r="AC221" s="4" t="s">
        <v>60</v>
      </c>
      <c r="AD221" s="4" t="s">
        <v>60</v>
      </c>
      <c r="AE221" s="2" t="s">
        <v>60</v>
      </c>
      <c r="AF221" s="3" t="s">
        <v>1357</v>
      </c>
      <c r="AG221" s="7" t="s">
        <v>60</v>
      </c>
      <c r="AH221" s="7" t="s">
        <v>60</v>
      </c>
      <c r="AI221" s="7" t="s">
        <v>60</v>
      </c>
      <c r="AJ221" s="7" t="s">
        <v>60</v>
      </c>
      <c r="AK221" s="7" t="s">
        <v>60</v>
      </c>
      <c r="AL221" s="25" t="s">
        <v>1904</v>
      </c>
      <c r="AM221" s="25" t="s">
        <v>58</v>
      </c>
      <c r="AN221" s="25" t="s">
        <v>59</v>
      </c>
      <c r="AO221" s="25" t="s">
        <v>60</v>
      </c>
      <c r="AP221" s="19" t="s">
        <v>1490</v>
      </c>
      <c r="AQ221" s="19" t="s">
        <v>1869</v>
      </c>
      <c r="AR221" s="19" t="s">
        <v>60</v>
      </c>
      <c r="AS221" s="19" t="s">
        <v>2360</v>
      </c>
      <c r="AT221" s="19" t="s">
        <v>2199</v>
      </c>
      <c r="AU221" s="19" t="s">
        <v>515</v>
      </c>
      <c r="AV221" s="19">
        <v>9999934588</v>
      </c>
      <c r="AW221" s="20">
        <v>46121</v>
      </c>
      <c r="AX221" s="19" t="s">
        <v>1990</v>
      </c>
      <c r="AY221" s="27" t="s">
        <v>351</v>
      </c>
      <c r="AZ221" s="27" t="s">
        <v>351</v>
      </c>
      <c r="BA221" s="19" t="s">
        <v>60</v>
      </c>
      <c r="BB221" s="19" t="s">
        <v>2572</v>
      </c>
      <c r="BC221" s="19" t="s">
        <v>60</v>
      </c>
      <c r="BD221" s="75" t="s">
        <v>1357</v>
      </c>
      <c r="BE221" s="100" t="s">
        <v>3889</v>
      </c>
      <c r="BF221" s="100" t="s">
        <v>4262</v>
      </c>
      <c r="BG221" s="100"/>
    </row>
    <row r="222" spans="1:59" s="10" customFormat="1" ht="13.5" x14ac:dyDescent="0.25">
      <c r="A222" s="59">
        <v>304</v>
      </c>
      <c r="B222" s="15" t="s">
        <v>60</v>
      </c>
      <c r="C222" s="12" t="s">
        <v>60</v>
      </c>
      <c r="D222" s="11" t="s">
        <v>40</v>
      </c>
      <c r="E222" s="11" t="s">
        <v>938</v>
      </c>
      <c r="F222" s="11" t="s">
        <v>939</v>
      </c>
      <c r="G222" s="13" t="s">
        <v>1417</v>
      </c>
      <c r="H222" s="11" t="s">
        <v>1346</v>
      </c>
      <c r="I222" s="3" t="s">
        <v>60</v>
      </c>
      <c r="J222" s="3" t="s">
        <v>60</v>
      </c>
      <c r="K222" s="11" t="s">
        <v>1479</v>
      </c>
      <c r="L222" s="4" t="s">
        <v>60</v>
      </c>
      <c r="M222" s="4" t="s">
        <v>60</v>
      </c>
      <c r="N222" s="4" t="s">
        <v>60</v>
      </c>
      <c r="O222" s="4" t="s">
        <v>60</v>
      </c>
      <c r="P222" s="4" t="s">
        <v>60</v>
      </c>
      <c r="Q222" s="4" t="s">
        <v>60</v>
      </c>
      <c r="R222" s="4" t="s">
        <v>60</v>
      </c>
      <c r="S222" s="4" t="s">
        <v>60</v>
      </c>
      <c r="T222" s="4" t="s">
        <v>60</v>
      </c>
      <c r="U222" s="4" t="s">
        <v>60</v>
      </c>
      <c r="V222" s="4" t="s">
        <v>60</v>
      </c>
      <c r="W222" s="4" t="s">
        <v>60</v>
      </c>
      <c r="X222" s="4" t="s">
        <v>60</v>
      </c>
      <c r="Y222" s="4" t="s">
        <v>60</v>
      </c>
      <c r="Z222" s="4" t="s">
        <v>60</v>
      </c>
      <c r="AA222" s="4" t="s">
        <v>60</v>
      </c>
      <c r="AB222" s="4" t="s">
        <v>60</v>
      </c>
      <c r="AC222" s="4" t="s">
        <v>60</v>
      </c>
      <c r="AD222" s="4" t="s">
        <v>60</v>
      </c>
      <c r="AE222" s="2" t="s">
        <v>60</v>
      </c>
      <c r="AF222" s="3" t="s">
        <v>1346</v>
      </c>
      <c r="AG222" s="7" t="s">
        <v>60</v>
      </c>
      <c r="AH222" s="7" t="s">
        <v>60</v>
      </c>
      <c r="AI222" s="7" t="s">
        <v>60</v>
      </c>
      <c r="AJ222" s="7" t="s">
        <v>60</v>
      </c>
      <c r="AK222" s="7" t="s">
        <v>60</v>
      </c>
      <c r="AL222" s="25" t="s">
        <v>1904</v>
      </c>
      <c r="AM222" s="25" t="s">
        <v>58</v>
      </c>
      <c r="AN222" s="25" t="s">
        <v>59</v>
      </c>
      <c r="AO222" s="25" t="s">
        <v>60</v>
      </c>
      <c r="AP222" s="19" t="s">
        <v>1479</v>
      </c>
      <c r="AQ222" s="19" t="s">
        <v>1869</v>
      </c>
      <c r="AR222" s="19" t="s">
        <v>60</v>
      </c>
      <c r="AS222" s="19" t="s">
        <v>2360</v>
      </c>
      <c r="AT222" s="19" t="s">
        <v>2182</v>
      </c>
      <c r="AU222" s="19" t="s">
        <v>2183</v>
      </c>
      <c r="AV222" s="19">
        <v>9999934588</v>
      </c>
      <c r="AW222" s="20">
        <v>46121</v>
      </c>
      <c r="AX222" s="19" t="s">
        <v>1990</v>
      </c>
      <c r="AY222" s="27" t="s">
        <v>939</v>
      </c>
      <c r="AZ222" s="27" t="s">
        <v>938</v>
      </c>
      <c r="BA222" s="19" t="s">
        <v>60</v>
      </c>
      <c r="BB222" s="19" t="s">
        <v>2666</v>
      </c>
      <c r="BC222" s="19" t="s">
        <v>1042</v>
      </c>
      <c r="BD222" s="75" t="s">
        <v>1346</v>
      </c>
      <c r="BE222" s="100" t="s">
        <v>3981</v>
      </c>
      <c r="BF222" s="100" t="s">
        <v>4263</v>
      </c>
      <c r="BG222" s="100"/>
    </row>
    <row r="223" spans="1:59" s="10" customFormat="1" ht="13.5" x14ac:dyDescent="0.25">
      <c r="A223" s="59">
        <v>216</v>
      </c>
      <c r="B223" s="15" t="s">
        <v>60</v>
      </c>
      <c r="C223" s="12" t="s">
        <v>60</v>
      </c>
      <c r="D223" s="11" t="s">
        <v>103</v>
      </c>
      <c r="E223" s="11" t="s">
        <v>465</v>
      </c>
      <c r="F223" s="11" t="s">
        <v>801</v>
      </c>
      <c r="G223" s="13" t="s">
        <v>1417</v>
      </c>
      <c r="H223" s="11" t="s">
        <v>1359</v>
      </c>
      <c r="I223" s="3" t="s">
        <v>60</v>
      </c>
      <c r="J223" s="3" t="s">
        <v>60</v>
      </c>
      <c r="K223" s="11" t="s">
        <v>1492</v>
      </c>
      <c r="L223" s="4" t="s">
        <v>60</v>
      </c>
      <c r="M223" s="4" t="s">
        <v>60</v>
      </c>
      <c r="N223" s="4" t="s">
        <v>60</v>
      </c>
      <c r="O223" s="4" t="s">
        <v>60</v>
      </c>
      <c r="P223" s="4" t="s">
        <v>60</v>
      </c>
      <c r="Q223" s="4" t="s">
        <v>60</v>
      </c>
      <c r="R223" s="4" t="s">
        <v>60</v>
      </c>
      <c r="S223" s="4" t="s">
        <v>60</v>
      </c>
      <c r="T223" s="4" t="s">
        <v>60</v>
      </c>
      <c r="U223" s="4" t="s">
        <v>60</v>
      </c>
      <c r="V223" s="4" t="s">
        <v>60</v>
      </c>
      <c r="W223" s="4" t="s">
        <v>60</v>
      </c>
      <c r="X223" s="4" t="s">
        <v>60</v>
      </c>
      <c r="Y223" s="4" t="s">
        <v>60</v>
      </c>
      <c r="Z223" s="4" t="s">
        <v>60</v>
      </c>
      <c r="AA223" s="4" t="s">
        <v>60</v>
      </c>
      <c r="AB223" s="4" t="s">
        <v>60</v>
      </c>
      <c r="AC223" s="4" t="s">
        <v>60</v>
      </c>
      <c r="AD223" s="4" t="s">
        <v>60</v>
      </c>
      <c r="AE223" s="2" t="s">
        <v>60</v>
      </c>
      <c r="AF223" s="3" t="s">
        <v>1359</v>
      </c>
      <c r="AG223" s="7" t="s">
        <v>60</v>
      </c>
      <c r="AH223" s="7" t="s">
        <v>60</v>
      </c>
      <c r="AI223" s="7" t="s">
        <v>60</v>
      </c>
      <c r="AJ223" s="7" t="s">
        <v>60</v>
      </c>
      <c r="AK223" s="7" t="s">
        <v>60</v>
      </c>
      <c r="AL223" s="25" t="s">
        <v>1904</v>
      </c>
      <c r="AM223" s="25" t="s">
        <v>58</v>
      </c>
      <c r="AN223" s="25" t="s">
        <v>59</v>
      </c>
      <c r="AO223" s="25" t="s">
        <v>60</v>
      </c>
      <c r="AP223" s="19" t="s">
        <v>1492</v>
      </c>
      <c r="AQ223" s="19" t="s">
        <v>1869</v>
      </c>
      <c r="AR223" s="19" t="s">
        <v>60</v>
      </c>
      <c r="AS223" s="19" t="s">
        <v>2360</v>
      </c>
      <c r="AT223" s="19" t="s">
        <v>2332</v>
      </c>
      <c r="AU223" s="19" t="s">
        <v>2200</v>
      </c>
      <c r="AV223" s="19">
        <v>9999934588</v>
      </c>
      <c r="AW223" s="20">
        <v>46122</v>
      </c>
      <c r="AX223" s="19" t="s">
        <v>1990</v>
      </c>
      <c r="AY223" s="27" t="s">
        <v>801</v>
      </c>
      <c r="AZ223" s="27" t="s">
        <v>465</v>
      </c>
      <c r="BA223" s="19" t="s">
        <v>60</v>
      </c>
      <c r="BB223" s="19" t="s">
        <v>2606</v>
      </c>
      <c r="BC223" s="19" t="s">
        <v>2607</v>
      </c>
      <c r="BD223" s="75" t="s">
        <v>1359</v>
      </c>
      <c r="BE223" s="100" t="s">
        <v>3893</v>
      </c>
      <c r="BF223" s="100" t="s">
        <v>4264</v>
      </c>
      <c r="BG223" s="100"/>
    </row>
    <row r="224" spans="1:59" s="10" customFormat="1" ht="13.5" x14ac:dyDescent="0.25">
      <c r="A224" s="59">
        <v>245</v>
      </c>
      <c r="B224" s="15" t="s">
        <v>60</v>
      </c>
      <c r="C224" s="12" t="s">
        <v>60</v>
      </c>
      <c r="D224" s="11" t="s">
        <v>40</v>
      </c>
      <c r="E224" s="11" t="s">
        <v>199</v>
      </c>
      <c r="F224" s="11" t="s">
        <v>1559</v>
      </c>
      <c r="G224" s="13" t="s">
        <v>1417</v>
      </c>
      <c r="H224" s="11" t="s">
        <v>1301</v>
      </c>
      <c r="I224" s="3" t="s">
        <v>60</v>
      </c>
      <c r="J224" s="3" t="s">
        <v>60</v>
      </c>
      <c r="K224" s="11" t="s">
        <v>1434</v>
      </c>
      <c r="L224" s="4" t="s">
        <v>60</v>
      </c>
      <c r="M224" s="4" t="s">
        <v>60</v>
      </c>
      <c r="N224" s="4" t="s">
        <v>60</v>
      </c>
      <c r="O224" s="4" t="s">
        <v>60</v>
      </c>
      <c r="P224" s="4" t="s">
        <v>60</v>
      </c>
      <c r="Q224" s="4" t="s">
        <v>60</v>
      </c>
      <c r="R224" s="4" t="s">
        <v>60</v>
      </c>
      <c r="S224" s="4" t="s">
        <v>60</v>
      </c>
      <c r="T224" s="4" t="s">
        <v>60</v>
      </c>
      <c r="U224" s="4" t="s">
        <v>60</v>
      </c>
      <c r="V224" s="4" t="s">
        <v>60</v>
      </c>
      <c r="W224" s="4" t="s">
        <v>60</v>
      </c>
      <c r="X224" s="4" t="s">
        <v>60</v>
      </c>
      <c r="Y224" s="4" t="s">
        <v>60</v>
      </c>
      <c r="Z224" s="4" t="s">
        <v>60</v>
      </c>
      <c r="AA224" s="4" t="s">
        <v>60</v>
      </c>
      <c r="AB224" s="4" t="s">
        <v>60</v>
      </c>
      <c r="AC224" s="4" t="s">
        <v>60</v>
      </c>
      <c r="AD224" s="4" t="s">
        <v>60</v>
      </c>
      <c r="AE224" s="2" t="s">
        <v>60</v>
      </c>
      <c r="AF224" s="3" t="s">
        <v>1301</v>
      </c>
      <c r="AG224" s="7" t="s">
        <v>60</v>
      </c>
      <c r="AH224" s="7" t="s">
        <v>60</v>
      </c>
      <c r="AI224" s="7" t="s">
        <v>60</v>
      </c>
      <c r="AJ224" s="7" t="s">
        <v>60</v>
      </c>
      <c r="AK224" s="7" t="s">
        <v>60</v>
      </c>
      <c r="AL224" s="25" t="s">
        <v>1904</v>
      </c>
      <c r="AM224" s="25" t="s">
        <v>58</v>
      </c>
      <c r="AN224" s="25" t="s">
        <v>59</v>
      </c>
      <c r="AO224" s="25" t="s">
        <v>60</v>
      </c>
      <c r="AP224" s="19" t="s">
        <v>1434</v>
      </c>
      <c r="AQ224" s="19" t="s">
        <v>1869</v>
      </c>
      <c r="AR224" s="19" t="s">
        <v>60</v>
      </c>
      <c r="AS224" s="19" t="s">
        <v>2360</v>
      </c>
      <c r="AT224" s="19" t="s">
        <v>60</v>
      </c>
      <c r="AU224" s="19" t="s">
        <v>2814</v>
      </c>
      <c r="AV224" s="19">
        <v>9999934588</v>
      </c>
      <c r="AW224" s="20">
        <v>46120</v>
      </c>
      <c r="AX224" s="19" t="s">
        <v>1990</v>
      </c>
      <c r="AY224" s="27" t="s">
        <v>1559</v>
      </c>
      <c r="AZ224" s="27" t="s">
        <v>199</v>
      </c>
      <c r="BA224" s="19" t="s">
        <v>60</v>
      </c>
      <c r="BB224" s="19" t="s">
        <v>2623</v>
      </c>
      <c r="BC224" s="19" t="s">
        <v>538</v>
      </c>
      <c r="BD224" s="75" t="s">
        <v>1301</v>
      </c>
      <c r="BE224" s="100" t="s">
        <v>3922</v>
      </c>
      <c r="BF224" s="100" t="s">
        <v>4265</v>
      </c>
      <c r="BG224" s="100"/>
    </row>
    <row r="225" spans="1:59" s="10" customFormat="1" ht="13.5" x14ac:dyDescent="0.25">
      <c r="A225" s="59">
        <v>288</v>
      </c>
      <c r="B225" s="15" t="s">
        <v>60</v>
      </c>
      <c r="C225" s="12" t="s">
        <v>60</v>
      </c>
      <c r="D225" s="11" t="s">
        <v>40</v>
      </c>
      <c r="E225" s="11" t="s">
        <v>61</v>
      </c>
      <c r="F225" s="11" t="s">
        <v>1584</v>
      </c>
      <c r="G225" s="13" t="s">
        <v>1417</v>
      </c>
      <c r="H225" s="11" t="s">
        <v>1341</v>
      </c>
      <c r="I225" s="3" t="s">
        <v>60</v>
      </c>
      <c r="J225" s="3" t="s">
        <v>60</v>
      </c>
      <c r="K225" s="11" t="s">
        <v>1474</v>
      </c>
      <c r="L225" s="4" t="s">
        <v>60</v>
      </c>
      <c r="M225" s="4" t="s">
        <v>60</v>
      </c>
      <c r="N225" s="4" t="s">
        <v>60</v>
      </c>
      <c r="O225" s="4" t="s">
        <v>60</v>
      </c>
      <c r="P225" s="4" t="s">
        <v>60</v>
      </c>
      <c r="Q225" s="4" t="s">
        <v>60</v>
      </c>
      <c r="R225" s="4" t="s">
        <v>60</v>
      </c>
      <c r="S225" s="4" t="s">
        <v>60</v>
      </c>
      <c r="T225" s="4" t="s">
        <v>60</v>
      </c>
      <c r="U225" s="4" t="s">
        <v>60</v>
      </c>
      <c r="V225" s="4" t="s">
        <v>60</v>
      </c>
      <c r="W225" s="4" t="s">
        <v>60</v>
      </c>
      <c r="X225" s="4" t="s">
        <v>60</v>
      </c>
      <c r="Y225" s="4" t="s">
        <v>60</v>
      </c>
      <c r="Z225" s="4" t="s">
        <v>60</v>
      </c>
      <c r="AA225" s="4" t="s">
        <v>60</v>
      </c>
      <c r="AB225" s="4" t="s">
        <v>60</v>
      </c>
      <c r="AC225" s="4" t="s">
        <v>60</v>
      </c>
      <c r="AD225" s="4" t="s">
        <v>60</v>
      </c>
      <c r="AE225" s="2" t="s">
        <v>60</v>
      </c>
      <c r="AF225" s="3" t="s">
        <v>1341</v>
      </c>
      <c r="AG225" s="7" t="s">
        <v>60</v>
      </c>
      <c r="AH225" s="7" t="s">
        <v>60</v>
      </c>
      <c r="AI225" s="7" t="s">
        <v>60</v>
      </c>
      <c r="AJ225" s="7" t="s">
        <v>60</v>
      </c>
      <c r="AK225" s="7" t="s">
        <v>60</v>
      </c>
      <c r="AL225" s="25" t="s">
        <v>1904</v>
      </c>
      <c r="AM225" s="25" t="s">
        <v>58</v>
      </c>
      <c r="AN225" s="25" t="s">
        <v>59</v>
      </c>
      <c r="AO225" s="25" t="s">
        <v>60</v>
      </c>
      <c r="AP225" s="19" t="s">
        <v>1474</v>
      </c>
      <c r="AQ225" s="19" t="s">
        <v>1869</v>
      </c>
      <c r="AR225" s="19" t="s">
        <v>60</v>
      </c>
      <c r="AS225" s="19" t="s">
        <v>2360</v>
      </c>
      <c r="AT225" s="19" t="s">
        <v>2174</v>
      </c>
      <c r="AU225" s="19" t="s">
        <v>2175</v>
      </c>
      <c r="AV225" s="19">
        <v>9999934588</v>
      </c>
      <c r="AW225" s="20">
        <v>46125</v>
      </c>
      <c r="AX225" s="19" t="s">
        <v>1990</v>
      </c>
      <c r="AY225" s="27" t="s">
        <v>1584</v>
      </c>
      <c r="AZ225" s="27" t="s">
        <v>61</v>
      </c>
      <c r="BA225" s="19" t="s">
        <v>60</v>
      </c>
      <c r="BB225" s="19" t="s">
        <v>2658</v>
      </c>
      <c r="BC225" s="19" t="s">
        <v>2603</v>
      </c>
      <c r="BD225" s="75" t="s">
        <v>1341</v>
      </c>
      <c r="BE225" s="100" t="s">
        <v>3965</v>
      </c>
      <c r="BF225" s="100" t="s">
        <v>4266</v>
      </c>
      <c r="BG225" s="100"/>
    </row>
    <row r="226" spans="1:59" s="10" customFormat="1" ht="13.5" x14ac:dyDescent="0.25">
      <c r="A226" s="59">
        <v>211</v>
      </c>
      <c r="B226" s="15" t="s">
        <v>60</v>
      </c>
      <c r="C226" s="12" t="s">
        <v>60</v>
      </c>
      <c r="D226" s="11" t="s">
        <v>40</v>
      </c>
      <c r="E226" s="11" t="s">
        <v>96</v>
      </c>
      <c r="F226" s="11" t="s">
        <v>1616</v>
      </c>
      <c r="G226" s="13" t="s">
        <v>1417</v>
      </c>
      <c r="H226" s="11" t="s">
        <v>1409</v>
      </c>
      <c r="I226" s="3" t="s">
        <v>60</v>
      </c>
      <c r="J226" s="3" t="s">
        <v>60</v>
      </c>
      <c r="K226" s="11" t="s">
        <v>1543</v>
      </c>
      <c r="L226" s="4" t="s">
        <v>60</v>
      </c>
      <c r="M226" s="4" t="s">
        <v>60</v>
      </c>
      <c r="N226" s="4" t="s">
        <v>60</v>
      </c>
      <c r="O226" s="4" t="s">
        <v>60</v>
      </c>
      <c r="P226" s="4" t="s">
        <v>60</v>
      </c>
      <c r="Q226" s="4" t="s">
        <v>60</v>
      </c>
      <c r="R226" s="4" t="s">
        <v>60</v>
      </c>
      <c r="S226" s="4" t="s">
        <v>60</v>
      </c>
      <c r="T226" s="4" t="s">
        <v>60</v>
      </c>
      <c r="U226" s="4" t="s">
        <v>60</v>
      </c>
      <c r="V226" s="4" t="s">
        <v>60</v>
      </c>
      <c r="W226" s="4" t="s">
        <v>60</v>
      </c>
      <c r="X226" s="4" t="s">
        <v>60</v>
      </c>
      <c r="Y226" s="4" t="s">
        <v>60</v>
      </c>
      <c r="Z226" s="4" t="s">
        <v>60</v>
      </c>
      <c r="AA226" s="4" t="s">
        <v>60</v>
      </c>
      <c r="AB226" s="4" t="s">
        <v>60</v>
      </c>
      <c r="AC226" s="4" t="s">
        <v>60</v>
      </c>
      <c r="AD226" s="4" t="s">
        <v>60</v>
      </c>
      <c r="AE226" s="2" t="s">
        <v>60</v>
      </c>
      <c r="AF226" s="3" t="s">
        <v>1409</v>
      </c>
      <c r="AG226" s="7" t="s">
        <v>60</v>
      </c>
      <c r="AH226" s="7" t="s">
        <v>60</v>
      </c>
      <c r="AI226" s="7" t="s">
        <v>60</v>
      </c>
      <c r="AJ226" s="7" t="s">
        <v>60</v>
      </c>
      <c r="AK226" s="7" t="s">
        <v>60</v>
      </c>
      <c r="AL226" s="25" t="s">
        <v>1904</v>
      </c>
      <c r="AM226" s="25" t="s">
        <v>58</v>
      </c>
      <c r="AN226" s="25" t="s">
        <v>59</v>
      </c>
      <c r="AO226" s="25" t="s">
        <v>60</v>
      </c>
      <c r="AP226" s="19" t="s">
        <v>1543</v>
      </c>
      <c r="AQ226" s="19" t="s">
        <v>1869</v>
      </c>
      <c r="AR226" s="19" t="s">
        <v>60</v>
      </c>
      <c r="AS226" s="19" t="s">
        <v>2360</v>
      </c>
      <c r="AT226" s="19" t="s">
        <v>2260</v>
      </c>
      <c r="AU226" s="19" t="s">
        <v>2353</v>
      </c>
      <c r="AV226" s="19">
        <v>9999934588</v>
      </c>
      <c r="AW226" s="20">
        <v>46130</v>
      </c>
      <c r="AX226" s="19" t="s">
        <v>1990</v>
      </c>
      <c r="AY226" s="27" t="s">
        <v>1616</v>
      </c>
      <c r="AZ226" s="27" t="s">
        <v>96</v>
      </c>
      <c r="BA226" s="19" t="s">
        <v>60</v>
      </c>
      <c r="BB226" s="19" t="s">
        <v>2589</v>
      </c>
      <c r="BC226" s="19" t="s">
        <v>143</v>
      </c>
      <c r="BD226" s="75" t="s">
        <v>1409</v>
      </c>
      <c r="BE226" s="100" t="s">
        <v>3888</v>
      </c>
      <c r="BF226" s="100" t="s">
        <v>4267</v>
      </c>
      <c r="BG226" s="100"/>
    </row>
    <row r="227" spans="1:59" s="10" customFormat="1" ht="13.5" x14ac:dyDescent="0.25">
      <c r="A227" s="59">
        <v>202</v>
      </c>
      <c r="B227" s="15" t="s">
        <v>60</v>
      </c>
      <c r="C227" s="12" t="s">
        <v>60</v>
      </c>
      <c r="D227" s="11" t="s">
        <v>40</v>
      </c>
      <c r="E227" s="11" t="s">
        <v>129</v>
      </c>
      <c r="F227" s="11" t="s">
        <v>129</v>
      </c>
      <c r="G227" s="13" t="s">
        <v>1417</v>
      </c>
      <c r="H227" s="11" t="s">
        <v>1393</v>
      </c>
      <c r="I227" s="3" t="s">
        <v>60</v>
      </c>
      <c r="J227" s="3" t="s">
        <v>60</v>
      </c>
      <c r="K227" s="11" t="s">
        <v>1527</v>
      </c>
      <c r="L227" s="4" t="s">
        <v>60</v>
      </c>
      <c r="M227" s="4" t="s">
        <v>60</v>
      </c>
      <c r="N227" s="4" t="s">
        <v>60</v>
      </c>
      <c r="O227" s="4" t="s">
        <v>60</v>
      </c>
      <c r="P227" s="4" t="s">
        <v>60</v>
      </c>
      <c r="Q227" s="4" t="s">
        <v>60</v>
      </c>
      <c r="R227" s="4" t="s">
        <v>60</v>
      </c>
      <c r="S227" s="4" t="s">
        <v>60</v>
      </c>
      <c r="T227" s="4" t="s">
        <v>60</v>
      </c>
      <c r="U227" s="4" t="s">
        <v>60</v>
      </c>
      <c r="V227" s="4" t="s">
        <v>60</v>
      </c>
      <c r="W227" s="4" t="s">
        <v>60</v>
      </c>
      <c r="X227" s="4" t="s">
        <v>60</v>
      </c>
      <c r="Y227" s="4" t="s">
        <v>60</v>
      </c>
      <c r="Z227" s="4" t="s">
        <v>60</v>
      </c>
      <c r="AA227" s="4" t="s">
        <v>60</v>
      </c>
      <c r="AB227" s="4" t="s">
        <v>60</v>
      </c>
      <c r="AC227" s="4" t="s">
        <v>60</v>
      </c>
      <c r="AD227" s="4" t="s">
        <v>60</v>
      </c>
      <c r="AE227" s="2" t="s">
        <v>60</v>
      </c>
      <c r="AF227" s="3" t="s">
        <v>1393</v>
      </c>
      <c r="AG227" s="7" t="s">
        <v>60</v>
      </c>
      <c r="AH227" s="7" t="s">
        <v>60</v>
      </c>
      <c r="AI227" s="7" t="s">
        <v>60</v>
      </c>
      <c r="AJ227" s="7" t="s">
        <v>60</v>
      </c>
      <c r="AK227" s="7" t="s">
        <v>60</v>
      </c>
      <c r="AL227" s="25" t="s">
        <v>1904</v>
      </c>
      <c r="AM227" s="25" t="s">
        <v>58</v>
      </c>
      <c r="AN227" s="25" t="s">
        <v>59</v>
      </c>
      <c r="AO227" s="25" t="s">
        <v>60</v>
      </c>
      <c r="AP227" s="19" t="s">
        <v>1527</v>
      </c>
      <c r="AQ227" s="19" t="s">
        <v>1869</v>
      </c>
      <c r="AR227" s="19" t="s">
        <v>60</v>
      </c>
      <c r="AS227" s="19" t="s">
        <v>2360</v>
      </c>
      <c r="AT227" s="19" t="s">
        <v>2239</v>
      </c>
      <c r="AU227" s="19" t="s">
        <v>2157</v>
      </c>
      <c r="AV227" s="19">
        <v>9999934588</v>
      </c>
      <c r="AW227" s="20">
        <v>46122</v>
      </c>
      <c r="AX227" s="19" t="s">
        <v>1990</v>
      </c>
      <c r="AY227" s="27" t="s">
        <v>129</v>
      </c>
      <c r="AZ227" s="27" t="s">
        <v>129</v>
      </c>
      <c r="BA227" s="19" t="s">
        <v>60</v>
      </c>
      <c r="BB227" s="19" t="s">
        <v>2598</v>
      </c>
      <c r="BC227" s="19" t="s">
        <v>60</v>
      </c>
      <c r="BD227" s="75" t="s">
        <v>1393</v>
      </c>
      <c r="BE227" s="100" t="s">
        <v>3879</v>
      </c>
      <c r="BF227" s="100" t="s">
        <v>4268</v>
      </c>
      <c r="BG227" s="100"/>
    </row>
    <row r="228" spans="1:59" s="10" customFormat="1" ht="13.5" x14ac:dyDescent="0.25">
      <c r="A228" s="59">
        <v>209</v>
      </c>
      <c r="B228" s="15" t="s">
        <v>60</v>
      </c>
      <c r="C228" s="12" t="s">
        <v>60</v>
      </c>
      <c r="D228" s="11" t="s">
        <v>40</v>
      </c>
      <c r="E228" s="11" t="s">
        <v>96</v>
      </c>
      <c r="F228" s="11" t="s">
        <v>1595</v>
      </c>
      <c r="G228" s="13" t="s">
        <v>1417</v>
      </c>
      <c r="H228" s="11" t="s">
        <v>1371</v>
      </c>
      <c r="I228" s="3" t="s">
        <v>60</v>
      </c>
      <c r="J228" s="3" t="s">
        <v>60</v>
      </c>
      <c r="K228" s="11" t="s">
        <v>1505</v>
      </c>
      <c r="L228" s="4" t="s">
        <v>60</v>
      </c>
      <c r="M228" s="4" t="s">
        <v>60</v>
      </c>
      <c r="N228" s="4" t="s">
        <v>60</v>
      </c>
      <c r="O228" s="4" t="s">
        <v>60</v>
      </c>
      <c r="P228" s="4" t="s">
        <v>60</v>
      </c>
      <c r="Q228" s="4" t="s">
        <v>60</v>
      </c>
      <c r="R228" s="4" t="s">
        <v>60</v>
      </c>
      <c r="S228" s="4" t="s">
        <v>60</v>
      </c>
      <c r="T228" s="4" t="s">
        <v>60</v>
      </c>
      <c r="U228" s="4" t="s">
        <v>60</v>
      </c>
      <c r="V228" s="4" t="s">
        <v>60</v>
      </c>
      <c r="W228" s="4" t="s">
        <v>60</v>
      </c>
      <c r="X228" s="4" t="s">
        <v>60</v>
      </c>
      <c r="Y228" s="4" t="s">
        <v>60</v>
      </c>
      <c r="Z228" s="4" t="s">
        <v>60</v>
      </c>
      <c r="AA228" s="4" t="s">
        <v>60</v>
      </c>
      <c r="AB228" s="4" t="s">
        <v>60</v>
      </c>
      <c r="AC228" s="4" t="s">
        <v>60</v>
      </c>
      <c r="AD228" s="4" t="s">
        <v>60</v>
      </c>
      <c r="AE228" s="2" t="s">
        <v>60</v>
      </c>
      <c r="AF228" s="3" t="s">
        <v>1371</v>
      </c>
      <c r="AG228" s="7" t="s">
        <v>60</v>
      </c>
      <c r="AH228" s="7" t="s">
        <v>60</v>
      </c>
      <c r="AI228" s="7" t="s">
        <v>60</v>
      </c>
      <c r="AJ228" s="7" t="s">
        <v>60</v>
      </c>
      <c r="AK228" s="7" t="s">
        <v>60</v>
      </c>
      <c r="AL228" s="25" t="s">
        <v>1904</v>
      </c>
      <c r="AM228" s="25" t="s">
        <v>58</v>
      </c>
      <c r="AN228" s="25" t="s">
        <v>59</v>
      </c>
      <c r="AO228" s="25" t="s">
        <v>60</v>
      </c>
      <c r="AP228" s="19" t="s">
        <v>1505</v>
      </c>
      <c r="AQ228" s="19" t="s">
        <v>1869</v>
      </c>
      <c r="AR228" s="19" t="s">
        <v>60</v>
      </c>
      <c r="AS228" s="19" t="s">
        <v>2360</v>
      </c>
      <c r="AT228" s="19" t="s">
        <v>2216</v>
      </c>
      <c r="AU228" s="19" t="s">
        <v>2093</v>
      </c>
      <c r="AV228" s="19">
        <v>9999934588</v>
      </c>
      <c r="AW228" s="20">
        <v>46130</v>
      </c>
      <c r="AX228" s="19" t="s">
        <v>1990</v>
      </c>
      <c r="AY228" s="27" t="s">
        <v>1595</v>
      </c>
      <c r="AZ228" s="27" t="s">
        <v>96</v>
      </c>
      <c r="BA228" s="19" t="s">
        <v>60</v>
      </c>
      <c r="BB228" s="19" t="s">
        <v>2604</v>
      </c>
      <c r="BC228" s="19" t="s">
        <v>60</v>
      </c>
      <c r="BD228" s="75" t="s">
        <v>1371</v>
      </c>
      <c r="BE228" s="100" t="s">
        <v>3886</v>
      </c>
      <c r="BF228" s="100" t="s">
        <v>4269</v>
      </c>
      <c r="BG228" s="100"/>
    </row>
    <row r="229" spans="1:59" s="10" customFormat="1" ht="13.5" x14ac:dyDescent="0.25">
      <c r="A229" s="59">
        <v>196</v>
      </c>
      <c r="B229" s="15" t="s">
        <v>60</v>
      </c>
      <c r="C229" s="12" t="s">
        <v>60</v>
      </c>
      <c r="D229" s="11" t="s">
        <v>103</v>
      </c>
      <c r="E229" s="11" t="s">
        <v>1621</v>
      </c>
      <c r="F229" s="11" t="s">
        <v>342</v>
      </c>
      <c r="G229" s="13" t="s">
        <v>1417</v>
      </c>
      <c r="H229" s="11" t="s">
        <v>1398</v>
      </c>
      <c r="I229" s="3" t="s">
        <v>60</v>
      </c>
      <c r="J229" s="3" t="s">
        <v>60</v>
      </c>
      <c r="K229" s="11" t="s">
        <v>1532</v>
      </c>
      <c r="L229" s="4" t="s">
        <v>60</v>
      </c>
      <c r="M229" s="4" t="s">
        <v>60</v>
      </c>
      <c r="N229" s="4" t="s">
        <v>60</v>
      </c>
      <c r="O229" s="4" t="s">
        <v>60</v>
      </c>
      <c r="P229" s="4" t="s">
        <v>60</v>
      </c>
      <c r="Q229" s="4" t="s">
        <v>60</v>
      </c>
      <c r="R229" s="4" t="s">
        <v>60</v>
      </c>
      <c r="S229" s="4" t="s">
        <v>60</v>
      </c>
      <c r="T229" s="4" t="s">
        <v>60</v>
      </c>
      <c r="U229" s="4" t="s">
        <v>60</v>
      </c>
      <c r="V229" s="4" t="s">
        <v>60</v>
      </c>
      <c r="W229" s="4" t="s">
        <v>60</v>
      </c>
      <c r="X229" s="4" t="s">
        <v>60</v>
      </c>
      <c r="Y229" s="4" t="s">
        <v>60</v>
      </c>
      <c r="Z229" s="4" t="s">
        <v>60</v>
      </c>
      <c r="AA229" s="4" t="s">
        <v>60</v>
      </c>
      <c r="AB229" s="4" t="s">
        <v>60</v>
      </c>
      <c r="AC229" s="4" t="s">
        <v>60</v>
      </c>
      <c r="AD229" s="4" t="s">
        <v>60</v>
      </c>
      <c r="AE229" s="2" t="s">
        <v>60</v>
      </c>
      <c r="AF229" s="3" t="s">
        <v>1398</v>
      </c>
      <c r="AG229" s="7" t="s">
        <v>60</v>
      </c>
      <c r="AH229" s="7" t="s">
        <v>60</v>
      </c>
      <c r="AI229" s="7" t="s">
        <v>60</v>
      </c>
      <c r="AJ229" s="7" t="s">
        <v>60</v>
      </c>
      <c r="AK229" s="7" t="s">
        <v>60</v>
      </c>
      <c r="AL229" s="25" t="s">
        <v>1904</v>
      </c>
      <c r="AM229" s="25" t="s">
        <v>58</v>
      </c>
      <c r="AN229" s="25" t="s">
        <v>59</v>
      </c>
      <c r="AO229" s="25" t="s">
        <v>60</v>
      </c>
      <c r="AP229" s="19" t="s">
        <v>1532</v>
      </c>
      <c r="AQ229" s="19" t="s">
        <v>1869</v>
      </c>
      <c r="AR229" s="19" t="s">
        <v>60</v>
      </c>
      <c r="AS229" s="19" t="s">
        <v>2360</v>
      </c>
      <c r="AT229" s="19" t="s">
        <v>2244</v>
      </c>
      <c r="AU229" s="19" t="s">
        <v>2245</v>
      </c>
      <c r="AV229" s="19">
        <v>9999934588</v>
      </c>
      <c r="AW229" s="20" t="s">
        <v>2246</v>
      </c>
      <c r="AX229" s="19" t="s">
        <v>1990</v>
      </c>
      <c r="AY229" s="27" t="s">
        <v>342</v>
      </c>
      <c r="AZ229" s="27" t="s">
        <v>1621</v>
      </c>
      <c r="BA229" s="19" t="s">
        <v>60</v>
      </c>
      <c r="BB229" s="19" t="s">
        <v>2727</v>
      </c>
      <c r="BC229" s="19" t="s">
        <v>2595</v>
      </c>
      <c r="BD229" s="75" t="s">
        <v>1398</v>
      </c>
      <c r="BE229" s="100" t="s">
        <v>3873</v>
      </c>
      <c r="BF229" s="100" t="s">
        <v>4270</v>
      </c>
      <c r="BG229" s="100"/>
    </row>
    <row r="230" spans="1:59" s="10" customFormat="1" ht="13.5" x14ac:dyDescent="0.25">
      <c r="A230" s="59">
        <v>306</v>
      </c>
      <c r="B230" s="15" t="s">
        <v>60</v>
      </c>
      <c r="C230" s="12" t="s">
        <v>60</v>
      </c>
      <c r="D230" s="11" t="s">
        <v>103</v>
      </c>
      <c r="E230" s="11" t="s">
        <v>104</v>
      </c>
      <c r="F230" s="11" t="s">
        <v>1558</v>
      </c>
      <c r="G230" s="13" t="s">
        <v>1417</v>
      </c>
      <c r="H230" s="11" t="s">
        <v>1300</v>
      </c>
      <c r="I230" s="3" t="s">
        <v>60</v>
      </c>
      <c r="J230" s="3" t="s">
        <v>60</v>
      </c>
      <c r="K230" s="11" t="s">
        <v>1433</v>
      </c>
      <c r="L230" s="4" t="s">
        <v>60</v>
      </c>
      <c r="M230" s="4" t="s">
        <v>60</v>
      </c>
      <c r="N230" s="4" t="s">
        <v>60</v>
      </c>
      <c r="O230" s="4" t="s">
        <v>60</v>
      </c>
      <c r="P230" s="4" t="s">
        <v>60</v>
      </c>
      <c r="Q230" s="4" t="s">
        <v>60</v>
      </c>
      <c r="R230" s="4" t="s">
        <v>60</v>
      </c>
      <c r="S230" s="4" t="s">
        <v>60</v>
      </c>
      <c r="T230" s="4" t="s">
        <v>60</v>
      </c>
      <c r="U230" s="4" t="s">
        <v>60</v>
      </c>
      <c r="V230" s="4" t="s">
        <v>60</v>
      </c>
      <c r="W230" s="4" t="s">
        <v>60</v>
      </c>
      <c r="X230" s="4" t="s">
        <v>60</v>
      </c>
      <c r="Y230" s="4" t="s">
        <v>60</v>
      </c>
      <c r="Z230" s="4" t="s">
        <v>60</v>
      </c>
      <c r="AA230" s="4" t="s">
        <v>60</v>
      </c>
      <c r="AB230" s="4" t="s">
        <v>60</v>
      </c>
      <c r="AC230" s="4" t="s">
        <v>60</v>
      </c>
      <c r="AD230" s="4" t="s">
        <v>60</v>
      </c>
      <c r="AE230" s="2" t="s">
        <v>60</v>
      </c>
      <c r="AF230" s="3" t="s">
        <v>1300</v>
      </c>
      <c r="AG230" s="7" t="s">
        <v>60</v>
      </c>
      <c r="AH230" s="7" t="s">
        <v>60</v>
      </c>
      <c r="AI230" s="7" t="s">
        <v>60</v>
      </c>
      <c r="AJ230" s="7" t="s">
        <v>60</v>
      </c>
      <c r="AK230" s="7" t="s">
        <v>60</v>
      </c>
      <c r="AL230" s="25" t="s">
        <v>1904</v>
      </c>
      <c r="AM230" s="25" t="s">
        <v>58</v>
      </c>
      <c r="AN230" s="25" t="s">
        <v>59</v>
      </c>
      <c r="AO230" s="25" t="s">
        <v>60</v>
      </c>
      <c r="AP230" s="19" t="s">
        <v>1433</v>
      </c>
      <c r="AQ230" s="19" t="s">
        <v>1869</v>
      </c>
      <c r="AR230" s="19" t="s">
        <v>60</v>
      </c>
      <c r="AS230" s="19" t="s">
        <v>2360</v>
      </c>
      <c r="AT230" s="19" t="s">
        <v>2118</v>
      </c>
      <c r="AU230" s="19" t="s">
        <v>2119</v>
      </c>
      <c r="AV230" s="19">
        <v>9999934588</v>
      </c>
      <c r="AW230" s="20">
        <v>46129</v>
      </c>
      <c r="AX230" s="19" t="s">
        <v>1990</v>
      </c>
      <c r="AY230" s="27" t="s">
        <v>1558</v>
      </c>
      <c r="AZ230" s="27" t="s">
        <v>104</v>
      </c>
      <c r="BA230" s="19" t="s">
        <v>60</v>
      </c>
      <c r="BB230" s="19" t="s">
        <v>2667</v>
      </c>
      <c r="BC230" s="19" t="s">
        <v>2538</v>
      </c>
      <c r="BD230" s="75" t="s">
        <v>1300</v>
      </c>
      <c r="BE230" s="100" t="s">
        <v>3983</v>
      </c>
      <c r="BF230" s="100" t="s">
        <v>4271</v>
      </c>
      <c r="BG230" s="100"/>
    </row>
    <row r="231" spans="1:59" s="10" customFormat="1" ht="13.5" x14ac:dyDescent="0.25">
      <c r="A231" s="59">
        <v>262</v>
      </c>
      <c r="B231" s="15" t="s">
        <v>60</v>
      </c>
      <c r="C231" s="12" t="s">
        <v>60</v>
      </c>
      <c r="D231" s="11" t="s">
        <v>40</v>
      </c>
      <c r="E231" s="11" t="s">
        <v>199</v>
      </c>
      <c r="F231" s="11" t="s">
        <v>1594</v>
      </c>
      <c r="G231" s="13" t="s">
        <v>1417</v>
      </c>
      <c r="H231" s="11" t="s">
        <v>1369</v>
      </c>
      <c r="I231" s="3" t="s">
        <v>60</v>
      </c>
      <c r="J231" s="3" t="s">
        <v>60</v>
      </c>
      <c r="K231" s="11" t="s">
        <v>1503</v>
      </c>
      <c r="L231" s="4" t="s">
        <v>60</v>
      </c>
      <c r="M231" s="4" t="s">
        <v>60</v>
      </c>
      <c r="N231" s="4" t="s">
        <v>60</v>
      </c>
      <c r="O231" s="4" t="s">
        <v>60</v>
      </c>
      <c r="P231" s="4" t="s">
        <v>60</v>
      </c>
      <c r="Q231" s="4" t="s">
        <v>60</v>
      </c>
      <c r="R231" s="4" t="s">
        <v>60</v>
      </c>
      <c r="S231" s="4" t="s">
        <v>60</v>
      </c>
      <c r="T231" s="4" t="s">
        <v>60</v>
      </c>
      <c r="U231" s="4" t="s">
        <v>60</v>
      </c>
      <c r="V231" s="4" t="s">
        <v>60</v>
      </c>
      <c r="W231" s="4" t="s">
        <v>60</v>
      </c>
      <c r="X231" s="4" t="s">
        <v>60</v>
      </c>
      <c r="Y231" s="4" t="s">
        <v>60</v>
      </c>
      <c r="Z231" s="4" t="s">
        <v>60</v>
      </c>
      <c r="AA231" s="4" t="s">
        <v>60</v>
      </c>
      <c r="AB231" s="4" t="s">
        <v>60</v>
      </c>
      <c r="AC231" s="4" t="s">
        <v>60</v>
      </c>
      <c r="AD231" s="4" t="s">
        <v>60</v>
      </c>
      <c r="AE231" s="2" t="s">
        <v>60</v>
      </c>
      <c r="AF231" s="3" t="s">
        <v>1369</v>
      </c>
      <c r="AG231" s="7" t="s">
        <v>60</v>
      </c>
      <c r="AH231" s="7" t="s">
        <v>60</v>
      </c>
      <c r="AI231" s="7" t="s">
        <v>60</v>
      </c>
      <c r="AJ231" s="7" t="s">
        <v>60</v>
      </c>
      <c r="AK231" s="7" t="s">
        <v>60</v>
      </c>
      <c r="AL231" s="25" t="s">
        <v>1904</v>
      </c>
      <c r="AM231" s="25" t="s">
        <v>58</v>
      </c>
      <c r="AN231" s="25" t="s">
        <v>59</v>
      </c>
      <c r="AO231" s="25" t="s">
        <v>60</v>
      </c>
      <c r="AP231" s="19" t="s">
        <v>1503</v>
      </c>
      <c r="AQ231" s="19" t="s">
        <v>1869</v>
      </c>
      <c r="AR231" s="19" t="s">
        <v>60</v>
      </c>
      <c r="AS231" s="19" t="s">
        <v>2360</v>
      </c>
      <c r="AT231" s="19" t="s">
        <v>2212</v>
      </c>
      <c r="AU231" s="19" t="s">
        <v>2213</v>
      </c>
      <c r="AV231" s="19">
        <v>9999934588</v>
      </c>
      <c r="AW231" s="20">
        <v>46123</v>
      </c>
      <c r="AX231" s="19" t="s">
        <v>1990</v>
      </c>
      <c r="AY231" s="27" t="s">
        <v>1594</v>
      </c>
      <c r="AZ231" s="27" t="s">
        <v>199</v>
      </c>
      <c r="BA231" s="19" t="s">
        <v>60</v>
      </c>
      <c r="BB231" s="19" t="s">
        <v>2560</v>
      </c>
      <c r="BC231" s="19" t="s">
        <v>79</v>
      </c>
      <c r="BD231" s="75" t="s">
        <v>1369</v>
      </c>
      <c r="BE231" s="100" t="s">
        <v>3939</v>
      </c>
      <c r="BF231" s="100" t="s">
        <v>4272</v>
      </c>
      <c r="BG231" s="100"/>
    </row>
    <row r="232" spans="1:59" s="10" customFormat="1" ht="13.5" x14ac:dyDescent="0.25">
      <c r="A232" s="59">
        <v>263</v>
      </c>
      <c r="B232" s="15" t="s">
        <v>60</v>
      </c>
      <c r="C232" s="12" t="s">
        <v>60</v>
      </c>
      <c r="D232" s="11" t="s">
        <v>40</v>
      </c>
      <c r="E232" s="11" t="s">
        <v>199</v>
      </c>
      <c r="F232" s="11" t="s">
        <v>1598</v>
      </c>
      <c r="G232" s="13" t="s">
        <v>1417</v>
      </c>
      <c r="H232" s="11" t="s">
        <v>1374</v>
      </c>
      <c r="I232" s="3" t="s">
        <v>60</v>
      </c>
      <c r="J232" s="3" t="s">
        <v>60</v>
      </c>
      <c r="K232" s="11" t="s">
        <v>1508</v>
      </c>
      <c r="L232" s="4" t="s">
        <v>60</v>
      </c>
      <c r="M232" s="4" t="s">
        <v>60</v>
      </c>
      <c r="N232" s="4" t="s">
        <v>60</v>
      </c>
      <c r="O232" s="4" t="s">
        <v>60</v>
      </c>
      <c r="P232" s="4" t="s">
        <v>60</v>
      </c>
      <c r="Q232" s="4" t="s">
        <v>60</v>
      </c>
      <c r="R232" s="4" t="s">
        <v>60</v>
      </c>
      <c r="S232" s="4" t="s">
        <v>60</v>
      </c>
      <c r="T232" s="4" t="s">
        <v>60</v>
      </c>
      <c r="U232" s="4" t="s">
        <v>60</v>
      </c>
      <c r="V232" s="4" t="s">
        <v>60</v>
      </c>
      <c r="W232" s="4" t="s">
        <v>60</v>
      </c>
      <c r="X232" s="4" t="s">
        <v>60</v>
      </c>
      <c r="Y232" s="4" t="s">
        <v>60</v>
      </c>
      <c r="Z232" s="4" t="s">
        <v>60</v>
      </c>
      <c r="AA232" s="4" t="s">
        <v>60</v>
      </c>
      <c r="AB232" s="4" t="s">
        <v>60</v>
      </c>
      <c r="AC232" s="4" t="s">
        <v>60</v>
      </c>
      <c r="AD232" s="4" t="s">
        <v>60</v>
      </c>
      <c r="AE232" s="2" t="s">
        <v>60</v>
      </c>
      <c r="AF232" s="3" t="s">
        <v>1374</v>
      </c>
      <c r="AG232" s="7" t="s">
        <v>60</v>
      </c>
      <c r="AH232" s="7" t="s">
        <v>60</v>
      </c>
      <c r="AI232" s="7" t="s">
        <v>60</v>
      </c>
      <c r="AJ232" s="7" t="s">
        <v>60</v>
      </c>
      <c r="AK232" s="7" t="s">
        <v>60</v>
      </c>
      <c r="AL232" s="25" t="s">
        <v>1904</v>
      </c>
      <c r="AM232" s="25" t="s">
        <v>58</v>
      </c>
      <c r="AN232" s="25" t="s">
        <v>59</v>
      </c>
      <c r="AO232" s="25" t="s">
        <v>60</v>
      </c>
      <c r="AP232" s="19" t="s">
        <v>1508</v>
      </c>
      <c r="AQ232" s="19" t="s">
        <v>1869</v>
      </c>
      <c r="AR232" s="19" t="s">
        <v>60</v>
      </c>
      <c r="AS232" s="19" t="s">
        <v>2360</v>
      </c>
      <c r="AT232" s="19" t="s">
        <v>2104</v>
      </c>
      <c r="AU232" s="19" t="s">
        <v>2218</v>
      </c>
      <c r="AV232" s="19">
        <v>9999934588</v>
      </c>
      <c r="AW232" s="20">
        <v>46128</v>
      </c>
      <c r="AX232" s="19" t="s">
        <v>1990</v>
      </c>
      <c r="AY232" s="27" t="s">
        <v>1598</v>
      </c>
      <c r="AZ232" s="27" t="s">
        <v>199</v>
      </c>
      <c r="BA232" s="19" t="s">
        <v>60</v>
      </c>
      <c r="BB232" s="19" t="s">
        <v>2623</v>
      </c>
      <c r="BC232" s="19" t="s">
        <v>538</v>
      </c>
      <c r="BD232" s="75" t="s">
        <v>1374</v>
      </c>
      <c r="BE232" s="100" t="s">
        <v>3940</v>
      </c>
      <c r="BF232" s="100" t="s">
        <v>4273</v>
      </c>
      <c r="BG232" s="100"/>
    </row>
    <row r="233" spans="1:59" s="10" customFormat="1" ht="13.5" x14ac:dyDescent="0.25">
      <c r="A233" s="59">
        <v>193</v>
      </c>
      <c r="B233" s="15" t="s">
        <v>60</v>
      </c>
      <c r="C233" s="12" t="s">
        <v>60</v>
      </c>
      <c r="D233" s="11" t="s">
        <v>103</v>
      </c>
      <c r="E233" s="11" t="s">
        <v>1621</v>
      </c>
      <c r="F233" s="11" t="s">
        <v>1568</v>
      </c>
      <c r="G233" s="13" t="s">
        <v>1417</v>
      </c>
      <c r="H233" s="11" t="s">
        <v>1313</v>
      </c>
      <c r="I233" s="3" t="s">
        <v>60</v>
      </c>
      <c r="J233" s="3" t="s">
        <v>60</v>
      </c>
      <c r="K233" s="11" t="s">
        <v>1446</v>
      </c>
      <c r="L233" s="4" t="s">
        <v>60</v>
      </c>
      <c r="M233" s="4" t="s">
        <v>60</v>
      </c>
      <c r="N233" s="4" t="s">
        <v>60</v>
      </c>
      <c r="O233" s="4" t="s">
        <v>60</v>
      </c>
      <c r="P233" s="4" t="s">
        <v>60</v>
      </c>
      <c r="Q233" s="4" t="s">
        <v>60</v>
      </c>
      <c r="R233" s="4" t="s">
        <v>60</v>
      </c>
      <c r="S233" s="4" t="s">
        <v>60</v>
      </c>
      <c r="T233" s="4" t="s">
        <v>60</v>
      </c>
      <c r="U233" s="4" t="s">
        <v>60</v>
      </c>
      <c r="V233" s="4" t="s">
        <v>60</v>
      </c>
      <c r="W233" s="4" t="s">
        <v>60</v>
      </c>
      <c r="X233" s="4" t="s">
        <v>60</v>
      </c>
      <c r="Y233" s="4" t="s">
        <v>60</v>
      </c>
      <c r="Z233" s="4" t="s">
        <v>60</v>
      </c>
      <c r="AA233" s="4" t="s">
        <v>60</v>
      </c>
      <c r="AB233" s="4" t="s">
        <v>60</v>
      </c>
      <c r="AC233" s="4" t="s">
        <v>60</v>
      </c>
      <c r="AD233" s="4" t="s">
        <v>60</v>
      </c>
      <c r="AE233" s="2" t="s">
        <v>60</v>
      </c>
      <c r="AF233" s="3" t="s">
        <v>1313</v>
      </c>
      <c r="AG233" s="7" t="s">
        <v>60</v>
      </c>
      <c r="AH233" s="7" t="s">
        <v>60</v>
      </c>
      <c r="AI233" s="7" t="s">
        <v>60</v>
      </c>
      <c r="AJ233" s="7" t="s">
        <v>60</v>
      </c>
      <c r="AK233" s="7" t="s">
        <v>60</v>
      </c>
      <c r="AL233" s="25" t="s">
        <v>1904</v>
      </c>
      <c r="AM233" s="25" t="s">
        <v>58</v>
      </c>
      <c r="AN233" s="25" t="s">
        <v>59</v>
      </c>
      <c r="AO233" s="25" t="s">
        <v>60</v>
      </c>
      <c r="AP233" s="19" t="s">
        <v>1446</v>
      </c>
      <c r="AQ233" s="19" t="s">
        <v>1869</v>
      </c>
      <c r="AR233" s="19" t="s">
        <v>60</v>
      </c>
      <c r="AS233" s="19" t="s">
        <v>2360</v>
      </c>
      <c r="AT233" s="19" t="s">
        <v>2329</v>
      </c>
      <c r="AU233" s="19" t="s">
        <v>2134</v>
      </c>
      <c r="AV233" s="19">
        <v>9999934588</v>
      </c>
      <c r="AW233" s="20">
        <v>46121</v>
      </c>
      <c r="AX233" s="19" t="s">
        <v>1990</v>
      </c>
      <c r="AY233" s="27" t="s">
        <v>1568</v>
      </c>
      <c r="AZ233" s="27" t="s">
        <v>1621</v>
      </c>
      <c r="BA233" s="19" t="s">
        <v>60</v>
      </c>
      <c r="BB233" s="19" t="s">
        <v>2593</v>
      </c>
      <c r="BC233" s="19" t="s">
        <v>60</v>
      </c>
      <c r="BD233" s="75" t="s">
        <v>1313</v>
      </c>
      <c r="BE233" s="100" t="s">
        <v>3870</v>
      </c>
      <c r="BF233" s="100" t="s">
        <v>4274</v>
      </c>
      <c r="BG233" s="100"/>
    </row>
    <row r="234" spans="1:59" s="10" customFormat="1" ht="13.5" x14ac:dyDescent="0.25">
      <c r="A234" s="59">
        <v>215</v>
      </c>
      <c r="B234" s="15" t="s">
        <v>60</v>
      </c>
      <c r="C234" s="12" t="s">
        <v>60</v>
      </c>
      <c r="D234" s="11" t="s">
        <v>103</v>
      </c>
      <c r="E234" s="11" t="s">
        <v>465</v>
      </c>
      <c r="F234" s="11" t="s">
        <v>1587</v>
      </c>
      <c r="G234" s="13" t="s">
        <v>1417</v>
      </c>
      <c r="H234" s="11" t="s">
        <v>1347</v>
      </c>
      <c r="I234" s="3" t="s">
        <v>60</v>
      </c>
      <c r="J234" s="3" t="s">
        <v>60</v>
      </c>
      <c r="K234" s="11" t="s">
        <v>1480</v>
      </c>
      <c r="L234" s="4" t="s">
        <v>60</v>
      </c>
      <c r="M234" s="4" t="s">
        <v>60</v>
      </c>
      <c r="N234" s="4" t="s">
        <v>60</v>
      </c>
      <c r="O234" s="4" t="s">
        <v>60</v>
      </c>
      <c r="P234" s="4" t="s">
        <v>60</v>
      </c>
      <c r="Q234" s="4" t="s">
        <v>60</v>
      </c>
      <c r="R234" s="4" t="s">
        <v>60</v>
      </c>
      <c r="S234" s="4" t="s">
        <v>60</v>
      </c>
      <c r="T234" s="4" t="s">
        <v>60</v>
      </c>
      <c r="U234" s="4" t="s">
        <v>60</v>
      </c>
      <c r="V234" s="4" t="s">
        <v>60</v>
      </c>
      <c r="W234" s="4" t="s">
        <v>60</v>
      </c>
      <c r="X234" s="4" t="s">
        <v>60</v>
      </c>
      <c r="Y234" s="4" t="s">
        <v>60</v>
      </c>
      <c r="Z234" s="4" t="s">
        <v>60</v>
      </c>
      <c r="AA234" s="4" t="s">
        <v>60</v>
      </c>
      <c r="AB234" s="4" t="s">
        <v>60</v>
      </c>
      <c r="AC234" s="4" t="s">
        <v>60</v>
      </c>
      <c r="AD234" s="4" t="s">
        <v>60</v>
      </c>
      <c r="AE234" s="2" t="s">
        <v>60</v>
      </c>
      <c r="AF234" s="3" t="s">
        <v>1347</v>
      </c>
      <c r="AG234" s="7" t="s">
        <v>60</v>
      </c>
      <c r="AH234" s="7" t="s">
        <v>60</v>
      </c>
      <c r="AI234" s="7" t="s">
        <v>60</v>
      </c>
      <c r="AJ234" s="7" t="s">
        <v>60</v>
      </c>
      <c r="AK234" s="7" t="s">
        <v>60</v>
      </c>
      <c r="AL234" s="25" t="s">
        <v>1904</v>
      </c>
      <c r="AM234" s="25" t="s">
        <v>58</v>
      </c>
      <c r="AN234" s="25" t="s">
        <v>59</v>
      </c>
      <c r="AO234" s="25" t="s">
        <v>60</v>
      </c>
      <c r="AP234" s="19" t="s">
        <v>1480</v>
      </c>
      <c r="AQ234" s="19" t="s">
        <v>1869</v>
      </c>
      <c r="AR234" s="19" t="s">
        <v>60</v>
      </c>
      <c r="AS234" s="19" t="s">
        <v>2360</v>
      </c>
      <c r="AT234" s="19" t="s">
        <v>2184</v>
      </c>
      <c r="AU234" s="19" t="s">
        <v>2185</v>
      </c>
      <c r="AV234" s="19">
        <v>9999934588</v>
      </c>
      <c r="AW234" s="20">
        <v>46127</v>
      </c>
      <c r="AX234" s="19" t="s">
        <v>1990</v>
      </c>
      <c r="AY234" s="27" t="s">
        <v>1587</v>
      </c>
      <c r="AZ234" s="27" t="s">
        <v>465</v>
      </c>
      <c r="BA234" s="19" t="s">
        <v>60</v>
      </c>
      <c r="BB234" s="19" t="s">
        <v>2581</v>
      </c>
      <c r="BC234" s="19" t="s">
        <v>322</v>
      </c>
      <c r="BD234" s="75" t="s">
        <v>1347</v>
      </c>
      <c r="BE234" s="100" t="s">
        <v>3892</v>
      </c>
      <c r="BF234" s="100" t="s">
        <v>4275</v>
      </c>
      <c r="BG234" s="100"/>
    </row>
    <row r="235" spans="1:59" s="10" customFormat="1" ht="13.5" x14ac:dyDescent="0.25">
      <c r="A235" s="59">
        <v>243</v>
      </c>
      <c r="B235" s="15" t="s">
        <v>60</v>
      </c>
      <c r="C235" s="12" t="s">
        <v>60</v>
      </c>
      <c r="D235" s="11" t="s">
        <v>40</v>
      </c>
      <c r="E235" s="11" t="s">
        <v>199</v>
      </c>
      <c r="F235" s="11" t="s">
        <v>1552</v>
      </c>
      <c r="G235" s="13" t="s">
        <v>1417</v>
      </c>
      <c r="H235" s="11" t="s">
        <v>1292</v>
      </c>
      <c r="I235" s="3" t="s">
        <v>60</v>
      </c>
      <c r="J235" s="3" t="s">
        <v>60</v>
      </c>
      <c r="K235" s="11" t="s">
        <v>1425</v>
      </c>
      <c r="L235" s="4" t="s">
        <v>60</v>
      </c>
      <c r="M235" s="4" t="s">
        <v>60</v>
      </c>
      <c r="N235" s="4" t="s">
        <v>60</v>
      </c>
      <c r="O235" s="4" t="s">
        <v>60</v>
      </c>
      <c r="P235" s="4" t="s">
        <v>60</v>
      </c>
      <c r="Q235" s="4" t="s">
        <v>60</v>
      </c>
      <c r="R235" s="4" t="s">
        <v>60</v>
      </c>
      <c r="S235" s="4" t="s">
        <v>60</v>
      </c>
      <c r="T235" s="4" t="s">
        <v>60</v>
      </c>
      <c r="U235" s="4" t="s">
        <v>60</v>
      </c>
      <c r="V235" s="4" t="s">
        <v>60</v>
      </c>
      <c r="W235" s="4" t="s">
        <v>60</v>
      </c>
      <c r="X235" s="4" t="s">
        <v>60</v>
      </c>
      <c r="Y235" s="4" t="s">
        <v>60</v>
      </c>
      <c r="Z235" s="4" t="s">
        <v>60</v>
      </c>
      <c r="AA235" s="4" t="s">
        <v>60</v>
      </c>
      <c r="AB235" s="4" t="s">
        <v>60</v>
      </c>
      <c r="AC235" s="4" t="s">
        <v>60</v>
      </c>
      <c r="AD235" s="4" t="s">
        <v>60</v>
      </c>
      <c r="AE235" s="2" t="s">
        <v>60</v>
      </c>
      <c r="AF235" s="3" t="s">
        <v>1292</v>
      </c>
      <c r="AG235" s="7" t="s">
        <v>60</v>
      </c>
      <c r="AH235" s="7" t="s">
        <v>60</v>
      </c>
      <c r="AI235" s="7" t="s">
        <v>60</v>
      </c>
      <c r="AJ235" s="7" t="s">
        <v>60</v>
      </c>
      <c r="AK235" s="7" t="s">
        <v>60</v>
      </c>
      <c r="AL235" s="25" t="s">
        <v>1904</v>
      </c>
      <c r="AM235" s="25" t="s">
        <v>58</v>
      </c>
      <c r="AN235" s="25" t="s">
        <v>59</v>
      </c>
      <c r="AO235" s="25" t="s">
        <v>60</v>
      </c>
      <c r="AP235" s="19" t="s">
        <v>1425</v>
      </c>
      <c r="AQ235" s="19" t="s">
        <v>1869</v>
      </c>
      <c r="AR235" s="19" t="s">
        <v>60</v>
      </c>
      <c r="AS235" s="19" t="s">
        <v>2360</v>
      </c>
      <c r="AT235" s="19" t="s">
        <v>2106</v>
      </c>
      <c r="AU235" s="19" t="s">
        <v>2349</v>
      </c>
      <c r="AV235" s="19">
        <v>9999934588</v>
      </c>
      <c r="AW235" s="20">
        <v>46120</v>
      </c>
      <c r="AX235" s="19" t="s">
        <v>1990</v>
      </c>
      <c r="AY235" s="27" t="s">
        <v>1552</v>
      </c>
      <c r="AZ235" s="27" t="s">
        <v>199</v>
      </c>
      <c r="BA235" s="19" t="s">
        <v>60</v>
      </c>
      <c r="BB235" s="19" t="s">
        <v>2626</v>
      </c>
      <c r="BC235" s="19" t="s">
        <v>538</v>
      </c>
      <c r="BD235" s="75" t="s">
        <v>1292</v>
      </c>
      <c r="BE235" s="100" t="s">
        <v>3920</v>
      </c>
      <c r="BF235" s="100" t="s">
        <v>4276</v>
      </c>
      <c r="BG235" s="100"/>
    </row>
    <row r="236" spans="1:59" s="10" customFormat="1" ht="13.5" x14ac:dyDescent="0.25">
      <c r="A236" s="59">
        <v>314</v>
      </c>
      <c r="B236" s="15" t="s">
        <v>60</v>
      </c>
      <c r="C236" s="12" t="s">
        <v>60</v>
      </c>
      <c r="D236" s="11" t="s">
        <v>103</v>
      </c>
      <c r="E236" s="11" t="s">
        <v>104</v>
      </c>
      <c r="F236" s="11" t="s">
        <v>1597</v>
      </c>
      <c r="G236" s="13" t="s">
        <v>1417</v>
      </c>
      <c r="H236" s="11" t="s">
        <v>1373</v>
      </c>
      <c r="I236" s="3" t="s">
        <v>60</v>
      </c>
      <c r="J236" s="3" t="s">
        <v>60</v>
      </c>
      <c r="K236" s="11" t="s">
        <v>1507</v>
      </c>
      <c r="L236" s="4" t="s">
        <v>60</v>
      </c>
      <c r="M236" s="4" t="s">
        <v>60</v>
      </c>
      <c r="N236" s="4" t="s">
        <v>60</v>
      </c>
      <c r="O236" s="4" t="s">
        <v>60</v>
      </c>
      <c r="P236" s="4" t="s">
        <v>60</v>
      </c>
      <c r="Q236" s="4" t="s">
        <v>60</v>
      </c>
      <c r="R236" s="4" t="s">
        <v>60</v>
      </c>
      <c r="S236" s="4" t="s">
        <v>60</v>
      </c>
      <c r="T236" s="4" t="s">
        <v>60</v>
      </c>
      <c r="U236" s="4" t="s">
        <v>60</v>
      </c>
      <c r="V236" s="4" t="s">
        <v>60</v>
      </c>
      <c r="W236" s="4" t="s">
        <v>60</v>
      </c>
      <c r="X236" s="4" t="s">
        <v>60</v>
      </c>
      <c r="Y236" s="4" t="s">
        <v>60</v>
      </c>
      <c r="Z236" s="4" t="s">
        <v>60</v>
      </c>
      <c r="AA236" s="4" t="s">
        <v>60</v>
      </c>
      <c r="AB236" s="4" t="s">
        <v>60</v>
      </c>
      <c r="AC236" s="4" t="s">
        <v>60</v>
      </c>
      <c r="AD236" s="4" t="s">
        <v>60</v>
      </c>
      <c r="AE236" s="2" t="s">
        <v>60</v>
      </c>
      <c r="AF236" s="3" t="s">
        <v>1373</v>
      </c>
      <c r="AG236" s="7" t="s">
        <v>60</v>
      </c>
      <c r="AH236" s="7" t="s">
        <v>60</v>
      </c>
      <c r="AI236" s="7" t="s">
        <v>60</v>
      </c>
      <c r="AJ236" s="7" t="s">
        <v>60</v>
      </c>
      <c r="AK236" s="7" t="s">
        <v>60</v>
      </c>
      <c r="AL236" s="25" t="s">
        <v>1904</v>
      </c>
      <c r="AM236" s="25" t="s">
        <v>58</v>
      </c>
      <c r="AN236" s="25" t="s">
        <v>59</v>
      </c>
      <c r="AO236" s="25" t="s">
        <v>60</v>
      </c>
      <c r="AP236" s="19" t="s">
        <v>1507</v>
      </c>
      <c r="AQ236" s="19" t="s">
        <v>1869</v>
      </c>
      <c r="AR236" s="19" t="s">
        <v>60</v>
      </c>
      <c r="AS236" s="19" t="s">
        <v>2360</v>
      </c>
      <c r="AT236" s="19" t="s">
        <v>2334</v>
      </c>
      <c r="AU236" s="19" t="s">
        <v>2217</v>
      </c>
      <c r="AV236" s="19">
        <v>9999934588</v>
      </c>
      <c r="AW236" s="20">
        <v>46126</v>
      </c>
      <c r="AX236" s="19" t="s">
        <v>1990</v>
      </c>
      <c r="AY236" s="27" t="s">
        <v>1597</v>
      </c>
      <c r="AZ236" s="27" t="s">
        <v>104</v>
      </c>
      <c r="BA236" s="19" t="s">
        <v>60</v>
      </c>
      <c r="BB236" s="19" t="s">
        <v>2673</v>
      </c>
      <c r="BC236" s="19" t="s">
        <v>427</v>
      </c>
      <c r="BD236" s="75" t="s">
        <v>1373</v>
      </c>
      <c r="BE236" s="100" t="s">
        <v>3991</v>
      </c>
      <c r="BF236" s="100" t="s">
        <v>4277</v>
      </c>
      <c r="BG236" s="100"/>
    </row>
    <row r="237" spans="1:59" s="10" customFormat="1" ht="13.5" x14ac:dyDescent="0.25">
      <c r="A237" s="59">
        <v>318</v>
      </c>
      <c r="B237" s="15" t="s">
        <v>60</v>
      </c>
      <c r="C237" s="12" t="s">
        <v>60</v>
      </c>
      <c r="D237" s="11" t="s">
        <v>103</v>
      </c>
      <c r="E237" s="11" t="s">
        <v>104</v>
      </c>
      <c r="F237" s="11" t="s">
        <v>1620</v>
      </c>
      <c r="G237" s="13" t="s">
        <v>1417</v>
      </c>
      <c r="H237" s="11" t="s">
        <v>1414</v>
      </c>
      <c r="I237" s="3" t="s">
        <v>60</v>
      </c>
      <c r="J237" s="3" t="s">
        <v>60</v>
      </c>
      <c r="K237" s="11" t="s">
        <v>1548</v>
      </c>
      <c r="L237" s="4" t="s">
        <v>60</v>
      </c>
      <c r="M237" s="4" t="s">
        <v>60</v>
      </c>
      <c r="N237" s="4" t="s">
        <v>60</v>
      </c>
      <c r="O237" s="4" t="s">
        <v>60</v>
      </c>
      <c r="P237" s="4" t="s">
        <v>60</v>
      </c>
      <c r="Q237" s="4" t="s">
        <v>60</v>
      </c>
      <c r="R237" s="4" t="s">
        <v>60</v>
      </c>
      <c r="S237" s="4" t="s">
        <v>60</v>
      </c>
      <c r="T237" s="4" t="s">
        <v>60</v>
      </c>
      <c r="U237" s="4" t="s">
        <v>60</v>
      </c>
      <c r="V237" s="4" t="s">
        <v>60</v>
      </c>
      <c r="W237" s="4" t="s">
        <v>60</v>
      </c>
      <c r="X237" s="4" t="s">
        <v>60</v>
      </c>
      <c r="Y237" s="4" t="s">
        <v>60</v>
      </c>
      <c r="Z237" s="4" t="s">
        <v>60</v>
      </c>
      <c r="AA237" s="4" t="s">
        <v>60</v>
      </c>
      <c r="AB237" s="4" t="s">
        <v>60</v>
      </c>
      <c r="AC237" s="4" t="s">
        <v>60</v>
      </c>
      <c r="AD237" s="4" t="s">
        <v>60</v>
      </c>
      <c r="AE237" s="2" t="s">
        <v>60</v>
      </c>
      <c r="AF237" s="3" t="s">
        <v>1414</v>
      </c>
      <c r="AG237" s="7" t="s">
        <v>60</v>
      </c>
      <c r="AH237" s="7" t="s">
        <v>60</v>
      </c>
      <c r="AI237" s="7" t="s">
        <v>60</v>
      </c>
      <c r="AJ237" s="7" t="s">
        <v>60</v>
      </c>
      <c r="AK237" s="7" t="s">
        <v>60</v>
      </c>
      <c r="AL237" s="25" t="s">
        <v>1904</v>
      </c>
      <c r="AM237" s="25" t="s">
        <v>58</v>
      </c>
      <c r="AN237" s="25" t="s">
        <v>59</v>
      </c>
      <c r="AO237" s="25" t="s">
        <v>60</v>
      </c>
      <c r="AP237" s="19" t="s">
        <v>1548</v>
      </c>
      <c r="AQ237" s="19" t="s">
        <v>1869</v>
      </c>
      <c r="AR237" s="19" t="s">
        <v>60</v>
      </c>
      <c r="AS237" s="19" t="s">
        <v>2360</v>
      </c>
      <c r="AT237" s="19" t="s">
        <v>2343</v>
      </c>
      <c r="AU237" s="19" t="s">
        <v>2267</v>
      </c>
      <c r="AV237" s="19">
        <v>9999934588</v>
      </c>
      <c r="AW237" s="20">
        <v>46132</v>
      </c>
      <c r="AX237" s="19" t="s">
        <v>1990</v>
      </c>
      <c r="AY237" s="27" t="s">
        <v>1620</v>
      </c>
      <c r="AZ237" s="27" t="s">
        <v>104</v>
      </c>
      <c r="BA237" s="19" t="s">
        <v>60</v>
      </c>
      <c r="BB237" s="19" t="s">
        <v>2671</v>
      </c>
      <c r="BC237" s="19" t="s">
        <v>60</v>
      </c>
      <c r="BD237" s="75" t="s">
        <v>1414</v>
      </c>
      <c r="BE237" s="100" t="s">
        <v>3995</v>
      </c>
      <c r="BF237" s="100" t="s">
        <v>4278</v>
      </c>
      <c r="BG237" s="100"/>
    </row>
    <row r="238" spans="1:59" s="10" customFormat="1" ht="13.5" x14ac:dyDescent="0.25">
      <c r="A238" s="59">
        <v>249</v>
      </c>
      <c r="B238" s="15" t="s">
        <v>60</v>
      </c>
      <c r="C238" s="12" t="s">
        <v>60</v>
      </c>
      <c r="D238" s="11" t="s">
        <v>40</v>
      </c>
      <c r="E238" s="11" t="s">
        <v>199</v>
      </c>
      <c r="F238" s="11" t="s">
        <v>1565</v>
      </c>
      <c r="G238" s="13" t="s">
        <v>1417</v>
      </c>
      <c r="H238" s="11" t="s">
        <v>1308</v>
      </c>
      <c r="I238" s="3" t="s">
        <v>60</v>
      </c>
      <c r="J238" s="3" t="s">
        <v>60</v>
      </c>
      <c r="K238" s="11" t="s">
        <v>1441</v>
      </c>
      <c r="L238" s="4" t="s">
        <v>60</v>
      </c>
      <c r="M238" s="4" t="s">
        <v>60</v>
      </c>
      <c r="N238" s="4" t="s">
        <v>60</v>
      </c>
      <c r="O238" s="4" t="s">
        <v>60</v>
      </c>
      <c r="P238" s="4" t="s">
        <v>60</v>
      </c>
      <c r="Q238" s="4" t="s">
        <v>60</v>
      </c>
      <c r="R238" s="4" t="s">
        <v>60</v>
      </c>
      <c r="S238" s="4" t="s">
        <v>60</v>
      </c>
      <c r="T238" s="4" t="s">
        <v>60</v>
      </c>
      <c r="U238" s="4" t="s">
        <v>60</v>
      </c>
      <c r="V238" s="4" t="s">
        <v>60</v>
      </c>
      <c r="W238" s="4" t="s">
        <v>60</v>
      </c>
      <c r="X238" s="4" t="s">
        <v>60</v>
      </c>
      <c r="Y238" s="4" t="s">
        <v>60</v>
      </c>
      <c r="Z238" s="4" t="s">
        <v>60</v>
      </c>
      <c r="AA238" s="4" t="s">
        <v>60</v>
      </c>
      <c r="AB238" s="4" t="s">
        <v>60</v>
      </c>
      <c r="AC238" s="4" t="s">
        <v>60</v>
      </c>
      <c r="AD238" s="4" t="s">
        <v>60</v>
      </c>
      <c r="AE238" s="2" t="s">
        <v>60</v>
      </c>
      <c r="AF238" s="3" t="s">
        <v>1308</v>
      </c>
      <c r="AG238" s="7" t="s">
        <v>60</v>
      </c>
      <c r="AH238" s="7" t="s">
        <v>60</v>
      </c>
      <c r="AI238" s="7" t="s">
        <v>60</v>
      </c>
      <c r="AJ238" s="7" t="s">
        <v>60</v>
      </c>
      <c r="AK238" s="7" t="s">
        <v>60</v>
      </c>
      <c r="AL238" s="25" t="s">
        <v>1904</v>
      </c>
      <c r="AM238" s="25" t="s">
        <v>58</v>
      </c>
      <c r="AN238" s="25" t="s">
        <v>59</v>
      </c>
      <c r="AO238" s="25" t="s">
        <v>60</v>
      </c>
      <c r="AP238" s="19" t="s">
        <v>1441</v>
      </c>
      <c r="AQ238" s="19" t="s">
        <v>1869</v>
      </c>
      <c r="AR238" s="19" t="s">
        <v>60</v>
      </c>
      <c r="AS238" s="19" t="s">
        <v>2360</v>
      </c>
      <c r="AT238" s="19" t="s">
        <v>2127</v>
      </c>
      <c r="AU238" s="19" t="s">
        <v>2128</v>
      </c>
      <c r="AV238" s="19">
        <v>9999934588</v>
      </c>
      <c r="AW238" s="20">
        <v>46120</v>
      </c>
      <c r="AX238" s="19" t="s">
        <v>1990</v>
      </c>
      <c r="AY238" s="27" t="s">
        <v>1565</v>
      </c>
      <c r="AZ238" s="27" t="s">
        <v>199</v>
      </c>
      <c r="BA238" s="19" t="s">
        <v>60</v>
      </c>
      <c r="BB238" s="19" t="s">
        <v>2629</v>
      </c>
      <c r="BC238" s="19" t="s">
        <v>2630</v>
      </c>
      <c r="BD238" s="75" t="s">
        <v>1308</v>
      </c>
      <c r="BE238" s="100" t="s">
        <v>3926</v>
      </c>
      <c r="BF238" s="100" t="s">
        <v>4279</v>
      </c>
      <c r="BG238" s="100"/>
    </row>
    <row r="239" spans="1:59" s="10" customFormat="1" ht="13.5" x14ac:dyDescent="0.25">
      <c r="A239" s="59">
        <v>292</v>
      </c>
      <c r="B239" s="15" t="s">
        <v>60</v>
      </c>
      <c r="C239" s="12" t="s">
        <v>60</v>
      </c>
      <c r="D239" s="11" t="s">
        <v>40</v>
      </c>
      <c r="E239" s="11" t="s">
        <v>61</v>
      </c>
      <c r="F239" s="11" t="s">
        <v>270</v>
      </c>
      <c r="G239" s="13" t="s">
        <v>1417</v>
      </c>
      <c r="H239" s="11" t="s">
        <v>1367</v>
      </c>
      <c r="I239" s="3" t="s">
        <v>60</v>
      </c>
      <c r="J239" s="3" t="s">
        <v>60</v>
      </c>
      <c r="K239" s="11" t="s">
        <v>1501</v>
      </c>
      <c r="L239" s="4" t="s">
        <v>60</v>
      </c>
      <c r="M239" s="4" t="s">
        <v>60</v>
      </c>
      <c r="N239" s="4" t="s">
        <v>60</v>
      </c>
      <c r="O239" s="4" t="s">
        <v>60</v>
      </c>
      <c r="P239" s="4" t="s">
        <v>60</v>
      </c>
      <c r="Q239" s="4" t="s">
        <v>60</v>
      </c>
      <c r="R239" s="4" t="s">
        <v>60</v>
      </c>
      <c r="S239" s="4" t="s">
        <v>60</v>
      </c>
      <c r="T239" s="4" t="s">
        <v>60</v>
      </c>
      <c r="U239" s="4" t="s">
        <v>60</v>
      </c>
      <c r="V239" s="4" t="s">
        <v>60</v>
      </c>
      <c r="W239" s="4" t="s">
        <v>60</v>
      </c>
      <c r="X239" s="4" t="s">
        <v>60</v>
      </c>
      <c r="Y239" s="4" t="s">
        <v>60</v>
      </c>
      <c r="Z239" s="4" t="s">
        <v>60</v>
      </c>
      <c r="AA239" s="4" t="s">
        <v>60</v>
      </c>
      <c r="AB239" s="4" t="s">
        <v>60</v>
      </c>
      <c r="AC239" s="4" t="s">
        <v>60</v>
      </c>
      <c r="AD239" s="4" t="s">
        <v>60</v>
      </c>
      <c r="AE239" s="2" t="s">
        <v>60</v>
      </c>
      <c r="AF239" s="3" t="s">
        <v>1367</v>
      </c>
      <c r="AG239" s="7" t="s">
        <v>60</v>
      </c>
      <c r="AH239" s="7" t="s">
        <v>60</v>
      </c>
      <c r="AI239" s="7" t="s">
        <v>60</v>
      </c>
      <c r="AJ239" s="7" t="s">
        <v>60</v>
      </c>
      <c r="AK239" s="7" t="s">
        <v>60</v>
      </c>
      <c r="AL239" s="25" t="s">
        <v>1904</v>
      </c>
      <c r="AM239" s="25" t="s">
        <v>58</v>
      </c>
      <c r="AN239" s="25" t="s">
        <v>59</v>
      </c>
      <c r="AO239" s="25" t="s">
        <v>60</v>
      </c>
      <c r="AP239" s="19" t="s">
        <v>1501</v>
      </c>
      <c r="AQ239" s="19" t="s">
        <v>1869</v>
      </c>
      <c r="AR239" s="19" t="s">
        <v>60</v>
      </c>
      <c r="AS239" s="19" t="s">
        <v>2360</v>
      </c>
      <c r="AT239" s="19" t="s">
        <v>2211</v>
      </c>
      <c r="AU239" s="19" t="s">
        <v>2210</v>
      </c>
      <c r="AV239" s="19">
        <v>9999934588</v>
      </c>
      <c r="AW239" s="20">
        <v>46119</v>
      </c>
      <c r="AX239" s="19" t="s">
        <v>1990</v>
      </c>
      <c r="AY239" s="27" t="s">
        <v>270</v>
      </c>
      <c r="AZ239" s="27" t="s">
        <v>61</v>
      </c>
      <c r="BA239" s="19" t="s">
        <v>60</v>
      </c>
      <c r="BB239" s="19" t="s">
        <v>2527</v>
      </c>
      <c r="BC239" s="19" t="s">
        <v>143</v>
      </c>
      <c r="BD239" s="75" t="s">
        <v>1367</v>
      </c>
      <c r="BE239" s="100" t="s">
        <v>3969</v>
      </c>
      <c r="BF239" s="100" t="s">
        <v>4280</v>
      </c>
      <c r="BG239" s="100"/>
    </row>
    <row r="240" spans="1:59" s="10" customFormat="1" ht="13.5" x14ac:dyDescent="0.25">
      <c r="A240" s="59">
        <v>267</v>
      </c>
      <c r="B240" s="15" t="s">
        <v>60</v>
      </c>
      <c r="C240" s="12" t="s">
        <v>60</v>
      </c>
      <c r="D240" s="11" t="s">
        <v>40</v>
      </c>
      <c r="E240" s="11" t="s">
        <v>199</v>
      </c>
      <c r="F240" s="11" t="s">
        <v>1613</v>
      </c>
      <c r="G240" s="13" t="s">
        <v>1417</v>
      </c>
      <c r="H240" s="11" t="s">
        <v>1404</v>
      </c>
      <c r="I240" s="3" t="s">
        <v>60</v>
      </c>
      <c r="J240" s="3" t="s">
        <v>60</v>
      </c>
      <c r="K240" s="11" t="s">
        <v>1538</v>
      </c>
      <c r="L240" s="4" t="s">
        <v>60</v>
      </c>
      <c r="M240" s="4" t="s">
        <v>60</v>
      </c>
      <c r="N240" s="4" t="s">
        <v>60</v>
      </c>
      <c r="O240" s="4" t="s">
        <v>60</v>
      </c>
      <c r="P240" s="4" t="s">
        <v>60</v>
      </c>
      <c r="Q240" s="4" t="s">
        <v>60</v>
      </c>
      <c r="R240" s="4" t="s">
        <v>60</v>
      </c>
      <c r="S240" s="4" t="s">
        <v>60</v>
      </c>
      <c r="T240" s="4" t="s">
        <v>60</v>
      </c>
      <c r="U240" s="4" t="s">
        <v>60</v>
      </c>
      <c r="V240" s="4" t="s">
        <v>60</v>
      </c>
      <c r="W240" s="4" t="s">
        <v>60</v>
      </c>
      <c r="X240" s="4" t="s">
        <v>60</v>
      </c>
      <c r="Y240" s="4" t="s">
        <v>60</v>
      </c>
      <c r="Z240" s="4" t="s">
        <v>60</v>
      </c>
      <c r="AA240" s="4" t="s">
        <v>60</v>
      </c>
      <c r="AB240" s="4" t="s">
        <v>60</v>
      </c>
      <c r="AC240" s="4" t="s">
        <v>60</v>
      </c>
      <c r="AD240" s="4" t="s">
        <v>60</v>
      </c>
      <c r="AE240" s="2" t="s">
        <v>60</v>
      </c>
      <c r="AF240" s="3" t="s">
        <v>1404</v>
      </c>
      <c r="AG240" s="7" t="s">
        <v>60</v>
      </c>
      <c r="AH240" s="7" t="s">
        <v>60</v>
      </c>
      <c r="AI240" s="7" t="s">
        <v>60</v>
      </c>
      <c r="AJ240" s="7" t="s">
        <v>60</v>
      </c>
      <c r="AK240" s="7" t="s">
        <v>60</v>
      </c>
      <c r="AL240" s="25" t="s">
        <v>1904</v>
      </c>
      <c r="AM240" s="25" t="s">
        <v>58</v>
      </c>
      <c r="AN240" s="25" t="s">
        <v>59</v>
      </c>
      <c r="AO240" s="25" t="s">
        <v>60</v>
      </c>
      <c r="AP240" s="19" t="s">
        <v>1538</v>
      </c>
      <c r="AQ240" s="19" t="s">
        <v>1869</v>
      </c>
      <c r="AR240" s="19" t="s">
        <v>60</v>
      </c>
      <c r="AS240" s="19" t="s">
        <v>2360</v>
      </c>
      <c r="AT240" s="19" t="s">
        <v>2256</v>
      </c>
      <c r="AU240" s="19" t="s">
        <v>1652</v>
      </c>
      <c r="AV240" s="19">
        <v>9999934588</v>
      </c>
      <c r="AW240" s="20">
        <v>46120</v>
      </c>
      <c r="AX240" s="19" t="s">
        <v>1990</v>
      </c>
      <c r="AY240" s="27" t="s">
        <v>1613</v>
      </c>
      <c r="AZ240" s="27" t="s">
        <v>199</v>
      </c>
      <c r="BA240" s="19" t="s">
        <v>60</v>
      </c>
      <c r="BB240" s="19" t="s">
        <v>2589</v>
      </c>
      <c r="BC240" s="19" t="s">
        <v>1042</v>
      </c>
      <c r="BD240" s="75" t="s">
        <v>1404</v>
      </c>
      <c r="BE240" s="100" t="s">
        <v>3944</v>
      </c>
      <c r="BF240" s="100" t="s">
        <v>4281</v>
      </c>
      <c r="BG240" s="100"/>
    </row>
    <row r="241" spans="1:59" s="10" customFormat="1" ht="13.5" x14ac:dyDescent="0.25">
      <c r="A241" s="59">
        <v>271</v>
      </c>
      <c r="B241" s="15" t="s">
        <v>60</v>
      </c>
      <c r="C241" s="12" t="s">
        <v>60</v>
      </c>
      <c r="D241" s="11" t="s">
        <v>40</v>
      </c>
      <c r="E241" s="11" t="s">
        <v>199</v>
      </c>
      <c r="F241" s="11" t="s">
        <v>540</v>
      </c>
      <c r="G241" s="13" t="s">
        <v>1417</v>
      </c>
      <c r="H241" s="11" t="s">
        <v>1411</v>
      </c>
      <c r="I241" s="3" t="s">
        <v>60</v>
      </c>
      <c r="J241" s="3" t="s">
        <v>60</v>
      </c>
      <c r="K241" s="11" t="s">
        <v>1545</v>
      </c>
      <c r="L241" s="4" t="s">
        <v>60</v>
      </c>
      <c r="M241" s="4" t="s">
        <v>60</v>
      </c>
      <c r="N241" s="4" t="s">
        <v>60</v>
      </c>
      <c r="O241" s="4" t="s">
        <v>60</v>
      </c>
      <c r="P241" s="4" t="s">
        <v>60</v>
      </c>
      <c r="Q241" s="4" t="s">
        <v>60</v>
      </c>
      <c r="R241" s="4" t="s">
        <v>60</v>
      </c>
      <c r="S241" s="4" t="s">
        <v>60</v>
      </c>
      <c r="T241" s="4" t="s">
        <v>60</v>
      </c>
      <c r="U241" s="4" t="s">
        <v>60</v>
      </c>
      <c r="V241" s="4" t="s">
        <v>60</v>
      </c>
      <c r="W241" s="4" t="s">
        <v>60</v>
      </c>
      <c r="X241" s="4" t="s">
        <v>60</v>
      </c>
      <c r="Y241" s="4" t="s">
        <v>60</v>
      </c>
      <c r="Z241" s="4" t="s">
        <v>60</v>
      </c>
      <c r="AA241" s="4" t="s">
        <v>60</v>
      </c>
      <c r="AB241" s="4" t="s">
        <v>60</v>
      </c>
      <c r="AC241" s="4" t="s">
        <v>60</v>
      </c>
      <c r="AD241" s="4" t="s">
        <v>60</v>
      </c>
      <c r="AE241" s="2" t="s">
        <v>60</v>
      </c>
      <c r="AF241" s="3" t="s">
        <v>1411</v>
      </c>
      <c r="AG241" s="7" t="s">
        <v>60</v>
      </c>
      <c r="AH241" s="7" t="s">
        <v>60</v>
      </c>
      <c r="AI241" s="7" t="s">
        <v>60</v>
      </c>
      <c r="AJ241" s="7" t="s">
        <v>60</v>
      </c>
      <c r="AK241" s="7" t="s">
        <v>60</v>
      </c>
      <c r="AL241" s="25" t="s">
        <v>1904</v>
      </c>
      <c r="AM241" s="25" t="s">
        <v>58</v>
      </c>
      <c r="AN241" s="25" t="s">
        <v>59</v>
      </c>
      <c r="AO241" s="25" t="s">
        <v>60</v>
      </c>
      <c r="AP241" s="19" t="s">
        <v>1545</v>
      </c>
      <c r="AQ241" s="19" t="s">
        <v>1869</v>
      </c>
      <c r="AR241" s="19" t="s">
        <v>60</v>
      </c>
      <c r="AS241" s="19" t="s">
        <v>2360</v>
      </c>
      <c r="AT241" s="19" t="s">
        <v>2262</v>
      </c>
      <c r="AU241" s="19" t="s">
        <v>2263</v>
      </c>
      <c r="AV241" s="19">
        <v>9999934588</v>
      </c>
      <c r="AW241" s="20">
        <v>46121</v>
      </c>
      <c r="AX241" s="19" t="s">
        <v>1990</v>
      </c>
      <c r="AY241" s="27" t="s">
        <v>540</v>
      </c>
      <c r="AZ241" s="27" t="s">
        <v>199</v>
      </c>
      <c r="BA241" s="19" t="s">
        <v>60</v>
      </c>
      <c r="BB241" s="19" t="s">
        <v>2646</v>
      </c>
      <c r="BC241" s="19" t="s">
        <v>538</v>
      </c>
      <c r="BD241" s="75" t="s">
        <v>1411</v>
      </c>
      <c r="BE241" s="100" t="s">
        <v>3948</v>
      </c>
      <c r="BF241" s="100" t="s">
        <v>4282</v>
      </c>
      <c r="BG241" s="100"/>
    </row>
    <row r="242" spans="1:59" s="10" customFormat="1" ht="13.5" x14ac:dyDescent="0.25">
      <c r="A242" s="59">
        <v>219</v>
      </c>
      <c r="B242" s="15" t="s">
        <v>60</v>
      </c>
      <c r="C242" s="12" t="s">
        <v>60</v>
      </c>
      <c r="D242" s="11" t="s">
        <v>103</v>
      </c>
      <c r="E242" s="11" t="s">
        <v>465</v>
      </c>
      <c r="F242" s="11" t="s">
        <v>1600</v>
      </c>
      <c r="G242" s="13" t="s">
        <v>1417</v>
      </c>
      <c r="H242" s="11" t="s">
        <v>1377</v>
      </c>
      <c r="I242" s="3" t="s">
        <v>60</v>
      </c>
      <c r="J242" s="3" t="s">
        <v>60</v>
      </c>
      <c r="K242" s="11" t="s">
        <v>1511</v>
      </c>
      <c r="L242" s="4" t="s">
        <v>60</v>
      </c>
      <c r="M242" s="4" t="s">
        <v>60</v>
      </c>
      <c r="N242" s="4" t="s">
        <v>60</v>
      </c>
      <c r="O242" s="4" t="s">
        <v>60</v>
      </c>
      <c r="P242" s="4" t="s">
        <v>60</v>
      </c>
      <c r="Q242" s="4" t="s">
        <v>60</v>
      </c>
      <c r="R242" s="4" t="s">
        <v>60</v>
      </c>
      <c r="S242" s="4" t="s">
        <v>60</v>
      </c>
      <c r="T242" s="4" t="s">
        <v>60</v>
      </c>
      <c r="U242" s="4" t="s">
        <v>60</v>
      </c>
      <c r="V242" s="4" t="s">
        <v>60</v>
      </c>
      <c r="W242" s="4" t="s">
        <v>60</v>
      </c>
      <c r="X242" s="4" t="s">
        <v>60</v>
      </c>
      <c r="Y242" s="4" t="s">
        <v>60</v>
      </c>
      <c r="Z242" s="4" t="s">
        <v>60</v>
      </c>
      <c r="AA242" s="4" t="s">
        <v>60</v>
      </c>
      <c r="AB242" s="4" t="s">
        <v>60</v>
      </c>
      <c r="AC242" s="4" t="s">
        <v>60</v>
      </c>
      <c r="AD242" s="4" t="s">
        <v>60</v>
      </c>
      <c r="AE242" s="2" t="s">
        <v>60</v>
      </c>
      <c r="AF242" s="3" t="s">
        <v>1377</v>
      </c>
      <c r="AG242" s="7" t="s">
        <v>60</v>
      </c>
      <c r="AH242" s="7" t="s">
        <v>60</v>
      </c>
      <c r="AI242" s="7" t="s">
        <v>60</v>
      </c>
      <c r="AJ242" s="7" t="s">
        <v>60</v>
      </c>
      <c r="AK242" s="7" t="s">
        <v>60</v>
      </c>
      <c r="AL242" s="25" t="s">
        <v>1904</v>
      </c>
      <c r="AM242" s="25" t="s">
        <v>58</v>
      </c>
      <c r="AN242" s="25" t="s">
        <v>59</v>
      </c>
      <c r="AO242" s="25" t="s">
        <v>60</v>
      </c>
      <c r="AP242" s="19" t="s">
        <v>1511</v>
      </c>
      <c r="AQ242" s="19" t="s">
        <v>1869</v>
      </c>
      <c r="AR242" s="19" t="s">
        <v>60</v>
      </c>
      <c r="AS242" s="19" t="s">
        <v>2360</v>
      </c>
      <c r="AT242" s="19" t="s">
        <v>60</v>
      </c>
      <c r="AU242" s="19" t="s">
        <v>2813</v>
      </c>
      <c r="AV242" s="19">
        <v>9999934588</v>
      </c>
      <c r="AW242" s="20">
        <v>46132</v>
      </c>
      <c r="AX242" s="19" t="s">
        <v>1990</v>
      </c>
      <c r="AY242" s="27" t="s">
        <v>1600</v>
      </c>
      <c r="AZ242" s="27" t="s">
        <v>465</v>
      </c>
      <c r="BA242" s="19" t="s">
        <v>60</v>
      </c>
      <c r="BB242" s="19" t="s">
        <v>2581</v>
      </c>
      <c r="BC242" s="19" t="s">
        <v>322</v>
      </c>
      <c r="BD242" s="75" t="s">
        <v>1377</v>
      </c>
      <c r="BE242" s="100" t="s">
        <v>3896</v>
      </c>
      <c r="BF242" s="100" t="s">
        <v>4283</v>
      </c>
      <c r="BG242" s="100"/>
    </row>
    <row r="243" spans="1:59" s="10" customFormat="1" ht="13.5" x14ac:dyDescent="0.25">
      <c r="A243" s="59">
        <v>197</v>
      </c>
      <c r="B243" s="15" t="s">
        <v>60</v>
      </c>
      <c r="C243" s="12" t="s">
        <v>60</v>
      </c>
      <c r="D243" s="11" t="s">
        <v>103</v>
      </c>
      <c r="E243" s="11" t="s">
        <v>1621</v>
      </c>
      <c r="F243" s="11" t="s">
        <v>342</v>
      </c>
      <c r="G243" s="13" t="s">
        <v>1417</v>
      </c>
      <c r="H243" s="11" t="s">
        <v>1399</v>
      </c>
      <c r="I243" s="3" t="s">
        <v>60</v>
      </c>
      <c r="J243" s="3" t="s">
        <v>60</v>
      </c>
      <c r="K243" s="11" t="s">
        <v>1533</v>
      </c>
      <c r="L243" s="4" t="s">
        <v>60</v>
      </c>
      <c r="M243" s="4" t="s">
        <v>60</v>
      </c>
      <c r="N243" s="4" t="s">
        <v>60</v>
      </c>
      <c r="O243" s="4" t="s">
        <v>60</v>
      </c>
      <c r="P243" s="4" t="s">
        <v>60</v>
      </c>
      <c r="Q243" s="4" t="s">
        <v>60</v>
      </c>
      <c r="R243" s="4" t="s">
        <v>60</v>
      </c>
      <c r="S243" s="4" t="s">
        <v>60</v>
      </c>
      <c r="T243" s="4" t="s">
        <v>60</v>
      </c>
      <c r="U243" s="4" t="s">
        <v>60</v>
      </c>
      <c r="V243" s="4" t="s">
        <v>60</v>
      </c>
      <c r="W243" s="4" t="s">
        <v>60</v>
      </c>
      <c r="X243" s="4" t="s">
        <v>60</v>
      </c>
      <c r="Y243" s="4" t="s">
        <v>60</v>
      </c>
      <c r="Z243" s="4" t="s">
        <v>60</v>
      </c>
      <c r="AA243" s="4" t="s">
        <v>60</v>
      </c>
      <c r="AB243" s="4" t="s">
        <v>60</v>
      </c>
      <c r="AC243" s="4" t="s">
        <v>60</v>
      </c>
      <c r="AD243" s="4" t="s">
        <v>60</v>
      </c>
      <c r="AE243" s="2" t="s">
        <v>60</v>
      </c>
      <c r="AF243" s="3" t="s">
        <v>1399</v>
      </c>
      <c r="AG243" s="7" t="s">
        <v>60</v>
      </c>
      <c r="AH243" s="7" t="s">
        <v>60</v>
      </c>
      <c r="AI243" s="7" t="s">
        <v>60</v>
      </c>
      <c r="AJ243" s="7" t="s">
        <v>60</v>
      </c>
      <c r="AK243" s="7" t="s">
        <v>60</v>
      </c>
      <c r="AL243" s="25" t="s">
        <v>1904</v>
      </c>
      <c r="AM243" s="25" t="s">
        <v>58</v>
      </c>
      <c r="AN243" s="25" t="s">
        <v>59</v>
      </c>
      <c r="AO243" s="25" t="s">
        <v>60</v>
      </c>
      <c r="AP243" s="19" t="s">
        <v>1533</v>
      </c>
      <c r="AQ243" s="19" t="s">
        <v>1869</v>
      </c>
      <c r="AR243" s="19" t="s">
        <v>60</v>
      </c>
      <c r="AS243" s="19" t="s">
        <v>2360</v>
      </c>
      <c r="AT243" s="19" t="s">
        <v>2247</v>
      </c>
      <c r="AU243" s="19" t="s">
        <v>2248</v>
      </c>
      <c r="AV243" s="19">
        <v>9999934588</v>
      </c>
      <c r="AW243" s="20">
        <v>46128</v>
      </c>
      <c r="AX243" s="19" t="s">
        <v>1990</v>
      </c>
      <c r="AY243" s="27" t="s">
        <v>342</v>
      </c>
      <c r="AZ243" s="27" t="s">
        <v>1621</v>
      </c>
      <c r="BA243" s="19" t="s">
        <v>60</v>
      </c>
      <c r="BB243" s="19" t="s">
        <v>2596</v>
      </c>
      <c r="BC243" s="19" t="s">
        <v>60</v>
      </c>
      <c r="BD243" s="75" t="s">
        <v>1399</v>
      </c>
      <c r="BE243" s="100" t="s">
        <v>3874</v>
      </c>
      <c r="BF243" s="100" t="s">
        <v>4284</v>
      </c>
      <c r="BG243" s="100"/>
    </row>
    <row r="244" spans="1:59" s="10" customFormat="1" ht="13.5" x14ac:dyDescent="0.25">
      <c r="A244" s="59">
        <v>238</v>
      </c>
      <c r="B244" s="15" t="s">
        <v>60</v>
      </c>
      <c r="C244" s="12" t="s">
        <v>60</v>
      </c>
      <c r="D244" s="11" t="s">
        <v>40</v>
      </c>
      <c r="E244" s="11" t="s">
        <v>41</v>
      </c>
      <c r="F244" s="11" t="s">
        <v>1609</v>
      </c>
      <c r="G244" s="13" t="s">
        <v>1417</v>
      </c>
      <c r="H244" s="11" t="s">
        <v>1396</v>
      </c>
      <c r="I244" s="3" t="s">
        <v>60</v>
      </c>
      <c r="J244" s="3" t="s">
        <v>60</v>
      </c>
      <c r="K244" s="11" t="s">
        <v>1530</v>
      </c>
      <c r="L244" s="4" t="s">
        <v>60</v>
      </c>
      <c r="M244" s="4" t="s">
        <v>60</v>
      </c>
      <c r="N244" s="4" t="s">
        <v>60</v>
      </c>
      <c r="O244" s="4" t="s">
        <v>60</v>
      </c>
      <c r="P244" s="4" t="s">
        <v>60</v>
      </c>
      <c r="Q244" s="4" t="s">
        <v>60</v>
      </c>
      <c r="R244" s="4" t="s">
        <v>60</v>
      </c>
      <c r="S244" s="4" t="s">
        <v>60</v>
      </c>
      <c r="T244" s="4" t="s">
        <v>60</v>
      </c>
      <c r="U244" s="4" t="s">
        <v>60</v>
      </c>
      <c r="V244" s="4" t="s">
        <v>60</v>
      </c>
      <c r="W244" s="4" t="s">
        <v>60</v>
      </c>
      <c r="X244" s="4" t="s">
        <v>60</v>
      </c>
      <c r="Y244" s="4" t="s">
        <v>60</v>
      </c>
      <c r="Z244" s="4" t="s">
        <v>60</v>
      </c>
      <c r="AA244" s="4" t="s">
        <v>60</v>
      </c>
      <c r="AB244" s="4" t="s">
        <v>60</v>
      </c>
      <c r="AC244" s="4" t="s">
        <v>60</v>
      </c>
      <c r="AD244" s="4" t="s">
        <v>60</v>
      </c>
      <c r="AE244" s="2" t="s">
        <v>60</v>
      </c>
      <c r="AF244" s="3" t="s">
        <v>1396</v>
      </c>
      <c r="AG244" s="7" t="s">
        <v>60</v>
      </c>
      <c r="AH244" s="7" t="s">
        <v>60</v>
      </c>
      <c r="AI244" s="7" t="s">
        <v>60</v>
      </c>
      <c r="AJ244" s="7" t="s">
        <v>60</v>
      </c>
      <c r="AK244" s="7" t="s">
        <v>60</v>
      </c>
      <c r="AL244" s="25" t="s">
        <v>1904</v>
      </c>
      <c r="AM244" s="25" t="s">
        <v>58</v>
      </c>
      <c r="AN244" s="25" t="s">
        <v>59</v>
      </c>
      <c r="AO244" s="25" t="s">
        <v>60</v>
      </c>
      <c r="AP244" s="19" t="s">
        <v>1530</v>
      </c>
      <c r="AQ244" s="19" t="s">
        <v>1869</v>
      </c>
      <c r="AR244" s="19" t="s">
        <v>60</v>
      </c>
      <c r="AS244" s="19" t="s">
        <v>2360</v>
      </c>
      <c r="AT244" s="19" t="s">
        <v>2241</v>
      </c>
      <c r="AU244" s="19" t="s">
        <v>2352</v>
      </c>
      <c r="AV244" s="19">
        <v>9999934588</v>
      </c>
      <c r="AW244" s="20">
        <v>46127</v>
      </c>
      <c r="AX244" s="19" t="s">
        <v>1990</v>
      </c>
      <c r="AY244" s="27" t="s">
        <v>1609</v>
      </c>
      <c r="AZ244" s="27" t="s">
        <v>41</v>
      </c>
      <c r="BA244" s="19" t="s">
        <v>60</v>
      </c>
      <c r="BB244" s="19" t="s">
        <v>2622</v>
      </c>
      <c r="BC244" s="19" t="s">
        <v>143</v>
      </c>
      <c r="BD244" s="75" t="s">
        <v>1396</v>
      </c>
      <c r="BE244" s="100" t="s">
        <v>3915</v>
      </c>
      <c r="BF244" s="100" t="s">
        <v>4285</v>
      </c>
      <c r="BG244" s="100"/>
    </row>
    <row r="245" spans="1:59" s="10" customFormat="1" ht="13.5" x14ac:dyDescent="0.25">
      <c r="A245" s="59">
        <v>194</v>
      </c>
      <c r="B245" s="15" t="s">
        <v>60</v>
      </c>
      <c r="C245" s="12" t="s">
        <v>60</v>
      </c>
      <c r="D245" s="11" t="s">
        <v>103</v>
      </c>
      <c r="E245" s="11" t="s">
        <v>1621</v>
      </c>
      <c r="F245" s="11" t="s">
        <v>1568</v>
      </c>
      <c r="G245" s="13" t="s">
        <v>1417</v>
      </c>
      <c r="H245" s="11" t="s">
        <v>1312</v>
      </c>
      <c r="I245" s="3" t="s">
        <v>60</v>
      </c>
      <c r="J245" s="3" t="s">
        <v>60</v>
      </c>
      <c r="K245" s="11" t="s">
        <v>1445</v>
      </c>
      <c r="L245" s="4" t="s">
        <v>60</v>
      </c>
      <c r="M245" s="4" t="s">
        <v>60</v>
      </c>
      <c r="N245" s="4" t="s">
        <v>60</v>
      </c>
      <c r="O245" s="4" t="s">
        <v>60</v>
      </c>
      <c r="P245" s="4" t="s">
        <v>60</v>
      </c>
      <c r="Q245" s="4" t="s">
        <v>60</v>
      </c>
      <c r="R245" s="4" t="s">
        <v>60</v>
      </c>
      <c r="S245" s="4" t="s">
        <v>60</v>
      </c>
      <c r="T245" s="4" t="s">
        <v>60</v>
      </c>
      <c r="U245" s="4" t="s">
        <v>60</v>
      </c>
      <c r="V245" s="4" t="s">
        <v>60</v>
      </c>
      <c r="W245" s="4" t="s">
        <v>60</v>
      </c>
      <c r="X245" s="4" t="s">
        <v>60</v>
      </c>
      <c r="Y245" s="4" t="s">
        <v>60</v>
      </c>
      <c r="Z245" s="4" t="s">
        <v>60</v>
      </c>
      <c r="AA245" s="4" t="s">
        <v>60</v>
      </c>
      <c r="AB245" s="4" t="s">
        <v>60</v>
      </c>
      <c r="AC245" s="4" t="s">
        <v>60</v>
      </c>
      <c r="AD245" s="4" t="s">
        <v>60</v>
      </c>
      <c r="AE245" s="2" t="s">
        <v>60</v>
      </c>
      <c r="AF245" s="3" t="s">
        <v>1312</v>
      </c>
      <c r="AG245" s="7" t="s">
        <v>60</v>
      </c>
      <c r="AH245" s="7" t="s">
        <v>60</v>
      </c>
      <c r="AI245" s="7" t="s">
        <v>60</v>
      </c>
      <c r="AJ245" s="7" t="s">
        <v>60</v>
      </c>
      <c r="AK245" s="7" t="s">
        <v>60</v>
      </c>
      <c r="AL245" s="25" t="s">
        <v>1904</v>
      </c>
      <c r="AM245" s="25" t="s">
        <v>58</v>
      </c>
      <c r="AN245" s="25" t="s">
        <v>59</v>
      </c>
      <c r="AO245" s="25" t="s">
        <v>60</v>
      </c>
      <c r="AP245" s="19" t="s">
        <v>1445</v>
      </c>
      <c r="AQ245" s="19" t="s">
        <v>1869</v>
      </c>
      <c r="AR245" s="19" t="s">
        <v>60</v>
      </c>
      <c r="AS245" s="19" t="s">
        <v>2360</v>
      </c>
      <c r="AT245" s="19" t="s">
        <v>2133</v>
      </c>
      <c r="AU245" s="19" t="s">
        <v>2130</v>
      </c>
      <c r="AV245" s="19">
        <v>9999934588</v>
      </c>
      <c r="AW245" s="20">
        <v>46121</v>
      </c>
      <c r="AX245" s="19" t="s">
        <v>1990</v>
      </c>
      <c r="AY245" s="27" t="s">
        <v>1568</v>
      </c>
      <c r="AZ245" s="27" t="s">
        <v>1621</v>
      </c>
      <c r="BA245" s="19" t="s">
        <v>60</v>
      </c>
      <c r="BB245" s="19" t="s">
        <v>2594</v>
      </c>
      <c r="BC245" s="19" t="s">
        <v>322</v>
      </c>
      <c r="BD245" s="75" t="s">
        <v>1312</v>
      </c>
      <c r="BE245" s="100" t="s">
        <v>3871</v>
      </c>
      <c r="BF245" s="100" t="s">
        <v>4286</v>
      </c>
      <c r="BG245" s="100"/>
    </row>
    <row r="246" spans="1:59" s="10" customFormat="1" ht="13.5" x14ac:dyDescent="0.25">
      <c r="A246" s="59">
        <v>294</v>
      </c>
      <c r="B246" s="15" t="s">
        <v>60</v>
      </c>
      <c r="C246" s="12" t="s">
        <v>60</v>
      </c>
      <c r="D246" s="11" t="s">
        <v>40</v>
      </c>
      <c r="E246" s="11" t="s">
        <v>61</v>
      </c>
      <c r="F246" s="11" t="s">
        <v>62</v>
      </c>
      <c r="G246" s="13" t="s">
        <v>1417</v>
      </c>
      <c r="H246" s="11" t="s">
        <v>1378</v>
      </c>
      <c r="I246" s="3" t="s">
        <v>60</v>
      </c>
      <c r="J246" s="3" t="s">
        <v>60</v>
      </c>
      <c r="K246" s="11" t="s">
        <v>1512</v>
      </c>
      <c r="L246" s="4" t="s">
        <v>60</v>
      </c>
      <c r="M246" s="4" t="s">
        <v>60</v>
      </c>
      <c r="N246" s="4" t="s">
        <v>60</v>
      </c>
      <c r="O246" s="4" t="s">
        <v>60</v>
      </c>
      <c r="P246" s="4" t="s">
        <v>60</v>
      </c>
      <c r="Q246" s="4" t="s">
        <v>60</v>
      </c>
      <c r="R246" s="4" t="s">
        <v>60</v>
      </c>
      <c r="S246" s="4" t="s">
        <v>60</v>
      </c>
      <c r="T246" s="4" t="s">
        <v>60</v>
      </c>
      <c r="U246" s="4" t="s">
        <v>60</v>
      </c>
      <c r="V246" s="4" t="s">
        <v>60</v>
      </c>
      <c r="W246" s="4" t="s">
        <v>60</v>
      </c>
      <c r="X246" s="4" t="s">
        <v>60</v>
      </c>
      <c r="Y246" s="4" t="s">
        <v>60</v>
      </c>
      <c r="Z246" s="4" t="s">
        <v>60</v>
      </c>
      <c r="AA246" s="4" t="s">
        <v>60</v>
      </c>
      <c r="AB246" s="4" t="s">
        <v>60</v>
      </c>
      <c r="AC246" s="4" t="s">
        <v>60</v>
      </c>
      <c r="AD246" s="4" t="s">
        <v>60</v>
      </c>
      <c r="AE246" s="2" t="s">
        <v>60</v>
      </c>
      <c r="AF246" s="3" t="s">
        <v>1378</v>
      </c>
      <c r="AG246" s="7" t="s">
        <v>60</v>
      </c>
      <c r="AH246" s="7" t="s">
        <v>60</v>
      </c>
      <c r="AI246" s="7" t="s">
        <v>60</v>
      </c>
      <c r="AJ246" s="7" t="s">
        <v>60</v>
      </c>
      <c r="AK246" s="7" t="s">
        <v>60</v>
      </c>
      <c r="AL246" s="25" t="s">
        <v>1904</v>
      </c>
      <c r="AM246" s="25" t="s">
        <v>58</v>
      </c>
      <c r="AN246" s="25" t="s">
        <v>59</v>
      </c>
      <c r="AO246" s="25" t="s">
        <v>60</v>
      </c>
      <c r="AP246" s="19" t="s">
        <v>1512</v>
      </c>
      <c r="AQ246" s="19" t="s">
        <v>1869</v>
      </c>
      <c r="AR246" s="19" t="s">
        <v>60</v>
      </c>
      <c r="AS246" s="19" t="s">
        <v>2360</v>
      </c>
      <c r="AT246" s="19" t="s">
        <v>2222</v>
      </c>
      <c r="AU246" s="19" t="s">
        <v>2223</v>
      </c>
      <c r="AV246" s="19">
        <v>9999934588</v>
      </c>
      <c r="AW246" s="20">
        <v>46123</v>
      </c>
      <c r="AX246" s="19" t="s">
        <v>1990</v>
      </c>
      <c r="AY246" s="27" t="s">
        <v>62</v>
      </c>
      <c r="AZ246" s="27" t="s">
        <v>61</v>
      </c>
      <c r="BA246" s="19" t="s">
        <v>60</v>
      </c>
      <c r="BB246" s="19" t="s">
        <v>2573</v>
      </c>
      <c r="BC246" s="19" t="s">
        <v>60</v>
      </c>
      <c r="BD246" s="75" t="s">
        <v>1378</v>
      </c>
      <c r="BE246" s="100" t="s">
        <v>3971</v>
      </c>
      <c r="BF246" s="100" t="s">
        <v>4287</v>
      </c>
      <c r="BG246" s="100"/>
    </row>
    <row r="247" spans="1:59" s="10" customFormat="1" ht="13.5" x14ac:dyDescent="0.25">
      <c r="A247" s="59">
        <v>244</v>
      </c>
      <c r="B247" s="15" t="s">
        <v>60</v>
      </c>
      <c r="C247" s="12" t="s">
        <v>60</v>
      </c>
      <c r="D247" s="11" t="s">
        <v>40</v>
      </c>
      <c r="E247" s="11" t="s">
        <v>199</v>
      </c>
      <c r="F247" s="11" t="s">
        <v>1555</v>
      </c>
      <c r="G247" s="13" t="s">
        <v>1417</v>
      </c>
      <c r="H247" s="11" t="s">
        <v>1297</v>
      </c>
      <c r="I247" s="3" t="s">
        <v>60</v>
      </c>
      <c r="J247" s="3" t="s">
        <v>60</v>
      </c>
      <c r="K247" s="11" t="s">
        <v>1430</v>
      </c>
      <c r="L247" s="4" t="s">
        <v>60</v>
      </c>
      <c r="M247" s="4" t="s">
        <v>60</v>
      </c>
      <c r="N247" s="4" t="s">
        <v>60</v>
      </c>
      <c r="O247" s="4" t="s">
        <v>60</v>
      </c>
      <c r="P247" s="4" t="s">
        <v>60</v>
      </c>
      <c r="Q247" s="4" t="s">
        <v>60</v>
      </c>
      <c r="R247" s="4" t="s">
        <v>60</v>
      </c>
      <c r="S247" s="4" t="s">
        <v>60</v>
      </c>
      <c r="T247" s="4" t="s">
        <v>60</v>
      </c>
      <c r="U247" s="4" t="s">
        <v>60</v>
      </c>
      <c r="V247" s="4" t="s">
        <v>60</v>
      </c>
      <c r="W247" s="4" t="s">
        <v>60</v>
      </c>
      <c r="X247" s="4" t="s">
        <v>60</v>
      </c>
      <c r="Y247" s="4" t="s">
        <v>60</v>
      </c>
      <c r="Z247" s="4" t="s">
        <v>60</v>
      </c>
      <c r="AA247" s="4" t="s">
        <v>60</v>
      </c>
      <c r="AB247" s="4" t="s">
        <v>60</v>
      </c>
      <c r="AC247" s="4" t="s">
        <v>60</v>
      </c>
      <c r="AD247" s="4" t="s">
        <v>60</v>
      </c>
      <c r="AE247" s="2" t="s">
        <v>60</v>
      </c>
      <c r="AF247" s="3" t="s">
        <v>1297</v>
      </c>
      <c r="AG247" s="7" t="s">
        <v>60</v>
      </c>
      <c r="AH247" s="7" t="s">
        <v>60</v>
      </c>
      <c r="AI247" s="7" t="s">
        <v>60</v>
      </c>
      <c r="AJ247" s="7" t="s">
        <v>60</v>
      </c>
      <c r="AK247" s="7" t="s">
        <v>60</v>
      </c>
      <c r="AL247" s="25" t="s">
        <v>1904</v>
      </c>
      <c r="AM247" s="25" t="s">
        <v>58</v>
      </c>
      <c r="AN247" s="25" t="s">
        <v>59</v>
      </c>
      <c r="AO247" s="25" t="s">
        <v>60</v>
      </c>
      <c r="AP247" s="19" t="s">
        <v>1430</v>
      </c>
      <c r="AQ247" s="19" t="s">
        <v>1869</v>
      </c>
      <c r="AR247" s="19" t="s">
        <v>60</v>
      </c>
      <c r="AS247" s="19" t="s">
        <v>2360</v>
      </c>
      <c r="AT247" s="19" t="s">
        <v>2113</v>
      </c>
      <c r="AU247" s="19" t="s">
        <v>2114</v>
      </c>
      <c r="AV247" s="19">
        <v>9999934588</v>
      </c>
      <c r="AW247" s="20">
        <v>46122</v>
      </c>
      <c r="AX247" s="19" t="s">
        <v>1990</v>
      </c>
      <c r="AY247" s="27" t="s">
        <v>1555</v>
      </c>
      <c r="AZ247" s="27" t="s">
        <v>199</v>
      </c>
      <c r="BA247" s="19" t="s">
        <v>60</v>
      </c>
      <c r="BB247" s="19" t="s">
        <v>2591</v>
      </c>
      <c r="BC247" s="19" t="s">
        <v>2592</v>
      </c>
      <c r="BD247" s="75" t="s">
        <v>1297</v>
      </c>
      <c r="BE247" s="100" t="s">
        <v>3921</v>
      </c>
      <c r="BF247" s="100" t="s">
        <v>4288</v>
      </c>
      <c r="BG247" s="100"/>
    </row>
    <row r="248" spans="1:59" s="10" customFormat="1" ht="13.5" x14ac:dyDescent="0.25">
      <c r="A248" s="59">
        <v>188</v>
      </c>
      <c r="B248" s="15" t="s">
        <v>60</v>
      </c>
      <c r="C248" s="12" t="s">
        <v>60</v>
      </c>
      <c r="D248" s="11" t="s">
        <v>103</v>
      </c>
      <c r="E248" s="11" t="s">
        <v>767</v>
      </c>
      <c r="F248" s="11" t="s">
        <v>1604</v>
      </c>
      <c r="G248" s="13" t="s">
        <v>1417</v>
      </c>
      <c r="H248" s="11" t="s">
        <v>1387</v>
      </c>
      <c r="I248" s="3" t="s">
        <v>60</v>
      </c>
      <c r="J248" s="3" t="s">
        <v>60</v>
      </c>
      <c r="K248" s="11" t="s">
        <v>1521</v>
      </c>
      <c r="L248" s="4" t="s">
        <v>60</v>
      </c>
      <c r="M248" s="4" t="s">
        <v>60</v>
      </c>
      <c r="N248" s="4" t="s">
        <v>60</v>
      </c>
      <c r="O248" s="4" t="s">
        <v>60</v>
      </c>
      <c r="P248" s="4" t="s">
        <v>60</v>
      </c>
      <c r="Q248" s="4" t="s">
        <v>60</v>
      </c>
      <c r="R248" s="4" t="s">
        <v>60</v>
      </c>
      <c r="S248" s="4" t="s">
        <v>60</v>
      </c>
      <c r="T248" s="4" t="s">
        <v>60</v>
      </c>
      <c r="U248" s="4" t="s">
        <v>60</v>
      </c>
      <c r="V248" s="4" t="s">
        <v>60</v>
      </c>
      <c r="W248" s="4" t="s">
        <v>60</v>
      </c>
      <c r="X248" s="4" t="s">
        <v>60</v>
      </c>
      <c r="Y248" s="4" t="s">
        <v>60</v>
      </c>
      <c r="Z248" s="4" t="s">
        <v>60</v>
      </c>
      <c r="AA248" s="4" t="s">
        <v>60</v>
      </c>
      <c r="AB248" s="4" t="s">
        <v>60</v>
      </c>
      <c r="AC248" s="4" t="s">
        <v>60</v>
      </c>
      <c r="AD248" s="4" t="s">
        <v>60</v>
      </c>
      <c r="AE248" s="2" t="s">
        <v>60</v>
      </c>
      <c r="AF248" s="3" t="s">
        <v>1387</v>
      </c>
      <c r="AG248" s="7" t="s">
        <v>60</v>
      </c>
      <c r="AH248" s="7" t="s">
        <v>60</v>
      </c>
      <c r="AI248" s="7" t="s">
        <v>60</v>
      </c>
      <c r="AJ248" s="7" t="s">
        <v>60</v>
      </c>
      <c r="AK248" s="7" t="s">
        <v>60</v>
      </c>
      <c r="AL248" s="25" t="s">
        <v>1904</v>
      </c>
      <c r="AM248" s="25" t="s">
        <v>58</v>
      </c>
      <c r="AN248" s="25" t="s">
        <v>59</v>
      </c>
      <c r="AO248" s="25" t="s">
        <v>60</v>
      </c>
      <c r="AP248" s="19" t="s">
        <v>1521</v>
      </c>
      <c r="AQ248" s="19" t="s">
        <v>1869</v>
      </c>
      <c r="AR248" s="19" t="s">
        <v>60</v>
      </c>
      <c r="AS248" s="19" t="s">
        <v>2360</v>
      </c>
      <c r="AT248" s="19" t="s">
        <v>2336</v>
      </c>
      <c r="AU248" s="19" t="s">
        <v>2231</v>
      </c>
      <c r="AV248" s="19">
        <v>9999934588</v>
      </c>
      <c r="AW248" s="20">
        <v>46129</v>
      </c>
      <c r="AX248" s="19" t="s">
        <v>1990</v>
      </c>
      <c r="AY248" s="27" t="s">
        <v>1604</v>
      </c>
      <c r="AZ248" s="27" t="s">
        <v>767</v>
      </c>
      <c r="BA248" s="19" t="s">
        <v>60</v>
      </c>
      <c r="BB248" s="19" t="s">
        <v>2587</v>
      </c>
      <c r="BC248" s="19" t="s">
        <v>2538</v>
      </c>
      <c r="BD248" s="75" t="s">
        <v>1387</v>
      </c>
      <c r="BE248" s="100" t="s">
        <v>3865</v>
      </c>
      <c r="BF248" s="100" t="s">
        <v>4289</v>
      </c>
      <c r="BG248" s="100"/>
    </row>
    <row r="249" spans="1:59" s="10" customFormat="1" ht="13.5" x14ac:dyDescent="0.25">
      <c r="A249" s="59">
        <v>305</v>
      </c>
      <c r="B249" s="15" t="s">
        <v>60</v>
      </c>
      <c r="C249" s="12" t="s">
        <v>60</v>
      </c>
      <c r="D249" s="11" t="s">
        <v>40</v>
      </c>
      <c r="E249" s="11" t="s">
        <v>938</v>
      </c>
      <c r="F249" s="11" t="s">
        <v>1596</v>
      </c>
      <c r="G249" s="13" t="s">
        <v>1417</v>
      </c>
      <c r="H249" s="11" t="s">
        <v>1372</v>
      </c>
      <c r="I249" s="3" t="s">
        <v>60</v>
      </c>
      <c r="J249" s="3" t="s">
        <v>60</v>
      </c>
      <c r="K249" s="11" t="s">
        <v>1506</v>
      </c>
      <c r="L249" s="4" t="s">
        <v>60</v>
      </c>
      <c r="M249" s="4" t="s">
        <v>60</v>
      </c>
      <c r="N249" s="4" t="s">
        <v>60</v>
      </c>
      <c r="O249" s="4" t="s">
        <v>60</v>
      </c>
      <c r="P249" s="4" t="s">
        <v>60</v>
      </c>
      <c r="Q249" s="4" t="s">
        <v>60</v>
      </c>
      <c r="R249" s="4" t="s">
        <v>60</v>
      </c>
      <c r="S249" s="4" t="s">
        <v>60</v>
      </c>
      <c r="T249" s="4" t="s">
        <v>60</v>
      </c>
      <c r="U249" s="4" t="s">
        <v>60</v>
      </c>
      <c r="V249" s="4" t="s">
        <v>60</v>
      </c>
      <c r="W249" s="4" t="s">
        <v>60</v>
      </c>
      <c r="X249" s="4" t="s">
        <v>60</v>
      </c>
      <c r="Y249" s="4" t="s">
        <v>60</v>
      </c>
      <c r="Z249" s="4" t="s">
        <v>60</v>
      </c>
      <c r="AA249" s="4" t="s">
        <v>60</v>
      </c>
      <c r="AB249" s="4" t="s">
        <v>60</v>
      </c>
      <c r="AC249" s="4" t="s">
        <v>60</v>
      </c>
      <c r="AD249" s="4" t="s">
        <v>60</v>
      </c>
      <c r="AE249" s="2" t="s">
        <v>60</v>
      </c>
      <c r="AF249" s="3" t="s">
        <v>1372</v>
      </c>
      <c r="AG249" s="7" t="s">
        <v>60</v>
      </c>
      <c r="AH249" s="7" t="s">
        <v>60</v>
      </c>
      <c r="AI249" s="7" t="s">
        <v>60</v>
      </c>
      <c r="AJ249" s="7" t="s">
        <v>60</v>
      </c>
      <c r="AK249" s="7" t="s">
        <v>60</v>
      </c>
      <c r="AL249" s="25" t="s">
        <v>1904</v>
      </c>
      <c r="AM249" s="25" t="s">
        <v>58</v>
      </c>
      <c r="AN249" s="25" t="s">
        <v>59</v>
      </c>
      <c r="AO249" s="25" t="s">
        <v>60</v>
      </c>
      <c r="AP249" s="19" t="s">
        <v>1506</v>
      </c>
      <c r="AQ249" s="19" t="s">
        <v>1869</v>
      </c>
      <c r="AR249" s="19" t="s">
        <v>60</v>
      </c>
      <c r="AS249" s="19" t="s">
        <v>2360</v>
      </c>
      <c r="AT249" s="19" t="s">
        <v>60</v>
      </c>
      <c r="AU249" s="19" t="s">
        <v>2133</v>
      </c>
      <c r="AV249" s="19">
        <v>9999934588</v>
      </c>
      <c r="AW249" s="20">
        <v>46128</v>
      </c>
      <c r="AX249" s="19" t="s">
        <v>1990</v>
      </c>
      <c r="AY249" s="27" t="s">
        <v>1596</v>
      </c>
      <c r="AZ249" s="27" t="s">
        <v>938</v>
      </c>
      <c r="BA249" s="19" t="s">
        <v>60</v>
      </c>
      <c r="BB249" s="19" t="s">
        <v>60</v>
      </c>
      <c r="BC249" s="19" t="s">
        <v>143</v>
      </c>
      <c r="BD249" s="75" t="s">
        <v>1372</v>
      </c>
      <c r="BE249" s="100" t="s">
        <v>3982</v>
      </c>
      <c r="BF249" s="100" t="s">
        <v>4290</v>
      </c>
      <c r="BG249" s="100"/>
    </row>
    <row r="250" spans="1:59" s="10" customFormat="1" ht="13.5" x14ac:dyDescent="0.25">
      <c r="A250" s="59">
        <v>308</v>
      </c>
      <c r="B250" s="15" t="s">
        <v>60</v>
      </c>
      <c r="C250" s="12" t="s">
        <v>60</v>
      </c>
      <c r="D250" s="11" t="s">
        <v>103</v>
      </c>
      <c r="E250" s="11" t="s">
        <v>104</v>
      </c>
      <c r="F250" s="11" t="s">
        <v>1563</v>
      </c>
      <c r="G250" s="13" t="s">
        <v>1417</v>
      </c>
      <c r="H250" s="11" t="s">
        <v>1306</v>
      </c>
      <c r="I250" s="3" t="s">
        <v>60</v>
      </c>
      <c r="J250" s="3" t="s">
        <v>60</v>
      </c>
      <c r="K250" s="11" t="s">
        <v>1439</v>
      </c>
      <c r="L250" s="4" t="s">
        <v>60</v>
      </c>
      <c r="M250" s="4" t="s">
        <v>60</v>
      </c>
      <c r="N250" s="4" t="s">
        <v>60</v>
      </c>
      <c r="O250" s="4" t="s">
        <v>60</v>
      </c>
      <c r="P250" s="4" t="s">
        <v>60</v>
      </c>
      <c r="Q250" s="4" t="s">
        <v>60</v>
      </c>
      <c r="R250" s="4" t="s">
        <v>60</v>
      </c>
      <c r="S250" s="4" t="s">
        <v>60</v>
      </c>
      <c r="T250" s="4" t="s">
        <v>60</v>
      </c>
      <c r="U250" s="4" t="s">
        <v>60</v>
      </c>
      <c r="V250" s="4" t="s">
        <v>60</v>
      </c>
      <c r="W250" s="4" t="s">
        <v>60</v>
      </c>
      <c r="X250" s="4" t="s">
        <v>60</v>
      </c>
      <c r="Y250" s="4" t="s">
        <v>60</v>
      </c>
      <c r="Z250" s="4" t="s">
        <v>60</v>
      </c>
      <c r="AA250" s="4" t="s">
        <v>60</v>
      </c>
      <c r="AB250" s="4" t="s">
        <v>60</v>
      </c>
      <c r="AC250" s="4" t="s">
        <v>60</v>
      </c>
      <c r="AD250" s="4" t="s">
        <v>60</v>
      </c>
      <c r="AE250" s="2" t="s">
        <v>60</v>
      </c>
      <c r="AF250" s="3" t="s">
        <v>1306</v>
      </c>
      <c r="AG250" s="7" t="s">
        <v>60</v>
      </c>
      <c r="AH250" s="7" t="s">
        <v>60</v>
      </c>
      <c r="AI250" s="7" t="s">
        <v>60</v>
      </c>
      <c r="AJ250" s="7" t="s">
        <v>60</v>
      </c>
      <c r="AK250" s="7" t="s">
        <v>60</v>
      </c>
      <c r="AL250" s="25" t="s">
        <v>1904</v>
      </c>
      <c r="AM250" s="25" t="s">
        <v>58</v>
      </c>
      <c r="AN250" s="25" t="s">
        <v>59</v>
      </c>
      <c r="AO250" s="25" t="s">
        <v>60</v>
      </c>
      <c r="AP250" s="19" t="s">
        <v>1439</v>
      </c>
      <c r="AQ250" s="19" t="s">
        <v>1869</v>
      </c>
      <c r="AR250" s="19" t="s">
        <v>60</v>
      </c>
      <c r="AS250" s="19" t="s">
        <v>2360</v>
      </c>
      <c r="AT250" s="19" t="s">
        <v>2125</v>
      </c>
      <c r="AU250" s="19" t="s">
        <v>2124</v>
      </c>
      <c r="AV250" s="19">
        <v>9999934588</v>
      </c>
      <c r="AW250" s="20">
        <v>46123</v>
      </c>
      <c r="AX250" s="19" t="s">
        <v>1990</v>
      </c>
      <c r="AY250" s="27" t="s">
        <v>1563</v>
      </c>
      <c r="AZ250" s="27" t="s">
        <v>104</v>
      </c>
      <c r="BA250" s="19" t="s">
        <v>60</v>
      </c>
      <c r="BB250" s="19" t="s">
        <v>2669</v>
      </c>
      <c r="BC250" s="19" t="s">
        <v>427</v>
      </c>
      <c r="BD250" s="75" t="s">
        <v>1306</v>
      </c>
      <c r="BE250" s="100" t="s">
        <v>3985</v>
      </c>
      <c r="BF250" s="100" t="s">
        <v>4291</v>
      </c>
      <c r="BG250" s="100"/>
    </row>
    <row r="251" spans="1:59" s="10" customFormat="1" ht="13.5" x14ac:dyDescent="0.25">
      <c r="A251" s="59">
        <v>311</v>
      </c>
      <c r="B251" s="15" t="s">
        <v>60</v>
      </c>
      <c r="C251" s="12" t="s">
        <v>60</v>
      </c>
      <c r="D251" s="11" t="s">
        <v>103</v>
      </c>
      <c r="E251" s="11" t="s">
        <v>104</v>
      </c>
      <c r="F251" s="11" t="s">
        <v>1575</v>
      </c>
      <c r="G251" s="13" t="s">
        <v>1417</v>
      </c>
      <c r="H251" s="11" t="s">
        <v>1329</v>
      </c>
      <c r="I251" s="3" t="s">
        <v>60</v>
      </c>
      <c r="J251" s="3" t="s">
        <v>60</v>
      </c>
      <c r="K251" s="11" t="s">
        <v>1462</v>
      </c>
      <c r="L251" s="4" t="s">
        <v>60</v>
      </c>
      <c r="M251" s="4" t="s">
        <v>60</v>
      </c>
      <c r="N251" s="4" t="s">
        <v>60</v>
      </c>
      <c r="O251" s="4" t="s">
        <v>60</v>
      </c>
      <c r="P251" s="4" t="s">
        <v>60</v>
      </c>
      <c r="Q251" s="4" t="s">
        <v>60</v>
      </c>
      <c r="R251" s="4" t="s">
        <v>60</v>
      </c>
      <c r="S251" s="4" t="s">
        <v>60</v>
      </c>
      <c r="T251" s="4" t="s">
        <v>60</v>
      </c>
      <c r="U251" s="4" t="s">
        <v>60</v>
      </c>
      <c r="V251" s="4" t="s">
        <v>60</v>
      </c>
      <c r="W251" s="4" t="s">
        <v>60</v>
      </c>
      <c r="X251" s="4" t="s">
        <v>60</v>
      </c>
      <c r="Y251" s="4" t="s">
        <v>60</v>
      </c>
      <c r="Z251" s="4" t="s">
        <v>60</v>
      </c>
      <c r="AA251" s="4" t="s">
        <v>60</v>
      </c>
      <c r="AB251" s="4" t="s">
        <v>60</v>
      </c>
      <c r="AC251" s="4" t="s">
        <v>60</v>
      </c>
      <c r="AD251" s="4" t="s">
        <v>60</v>
      </c>
      <c r="AE251" s="2" t="s">
        <v>60</v>
      </c>
      <c r="AF251" s="3" t="s">
        <v>1329</v>
      </c>
      <c r="AG251" s="7" t="s">
        <v>60</v>
      </c>
      <c r="AH251" s="7" t="s">
        <v>60</v>
      </c>
      <c r="AI251" s="7" t="s">
        <v>60</v>
      </c>
      <c r="AJ251" s="7" t="s">
        <v>60</v>
      </c>
      <c r="AK251" s="7" t="s">
        <v>60</v>
      </c>
      <c r="AL251" s="25" t="s">
        <v>1904</v>
      </c>
      <c r="AM251" s="25" t="s">
        <v>58</v>
      </c>
      <c r="AN251" s="25" t="s">
        <v>59</v>
      </c>
      <c r="AO251" s="25" t="s">
        <v>60</v>
      </c>
      <c r="AP251" s="19" t="s">
        <v>1462</v>
      </c>
      <c r="AQ251" s="19" t="s">
        <v>1869</v>
      </c>
      <c r="AR251" s="19" t="s">
        <v>60</v>
      </c>
      <c r="AS251" s="19" t="s">
        <v>2360</v>
      </c>
      <c r="AT251" s="19" t="s">
        <v>2158</v>
      </c>
      <c r="AU251" s="19" t="s">
        <v>2124</v>
      </c>
      <c r="AV251" s="19">
        <v>9999934588</v>
      </c>
      <c r="AW251" s="20">
        <v>46123</v>
      </c>
      <c r="AX251" s="19" t="s">
        <v>1990</v>
      </c>
      <c r="AY251" s="27" t="s">
        <v>1575</v>
      </c>
      <c r="AZ251" s="27" t="s">
        <v>104</v>
      </c>
      <c r="BA251" s="19" t="s">
        <v>60</v>
      </c>
      <c r="BB251" s="19" t="s">
        <v>2671</v>
      </c>
      <c r="BC251" s="19" t="s">
        <v>60</v>
      </c>
      <c r="BD251" s="75" t="s">
        <v>1329</v>
      </c>
      <c r="BE251" s="100" t="s">
        <v>3988</v>
      </c>
      <c r="BF251" s="100" t="s">
        <v>4292</v>
      </c>
      <c r="BG251" s="100"/>
    </row>
    <row r="252" spans="1:59" s="10" customFormat="1" ht="13.5" x14ac:dyDescent="0.25">
      <c r="A252" s="59">
        <v>204</v>
      </c>
      <c r="B252" s="15" t="s">
        <v>60</v>
      </c>
      <c r="C252" s="12" t="s">
        <v>60</v>
      </c>
      <c r="D252" s="11" t="s">
        <v>40</v>
      </c>
      <c r="E252" s="11" t="s">
        <v>96</v>
      </c>
      <c r="F252" s="11" t="s">
        <v>1553</v>
      </c>
      <c r="G252" s="13" t="s">
        <v>1417</v>
      </c>
      <c r="H252" s="11" t="s">
        <v>1294</v>
      </c>
      <c r="I252" s="3" t="s">
        <v>60</v>
      </c>
      <c r="J252" s="3" t="s">
        <v>60</v>
      </c>
      <c r="K252" s="11" t="s">
        <v>1427</v>
      </c>
      <c r="L252" s="4" t="s">
        <v>60</v>
      </c>
      <c r="M252" s="4" t="s">
        <v>60</v>
      </c>
      <c r="N252" s="4" t="s">
        <v>60</v>
      </c>
      <c r="O252" s="4" t="s">
        <v>60</v>
      </c>
      <c r="P252" s="4" t="s">
        <v>60</v>
      </c>
      <c r="Q252" s="4" t="s">
        <v>60</v>
      </c>
      <c r="R252" s="4" t="s">
        <v>60</v>
      </c>
      <c r="S252" s="4" t="s">
        <v>60</v>
      </c>
      <c r="T252" s="4" t="s">
        <v>60</v>
      </c>
      <c r="U252" s="4" t="s">
        <v>60</v>
      </c>
      <c r="V252" s="4" t="s">
        <v>60</v>
      </c>
      <c r="W252" s="4" t="s">
        <v>60</v>
      </c>
      <c r="X252" s="4" t="s">
        <v>60</v>
      </c>
      <c r="Y252" s="4" t="s">
        <v>60</v>
      </c>
      <c r="Z252" s="4" t="s">
        <v>60</v>
      </c>
      <c r="AA252" s="4" t="s">
        <v>60</v>
      </c>
      <c r="AB252" s="4" t="s">
        <v>60</v>
      </c>
      <c r="AC252" s="4" t="s">
        <v>60</v>
      </c>
      <c r="AD252" s="4" t="s">
        <v>60</v>
      </c>
      <c r="AE252" s="2" t="s">
        <v>60</v>
      </c>
      <c r="AF252" s="3" t="s">
        <v>1294</v>
      </c>
      <c r="AG252" s="7" t="s">
        <v>60</v>
      </c>
      <c r="AH252" s="7" t="s">
        <v>60</v>
      </c>
      <c r="AI252" s="7" t="s">
        <v>60</v>
      </c>
      <c r="AJ252" s="7" t="s">
        <v>60</v>
      </c>
      <c r="AK252" s="7" t="s">
        <v>60</v>
      </c>
      <c r="AL252" s="25" t="s">
        <v>1904</v>
      </c>
      <c r="AM252" s="25" t="s">
        <v>58</v>
      </c>
      <c r="AN252" s="25" t="s">
        <v>59</v>
      </c>
      <c r="AO252" s="25" t="s">
        <v>60</v>
      </c>
      <c r="AP252" s="19" t="s">
        <v>1427</v>
      </c>
      <c r="AQ252" s="19" t="s">
        <v>1869</v>
      </c>
      <c r="AR252" s="19" t="s">
        <v>60</v>
      </c>
      <c r="AS252" s="19" t="s">
        <v>2360</v>
      </c>
      <c r="AT252" s="19" t="s">
        <v>2107</v>
      </c>
      <c r="AU252" s="19" t="s">
        <v>2108</v>
      </c>
      <c r="AV252" s="19">
        <v>9999934588</v>
      </c>
      <c r="AW252" s="20">
        <v>46122</v>
      </c>
      <c r="AX252" s="19" t="s">
        <v>1990</v>
      </c>
      <c r="AY252" s="27" t="s">
        <v>1553</v>
      </c>
      <c r="AZ252" s="27" t="s">
        <v>96</v>
      </c>
      <c r="BA252" s="19" t="s">
        <v>60</v>
      </c>
      <c r="BB252" s="19" t="s">
        <v>2599</v>
      </c>
      <c r="BC252" s="19" t="s">
        <v>2600</v>
      </c>
      <c r="BD252" s="75" t="s">
        <v>1294</v>
      </c>
      <c r="BE252" s="100" t="s">
        <v>3881</v>
      </c>
      <c r="BF252" s="100" t="s">
        <v>4293</v>
      </c>
      <c r="BG252" s="100"/>
    </row>
    <row r="253" spans="1:59" s="10" customFormat="1" ht="13.5" x14ac:dyDescent="0.25">
      <c r="A253" s="59">
        <v>258</v>
      </c>
      <c r="B253" s="15" t="s">
        <v>60</v>
      </c>
      <c r="C253" s="12" t="s">
        <v>60</v>
      </c>
      <c r="D253" s="11" t="s">
        <v>103</v>
      </c>
      <c r="E253" s="11" t="s">
        <v>237</v>
      </c>
      <c r="F253" s="11" t="s">
        <v>1590</v>
      </c>
      <c r="G253" s="13" t="s">
        <v>1417</v>
      </c>
      <c r="H253" s="11" t="s">
        <v>1355</v>
      </c>
      <c r="I253" s="3" t="s">
        <v>60</v>
      </c>
      <c r="J253" s="3" t="s">
        <v>60</v>
      </c>
      <c r="K253" s="11" t="s">
        <v>1488</v>
      </c>
      <c r="L253" s="4" t="s">
        <v>60</v>
      </c>
      <c r="M253" s="4" t="s">
        <v>60</v>
      </c>
      <c r="N253" s="4" t="s">
        <v>60</v>
      </c>
      <c r="O253" s="4" t="s">
        <v>60</v>
      </c>
      <c r="P253" s="4" t="s">
        <v>60</v>
      </c>
      <c r="Q253" s="4" t="s">
        <v>60</v>
      </c>
      <c r="R253" s="4" t="s">
        <v>60</v>
      </c>
      <c r="S253" s="4" t="s">
        <v>60</v>
      </c>
      <c r="T253" s="4" t="s">
        <v>60</v>
      </c>
      <c r="U253" s="4" t="s">
        <v>60</v>
      </c>
      <c r="V253" s="4" t="s">
        <v>60</v>
      </c>
      <c r="W253" s="4" t="s">
        <v>60</v>
      </c>
      <c r="X253" s="4" t="s">
        <v>60</v>
      </c>
      <c r="Y253" s="4" t="s">
        <v>60</v>
      </c>
      <c r="Z253" s="4" t="s">
        <v>60</v>
      </c>
      <c r="AA253" s="4" t="s">
        <v>60</v>
      </c>
      <c r="AB253" s="4" t="s">
        <v>60</v>
      </c>
      <c r="AC253" s="4" t="s">
        <v>60</v>
      </c>
      <c r="AD253" s="4" t="s">
        <v>60</v>
      </c>
      <c r="AE253" s="2" t="s">
        <v>60</v>
      </c>
      <c r="AF253" s="3" t="s">
        <v>1355</v>
      </c>
      <c r="AG253" s="7" t="s">
        <v>60</v>
      </c>
      <c r="AH253" s="7" t="s">
        <v>60</v>
      </c>
      <c r="AI253" s="7" t="s">
        <v>60</v>
      </c>
      <c r="AJ253" s="7" t="s">
        <v>60</v>
      </c>
      <c r="AK253" s="7" t="s">
        <v>60</v>
      </c>
      <c r="AL253" s="25" t="s">
        <v>1904</v>
      </c>
      <c r="AM253" s="25" t="s">
        <v>58</v>
      </c>
      <c r="AN253" s="25" t="s">
        <v>59</v>
      </c>
      <c r="AO253" s="25" t="s">
        <v>60</v>
      </c>
      <c r="AP253" s="19" t="s">
        <v>1488</v>
      </c>
      <c r="AQ253" s="19" t="s">
        <v>1869</v>
      </c>
      <c r="AR253" s="19" t="s">
        <v>60</v>
      </c>
      <c r="AS253" s="19" t="s">
        <v>2360</v>
      </c>
      <c r="AT253" s="19" t="s">
        <v>2196</v>
      </c>
      <c r="AU253" s="19" t="s">
        <v>2195</v>
      </c>
      <c r="AV253" s="19">
        <v>9999934588</v>
      </c>
      <c r="AW253" s="20">
        <v>46129</v>
      </c>
      <c r="AX253" s="19" t="s">
        <v>1990</v>
      </c>
      <c r="AY253" s="27" t="s">
        <v>1590</v>
      </c>
      <c r="AZ253" s="27" t="s">
        <v>237</v>
      </c>
      <c r="BA253" s="19" t="s">
        <v>60</v>
      </c>
      <c r="BB253" s="19" t="s">
        <v>2577</v>
      </c>
      <c r="BC253" s="19" t="s">
        <v>60</v>
      </c>
      <c r="BD253" s="75" t="s">
        <v>1355</v>
      </c>
      <c r="BE253" s="100" t="s">
        <v>3935</v>
      </c>
      <c r="BF253" s="100" t="s">
        <v>4294</v>
      </c>
      <c r="BG253" s="100"/>
    </row>
    <row r="254" spans="1:59" s="10" customFormat="1" ht="13.5" x14ac:dyDescent="0.25">
      <c r="A254" s="59">
        <v>251</v>
      </c>
      <c r="B254" s="15" t="s">
        <v>60</v>
      </c>
      <c r="C254" s="12" t="s">
        <v>60</v>
      </c>
      <c r="D254" s="11" t="s">
        <v>40</v>
      </c>
      <c r="E254" s="11" t="s">
        <v>199</v>
      </c>
      <c r="F254" s="11" t="s">
        <v>1571</v>
      </c>
      <c r="G254" s="13" t="s">
        <v>1417</v>
      </c>
      <c r="H254" s="11" t="s">
        <v>1320</v>
      </c>
      <c r="I254" s="3" t="s">
        <v>60</v>
      </c>
      <c r="J254" s="3" t="s">
        <v>60</v>
      </c>
      <c r="K254" s="11" t="s">
        <v>1453</v>
      </c>
      <c r="L254" s="4" t="s">
        <v>60</v>
      </c>
      <c r="M254" s="4" t="s">
        <v>60</v>
      </c>
      <c r="N254" s="4" t="s">
        <v>60</v>
      </c>
      <c r="O254" s="4" t="s">
        <v>60</v>
      </c>
      <c r="P254" s="4" t="s">
        <v>60</v>
      </c>
      <c r="Q254" s="4" t="s">
        <v>60</v>
      </c>
      <c r="R254" s="4" t="s">
        <v>60</v>
      </c>
      <c r="S254" s="4" t="s">
        <v>60</v>
      </c>
      <c r="T254" s="4" t="s">
        <v>60</v>
      </c>
      <c r="U254" s="4" t="s">
        <v>60</v>
      </c>
      <c r="V254" s="4" t="s">
        <v>60</v>
      </c>
      <c r="W254" s="4" t="s">
        <v>60</v>
      </c>
      <c r="X254" s="4" t="s">
        <v>60</v>
      </c>
      <c r="Y254" s="4" t="s">
        <v>60</v>
      </c>
      <c r="Z254" s="4" t="s">
        <v>60</v>
      </c>
      <c r="AA254" s="4" t="s">
        <v>60</v>
      </c>
      <c r="AB254" s="4" t="s">
        <v>60</v>
      </c>
      <c r="AC254" s="4" t="s">
        <v>60</v>
      </c>
      <c r="AD254" s="4" t="s">
        <v>60</v>
      </c>
      <c r="AE254" s="2" t="s">
        <v>60</v>
      </c>
      <c r="AF254" s="3" t="s">
        <v>1320</v>
      </c>
      <c r="AG254" s="7" t="s">
        <v>60</v>
      </c>
      <c r="AH254" s="7" t="s">
        <v>60</v>
      </c>
      <c r="AI254" s="7" t="s">
        <v>60</v>
      </c>
      <c r="AJ254" s="7" t="s">
        <v>60</v>
      </c>
      <c r="AK254" s="7" t="s">
        <v>60</v>
      </c>
      <c r="AL254" s="25" t="s">
        <v>1904</v>
      </c>
      <c r="AM254" s="25" t="s">
        <v>58</v>
      </c>
      <c r="AN254" s="25" t="s">
        <v>59</v>
      </c>
      <c r="AO254" s="25" t="s">
        <v>60</v>
      </c>
      <c r="AP254" s="19" t="s">
        <v>1453</v>
      </c>
      <c r="AQ254" s="19" t="s">
        <v>1869</v>
      </c>
      <c r="AR254" s="19" t="s">
        <v>60</v>
      </c>
      <c r="AS254" s="19" t="s">
        <v>2360</v>
      </c>
      <c r="AT254" s="19" t="s">
        <v>2144</v>
      </c>
      <c r="AU254" s="19" t="s">
        <v>2145</v>
      </c>
      <c r="AV254" s="19">
        <v>9999934588</v>
      </c>
      <c r="AW254" s="20">
        <v>46125</v>
      </c>
      <c r="AX254" s="19" t="s">
        <v>1990</v>
      </c>
      <c r="AY254" s="27" t="s">
        <v>1571</v>
      </c>
      <c r="AZ254" s="27" t="s">
        <v>199</v>
      </c>
      <c r="BA254" s="19" t="s">
        <v>60</v>
      </c>
      <c r="BB254" s="19" t="s">
        <v>2631</v>
      </c>
      <c r="BC254" s="19" t="s">
        <v>2632</v>
      </c>
      <c r="BD254" s="75" t="s">
        <v>1320</v>
      </c>
      <c r="BE254" s="100" t="s">
        <v>3928</v>
      </c>
      <c r="BF254" s="100" t="s">
        <v>4295</v>
      </c>
      <c r="BG254" s="100"/>
    </row>
    <row r="255" spans="1:59" s="10" customFormat="1" ht="13.5" x14ac:dyDescent="0.25">
      <c r="A255" s="59">
        <v>240</v>
      </c>
      <c r="B255" s="15" t="s">
        <v>60</v>
      </c>
      <c r="C255" s="12" t="s">
        <v>60</v>
      </c>
      <c r="D255" s="11" t="s">
        <v>40</v>
      </c>
      <c r="E255" s="11" t="s">
        <v>199</v>
      </c>
      <c r="F255" s="11" t="s">
        <v>452</v>
      </c>
      <c r="G255" s="13" t="s">
        <v>1417</v>
      </c>
      <c r="H255" s="11" t="s">
        <v>1289</v>
      </c>
      <c r="I255" s="3" t="s">
        <v>60</v>
      </c>
      <c r="J255" s="3" t="s">
        <v>60</v>
      </c>
      <c r="K255" s="11" t="s">
        <v>1422</v>
      </c>
      <c r="L255" s="4" t="s">
        <v>60</v>
      </c>
      <c r="M255" s="4" t="s">
        <v>60</v>
      </c>
      <c r="N255" s="4" t="s">
        <v>60</v>
      </c>
      <c r="O255" s="4" t="s">
        <v>60</v>
      </c>
      <c r="P255" s="4" t="s">
        <v>60</v>
      </c>
      <c r="Q255" s="4" t="s">
        <v>60</v>
      </c>
      <c r="R255" s="4" t="s">
        <v>60</v>
      </c>
      <c r="S255" s="4" t="s">
        <v>60</v>
      </c>
      <c r="T255" s="4" t="s">
        <v>60</v>
      </c>
      <c r="U255" s="4" t="s">
        <v>60</v>
      </c>
      <c r="V255" s="4" t="s">
        <v>60</v>
      </c>
      <c r="W255" s="4" t="s">
        <v>60</v>
      </c>
      <c r="X255" s="4" t="s">
        <v>60</v>
      </c>
      <c r="Y255" s="4" t="s">
        <v>60</v>
      </c>
      <c r="Z255" s="4" t="s">
        <v>60</v>
      </c>
      <c r="AA255" s="4" t="s">
        <v>60</v>
      </c>
      <c r="AB255" s="4" t="s">
        <v>60</v>
      </c>
      <c r="AC255" s="4" t="s">
        <v>60</v>
      </c>
      <c r="AD255" s="4" t="s">
        <v>60</v>
      </c>
      <c r="AE255" s="2" t="s">
        <v>60</v>
      </c>
      <c r="AF255" s="3" t="s">
        <v>1289</v>
      </c>
      <c r="AG255" s="7" t="s">
        <v>60</v>
      </c>
      <c r="AH255" s="7" t="s">
        <v>60</v>
      </c>
      <c r="AI255" s="7" t="s">
        <v>60</v>
      </c>
      <c r="AJ255" s="7" t="s">
        <v>60</v>
      </c>
      <c r="AK255" s="7" t="s">
        <v>60</v>
      </c>
      <c r="AL255" s="25" t="s">
        <v>1904</v>
      </c>
      <c r="AM255" s="25" t="s">
        <v>58</v>
      </c>
      <c r="AN255" s="25" t="s">
        <v>59</v>
      </c>
      <c r="AO255" s="25" t="s">
        <v>60</v>
      </c>
      <c r="AP255" s="19" t="s">
        <v>1422</v>
      </c>
      <c r="AQ255" s="19" t="s">
        <v>1869</v>
      </c>
      <c r="AR255" s="19" t="s">
        <v>60</v>
      </c>
      <c r="AS255" s="19" t="s">
        <v>2360</v>
      </c>
      <c r="AT255" s="19" t="s">
        <v>2103</v>
      </c>
      <c r="AU255" s="19" t="s">
        <v>2347</v>
      </c>
      <c r="AV255" s="19">
        <v>9999934588</v>
      </c>
      <c r="AW255" s="20">
        <v>46120</v>
      </c>
      <c r="AX255" s="19" t="s">
        <v>1990</v>
      </c>
      <c r="AY255" s="27" t="s">
        <v>452</v>
      </c>
      <c r="AZ255" s="27" t="s">
        <v>199</v>
      </c>
      <c r="BA255" s="19" t="s">
        <v>60</v>
      </c>
      <c r="BB255" s="19" t="s">
        <v>2419</v>
      </c>
      <c r="BC255" s="19" t="s">
        <v>538</v>
      </c>
      <c r="BD255" s="75" t="s">
        <v>1289</v>
      </c>
      <c r="BE255" s="100" t="s">
        <v>3917</v>
      </c>
      <c r="BF255" s="100" t="s">
        <v>4296</v>
      </c>
      <c r="BG255" s="100"/>
    </row>
    <row r="256" spans="1:59" s="10" customFormat="1" ht="13.5" x14ac:dyDescent="0.25">
      <c r="A256" s="59">
        <v>281</v>
      </c>
      <c r="B256" s="15" t="s">
        <v>60</v>
      </c>
      <c r="C256" s="12" t="s">
        <v>60</v>
      </c>
      <c r="D256" s="11" t="s">
        <v>40</v>
      </c>
      <c r="E256" s="11" t="s">
        <v>61</v>
      </c>
      <c r="F256" s="11" t="s">
        <v>1578</v>
      </c>
      <c r="G256" s="13" t="s">
        <v>1417</v>
      </c>
      <c r="H256" s="11" t="s">
        <v>1332</v>
      </c>
      <c r="I256" s="3" t="s">
        <v>60</v>
      </c>
      <c r="J256" s="3" t="s">
        <v>60</v>
      </c>
      <c r="K256" s="11" t="s">
        <v>1465</v>
      </c>
      <c r="L256" s="4" t="s">
        <v>60</v>
      </c>
      <c r="M256" s="4" t="s">
        <v>60</v>
      </c>
      <c r="N256" s="4" t="s">
        <v>60</v>
      </c>
      <c r="O256" s="4" t="s">
        <v>60</v>
      </c>
      <c r="P256" s="4" t="s">
        <v>60</v>
      </c>
      <c r="Q256" s="4" t="s">
        <v>60</v>
      </c>
      <c r="R256" s="4" t="s">
        <v>60</v>
      </c>
      <c r="S256" s="4" t="s">
        <v>60</v>
      </c>
      <c r="T256" s="4" t="s">
        <v>60</v>
      </c>
      <c r="U256" s="4" t="s">
        <v>60</v>
      </c>
      <c r="V256" s="4" t="s">
        <v>60</v>
      </c>
      <c r="W256" s="4" t="s">
        <v>60</v>
      </c>
      <c r="X256" s="4" t="s">
        <v>60</v>
      </c>
      <c r="Y256" s="4" t="s">
        <v>60</v>
      </c>
      <c r="Z256" s="4" t="s">
        <v>60</v>
      </c>
      <c r="AA256" s="4" t="s">
        <v>60</v>
      </c>
      <c r="AB256" s="4" t="s">
        <v>60</v>
      </c>
      <c r="AC256" s="4" t="s">
        <v>60</v>
      </c>
      <c r="AD256" s="4" t="s">
        <v>60</v>
      </c>
      <c r="AE256" s="2" t="s">
        <v>60</v>
      </c>
      <c r="AF256" s="3" t="s">
        <v>1332</v>
      </c>
      <c r="AG256" s="7" t="s">
        <v>60</v>
      </c>
      <c r="AH256" s="7" t="s">
        <v>60</v>
      </c>
      <c r="AI256" s="7" t="s">
        <v>60</v>
      </c>
      <c r="AJ256" s="7" t="s">
        <v>60</v>
      </c>
      <c r="AK256" s="7" t="s">
        <v>60</v>
      </c>
      <c r="AL256" s="25" t="s">
        <v>1904</v>
      </c>
      <c r="AM256" s="25" t="s">
        <v>58</v>
      </c>
      <c r="AN256" s="25" t="s">
        <v>59</v>
      </c>
      <c r="AO256" s="25" t="s">
        <v>60</v>
      </c>
      <c r="AP256" s="19" t="s">
        <v>1465</v>
      </c>
      <c r="AQ256" s="19" t="s">
        <v>1869</v>
      </c>
      <c r="AR256" s="19" t="s">
        <v>60</v>
      </c>
      <c r="AS256" s="19" t="s">
        <v>2360</v>
      </c>
      <c r="AT256" s="19" t="s">
        <v>2163</v>
      </c>
      <c r="AU256" s="19" t="s">
        <v>2164</v>
      </c>
      <c r="AV256" s="19">
        <v>9999934588</v>
      </c>
      <c r="AW256" s="20">
        <v>46127</v>
      </c>
      <c r="AX256" s="19" t="s">
        <v>1990</v>
      </c>
      <c r="AY256" s="27" t="s">
        <v>1578</v>
      </c>
      <c r="AZ256" s="27" t="s">
        <v>61</v>
      </c>
      <c r="BA256" s="19" t="s">
        <v>60</v>
      </c>
      <c r="BB256" s="19" t="s">
        <v>2655</v>
      </c>
      <c r="BC256" s="19" t="s">
        <v>2656</v>
      </c>
      <c r="BD256" s="75" t="s">
        <v>1332</v>
      </c>
      <c r="BE256" s="100" t="s">
        <v>3958</v>
      </c>
      <c r="BF256" s="100" t="s">
        <v>4297</v>
      </c>
      <c r="BG256" s="100"/>
    </row>
    <row r="257" spans="1:59" s="10" customFormat="1" ht="13.5" x14ac:dyDescent="0.25">
      <c r="A257" s="59">
        <v>256</v>
      </c>
      <c r="B257" s="15" t="s">
        <v>60</v>
      </c>
      <c r="C257" s="12" t="s">
        <v>60</v>
      </c>
      <c r="D257" s="11" t="s">
        <v>40</v>
      </c>
      <c r="E257" s="11" t="s">
        <v>199</v>
      </c>
      <c r="F257" s="11" t="s">
        <v>214</v>
      </c>
      <c r="G257" s="13" t="s">
        <v>1417</v>
      </c>
      <c r="H257" s="11" t="s">
        <v>1351</v>
      </c>
      <c r="I257" s="3" t="s">
        <v>60</v>
      </c>
      <c r="J257" s="3" t="s">
        <v>60</v>
      </c>
      <c r="K257" s="11" t="s">
        <v>1484</v>
      </c>
      <c r="L257" s="4" t="s">
        <v>60</v>
      </c>
      <c r="M257" s="4" t="s">
        <v>60</v>
      </c>
      <c r="N257" s="4" t="s">
        <v>60</v>
      </c>
      <c r="O257" s="4" t="s">
        <v>60</v>
      </c>
      <c r="P257" s="4" t="s">
        <v>60</v>
      </c>
      <c r="Q257" s="4" t="s">
        <v>60</v>
      </c>
      <c r="R257" s="4" t="s">
        <v>60</v>
      </c>
      <c r="S257" s="4" t="s">
        <v>60</v>
      </c>
      <c r="T257" s="4" t="s">
        <v>60</v>
      </c>
      <c r="U257" s="4" t="s">
        <v>60</v>
      </c>
      <c r="V257" s="4" t="s">
        <v>60</v>
      </c>
      <c r="W257" s="4" t="s">
        <v>60</v>
      </c>
      <c r="X257" s="4" t="s">
        <v>60</v>
      </c>
      <c r="Y257" s="4" t="s">
        <v>60</v>
      </c>
      <c r="Z257" s="4" t="s">
        <v>60</v>
      </c>
      <c r="AA257" s="4" t="s">
        <v>60</v>
      </c>
      <c r="AB257" s="4" t="s">
        <v>60</v>
      </c>
      <c r="AC257" s="4" t="s">
        <v>60</v>
      </c>
      <c r="AD257" s="4" t="s">
        <v>60</v>
      </c>
      <c r="AE257" s="2" t="s">
        <v>60</v>
      </c>
      <c r="AF257" s="3" t="s">
        <v>1351</v>
      </c>
      <c r="AG257" s="7" t="s">
        <v>60</v>
      </c>
      <c r="AH257" s="7" t="s">
        <v>60</v>
      </c>
      <c r="AI257" s="7" t="s">
        <v>60</v>
      </c>
      <c r="AJ257" s="7" t="s">
        <v>60</v>
      </c>
      <c r="AK257" s="7" t="s">
        <v>60</v>
      </c>
      <c r="AL257" s="25" t="s">
        <v>1904</v>
      </c>
      <c r="AM257" s="25" t="s">
        <v>58</v>
      </c>
      <c r="AN257" s="25" t="s">
        <v>59</v>
      </c>
      <c r="AO257" s="25" t="s">
        <v>60</v>
      </c>
      <c r="AP257" s="19" t="s">
        <v>1484</v>
      </c>
      <c r="AQ257" s="19" t="s">
        <v>1869</v>
      </c>
      <c r="AR257" s="19" t="s">
        <v>60</v>
      </c>
      <c r="AS257" s="19" t="s">
        <v>2360</v>
      </c>
      <c r="AT257" s="19" t="s">
        <v>2189</v>
      </c>
      <c r="AU257" s="19" t="s">
        <v>2190</v>
      </c>
      <c r="AV257" s="19">
        <v>9999934588</v>
      </c>
      <c r="AW257" s="20">
        <v>46122</v>
      </c>
      <c r="AX257" s="19" t="s">
        <v>1990</v>
      </c>
      <c r="AY257" s="27" t="s">
        <v>214</v>
      </c>
      <c r="AZ257" s="27" t="s">
        <v>199</v>
      </c>
      <c r="BA257" s="19" t="s">
        <v>60</v>
      </c>
      <c r="BB257" s="19" t="s">
        <v>2636</v>
      </c>
      <c r="BC257" s="19" t="s">
        <v>60</v>
      </c>
      <c r="BD257" s="75" t="s">
        <v>1351</v>
      </c>
      <c r="BE257" s="100" t="s">
        <v>3933</v>
      </c>
      <c r="BF257" s="100" t="s">
        <v>4360</v>
      </c>
      <c r="BG257" s="100"/>
    </row>
    <row r="258" spans="1:59" s="10" customFormat="1" ht="13.5" x14ac:dyDescent="0.25">
      <c r="A258" s="59">
        <v>317</v>
      </c>
      <c r="B258" s="15" t="s">
        <v>60</v>
      </c>
      <c r="C258" s="12" t="s">
        <v>60</v>
      </c>
      <c r="D258" s="11" t="s">
        <v>103</v>
      </c>
      <c r="E258" s="11" t="s">
        <v>104</v>
      </c>
      <c r="F258" s="11" t="s">
        <v>1617</v>
      </c>
      <c r="G258" s="13" t="s">
        <v>1417</v>
      </c>
      <c r="H258" s="11" t="s">
        <v>1410</v>
      </c>
      <c r="I258" s="3" t="s">
        <v>60</v>
      </c>
      <c r="J258" s="3" t="s">
        <v>60</v>
      </c>
      <c r="K258" s="11" t="s">
        <v>1544</v>
      </c>
      <c r="L258" s="4" t="s">
        <v>60</v>
      </c>
      <c r="M258" s="4" t="s">
        <v>60</v>
      </c>
      <c r="N258" s="4" t="s">
        <v>60</v>
      </c>
      <c r="O258" s="4" t="s">
        <v>60</v>
      </c>
      <c r="P258" s="4" t="s">
        <v>60</v>
      </c>
      <c r="Q258" s="4" t="s">
        <v>60</v>
      </c>
      <c r="R258" s="4" t="s">
        <v>60</v>
      </c>
      <c r="S258" s="4" t="s">
        <v>60</v>
      </c>
      <c r="T258" s="4" t="s">
        <v>60</v>
      </c>
      <c r="U258" s="4" t="s">
        <v>60</v>
      </c>
      <c r="V258" s="4" t="s">
        <v>60</v>
      </c>
      <c r="W258" s="4" t="s">
        <v>60</v>
      </c>
      <c r="X258" s="4" t="s">
        <v>60</v>
      </c>
      <c r="Y258" s="4" t="s">
        <v>60</v>
      </c>
      <c r="Z258" s="4" t="s">
        <v>60</v>
      </c>
      <c r="AA258" s="4" t="s">
        <v>60</v>
      </c>
      <c r="AB258" s="4" t="s">
        <v>60</v>
      </c>
      <c r="AC258" s="4" t="s">
        <v>60</v>
      </c>
      <c r="AD258" s="4" t="s">
        <v>60</v>
      </c>
      <c r="AE258" s="2" t="s">
        <v>60</v>
      </c>
      <c r="AF258" s="3" t="s">
        <v>1410</v>
      </c>
      <c r="AG258" s="7" t="s">
        <v>60</v>
      </c>
      <c r="AH258" s="7" t="s">
        <v>60</v>
      </c>
      <c r="AI258" s="7" t="s">
        <v>60</v>
      </c>
      <c r="AJ258" s="7" t="s">
        <v>60</v>
      </c>
      <c r="AK258" s="7" t="s">
        <v>60</v>
      </c>
      <c r="AL258" s="25" t="s">
        <v>1904</v>
      </c>
      <c r="AM258" s="25" t="s">
        <v>58</v>
      </c>
      <c r="AN258" s="25" t="s">
        <v>59</v>
      </c>
      <c r="AO258" s="25" t="s">
        <v>60</v>
      </c>
      <c r="AP258" s="19" t="s">
        <v>1544</v>
      </c>
      <c r="AQ258" s="19" t="s">
        <v>1869</v>
      </c>
      <c r="AR258" s="19" t="s">
        <v>60</v>
      </c>
      <c r="AS258" s="19" t="s">
        <v>2360</v>
      </c>
      <c r="AT258" s="19" t="s">
        <v>2261</v>
      </c>
      <c r="AU258" s="19" t="s">
        <v>2124</v>
      </c>
      <c r="AV258" s="19">
        <v>9999934588</v>
      </c>
      <c r="AW258" s="20">
        <v>46121</v>
      </c>
      <c r="AX258" s="19" t="s">
        <v>1990</v>
      </c>
      <c r="AY258" s="27" t="s">
        <v>1617</v>
      </c>
      <c r="AZ258" s="27" t="s">
        <v>104</v>
      </c>
      <c r="BA258" s="19" t="s">
        <v>60</v>
      </c>
      <c r="BB258" s="19" t="s">
        <v>2675</v>
      </c>
      <c r="BC258" s="19" t="s">
        <v>2538</v>
      </c>
      <c r="BD258" s="75" t="s">
        <v>1410</v>
      </c>
      <c r="BE258" s="100" t="s">
        <v>3994</v>
      </c>
      <c r="BF258" s="100" t="s">
        <v>4298</v>
      </c>
      <c r="BG258" s="100"/>
    </row>
    <row r="259" spans="1:59" s="10" customFormat="1" ht="13.5" x14ac:dyDescent="0.25">
      <c r="A259" s="59">
        <v>277</v>
      </c>
      <c r="B259" s="15" t="s">
        <v>60</v>
      </c>
      <c r="C259" s="12" t="s">
        <v>60</v>
      </c>
      <c r="D259" s="11" t="s">
        <v>40</v>
      </c>
      <c r="E259" s="11" t="s">
        <v>61</v>
      </c>
      <c r="F259" s="11" t="s">
        <v>1560</v>
      </c>
      <c r="G259" s="13" t="s">
        <v>1417</v>
      </c>
      <c r="H259" s="11" t="s">
        <v>1303</v>
      </c>
      <c r="I259" s="3" t="s">
        <v>60</v>
      </c>
      <c r="J259" s="3" t="s">
        <v>60</v>
      </c>
      <c r="K259" s="11" t="s">
        <v>1436</v>
      </c>
      <c r="L259" s="4" t="s">
        <v>60</v>
      </c>
      <c r="M259" s="4" t="s">
        <v>60</v>
      </c>
      <c r="N259" s="4" t="s">
        <v>60</v>
      </c>
      <c r="O259" s="4" t="s">
        <v>60</v>
      </c>
      <c r="P259" s="4" t="s">
        <v>60</v>
      </c>
      <c r="Q259" s="4" t="s">
        <v>60</v>
      </c>
      <c r="R259" s="4" t="s">
        <v>60</v>
      </c>
      <c r="S259" s="4" t="s">
        <v>60</v>
      </c>
      <c r="T259" s="4" t="s">
        <v>60</v>
      </c>
      <c r="U259" s="4" t="s">
        <v>60</v>
      </c>
      <c r="V259" s="4" t="s">
        <v>60</v>
      </c>
      <c r="W259" s="4" t="s">
        <v>60</v>
      </c>
      <c r="X259" s="4" t="s">
        <v>60</v>
      </c>
      <c r="Y259" s="4" t="s">
        <v>60</v>
      </c>
      <c r="Z259" s="4" t="s">
        <v>60</v>
      </c>
      <c r="AA259" s="4" t="s">
        <v>60</v>
      </c>
      <c r="AB259" s="4" t="s">
        <v>60</v>
      </c>
      <c r="AC259" s="4" t="s">
        <v>60</v>
      </c>
      <c r="AD259" s="4" t="s">
        <v>60</v>
      </c>
      <c r="AE259" s="2" t="s">
        <v>60</v>
      </c>
      <c r="AF259" s="3" t="s">
        <v>1303</v>
      </c>
      <c r="AG259" s="7" t="s">
        <v>60</v>
      </c>
      <c r="AH259" s="7" t="s">
        <v>60</v>
      </c>
      <c r="AI259" s="7" t="s">
        <v>60</v>
      </c>
      <c r="AJ259" s="7" t="s">
        <v>60</v>
      </c>
      <c r="AK259" s="7" t="s">
        <v>60</v>
      </c>
      <c r="AL259" s="25" t="s">
        <v>1904</v>
      </c>
      <c r="AM259" s="25" t="s">
        <v>58</v>
      </c>
      <c r="AN259" s="25" t="s">
        <v>59</v>
      </c>
      <c r="AO259" s="25" t="s">
        <v>60</v>
      </c>
      <c r="AP259" s="19" t="s">
        <v>1436</v>
      </c>
      <c r="AQ259" s="19" t="s">
        <v>1869</v>
      </c>
      <c r="AR259" s="19" t="s">
        <v>60</v>
      </c>
      <c r="AS259" s="19" t="s">
        <v>2359</v>
      </c>
      <c r="AT259" s="19" t="s">
        <v>2120</v>
      </c>
      <c r="AU259" s="19" t="s">
        <v>2121</v>
      </c>
      <c r="AV259" s="19">
        <v>9999934588</v>
      </c>
      <c r="AW259" s="20">
        <v>46125</v>
      </c>
      <c r="AX259" s="19" t="s">
        <v>1990</v>
      </c>
      <c r="AY259" s="27" t="s">
        <v>1560</v>
      </c>
      <c r="AZ259" s="27" t="s">
        <v>61</v>
      </c>
      <c r="BA259" s="19" t="s">
        <v>60</v>
      </c>
      <c r="BB259" s="19" t="s">
        <v>2560</v>
      </c>
      <c r="BC259" s="19" t="s">
        <v>60</v>
      </c>
      <c r="BD259" s="75" t="s">
        <v>1303</v>
      </c>
      <c r="BE259" s="100" t="s">
        <v>3954</v>
      </c>
      <c r="BF259" s="100" t="s">
        <v>4299</v>
      </c>
      <c r="BG259" s="100"/>
    </row>
    <row r="260" spans="1:59" s="10" customFormat="1" ht="13.5" x14ac:dyDescent="0.25">
      <c r="A260" s="59">
        <v>300</v>
      </c>
      <c r="B260" s="15" t="s">
        <v>60</v>
      </c>
      <c r="C260" s="12" t="s">
        <v>60</v>
      </c>
      <c r="D260" s="11" t="s">
        <v>40</v>
      </c>
      <c r="E260" s="11" t="s">
        <v>61</v>
      </c>
      <c r="F260" s="11" t="s">
        <v>654</v>
      </c>
      <c r="G260" s="13" t="s">
        <v>1417</v>
      </c>
      <c r="H260" s="11" t="s">
        <v>1402</v>
      </c>
      <c r="I260" s="3" t="s">
        <v>60</v>
      </c>
      <c r="J260" s="3" t="s">
        <v>60</v>
      </c>
      <c r="K260" s="11" t="s">
        <v>1536</v>
      </c>
      <c r="L260" s="4" t="s">
        <v>60</v>
      </c>
      <c r="M260" s="4" t="s">
        <v>60</v>
      </c>
      <c r="N260" s="4" t="s">
        <v>60</v>
      </c>
      <c r="O260" s="4" t="s">
        <v>60</v>
      </c>
      <c r="P260" s="4" t="s">
        <v>60</v>
      </c>
      <c r="Q260" s="4" t="s">
        <v>60</v>
      </c>
      <c r="R260" s="4" t="s">
        <v>60</v>
      </c>
      <c r="S260" s="4" t="s">
        <v>60</v>
      </c>
      <c r="T260" s="4" t="s">
        <v>60</v>
      </c>
      <c r="U260" s="4" t="s">
        <v>60</v>
      </c>
      <c r="V260" s="4" t="s">
        <v>60</v>
      </c>
      <c r="W260" s="4" t="s">
        <v>60</v>
      </c>
      <c r="X260" s="4" t="s">
        <v>60</v>
      </c>
      <c r="Y260" s="4" t="s">
        <v>60</v>
      </c>
      <c r="Z260" s="4" t="s">
        <v>60</v>
      </c>
      <c r="AA260" s="4" t="s">
        <v>60</v>
      </c>
      <c r="AB260" s="4" t="s">
        <v>60</v>
      </c>
      <c r="AC260" s="4" t="s">
        <v>60</v>
      </c>
      <c r="AD260" s="4" t="s">
        <v>60</v>
      </c>
      <c r="AE260" s="2" t="s">
        <v>60</v>
      </c>
      <c r="AF260" s="3" t="s">
        <v>1402</v>
      </c>
      <c r="AG260" s="7" t="s">
        <v>60</v>
      </c>
      <c r="AH260" s="7" t="s">
        <v>60</v>
      </c>
      <c r="AI260" s="7" t="s">
        <v>60</v>
      </c>
      <c r="AJ260" s="7" t="s">
        <v>60</v>
      </c>
      <c r="AK260" s="7" t="s">
        <v>60</v>
      </c>
      <c r="AL260" s="25" t="s">
        <v>1904</v>
      </c>
      <c r="AM260" s="25" t="s">
        <v>58</v>
      </c>
      <c r="AN260" s="25" t="s">
        <v>59</v>
      </c>
      <c r="AO260" s="25" t="s">
        <v>60</v>
      </c>
      <c r="AP260" s="19" t="s">
        <v>1536</v>
      </c>
      <c r="AQ260" s="19" t="s">
        <v>1869</v>
      </c>
      <c r="AR260" s="19" t="s">
        <v>60</v>
      </c>
      <c r="AS260" s="19" t="s">
        <v>2360</v>
      </c>
      <c r="AT260" s="19" t="s">
        <v>2252</v>
      </c>
      <c r="AU260" s="19" t="s">
        <v>2253</v>
      </c>
      <c r="AV260" s="19">
        <v>9999934588</v>
      </c>
      <c r="AW260" s="20">
        <v>46130</v>
      </c>
      <c r="AX260" s="19" t="s">
        <v>1990</v>
      </c>
      <c r="AY260" s="27" t="s">
        <v>654</v>
      </c>
      <c r="AZ260" s="27" t="s">
        <v>61</v>
      </c>
      <c r="BA260" s="19" t="s">
        <v>60</v>
      </c>
      <c r="BB260" s="19" t="s">
        <v>2571</v>
      </c>
      <c r="BC260" s="19" t="s">
        <v>60</v>
      </c>
      <c r="BD260" s="75" t="s">
        <v>1402</v>
      </c>
      <c r="BE260" s="100" t="s">
        <v>3977</v>
      </c>
      <c r="BF260" s="100" t="s">
        <v>4300</v>
      </c>
      <c r="BG260" s="100"/>
    </row>
    <row r="261" spans="1:59" s="10" customFormat="1" ht="13.5" x14ac:dyDescent="0.25">
      <c r="A261" s="59">
        <v>302</v>
      </c>
      <c r="B261" s="15" t="s">
        <v>60</v>
      </c>
      <c r="C261" s="12" t="s">
        <v>60</v>
      </c>
      <c r="D261" s="11" t="s">
        <v>40</v>
      </c>
      <c r="E261" s="11" t="s">
        <v>61</v>
      </c>
      <c r="F261" s="11" t="s">
        <v>986</v>
      </c>
      <c r="G261" s="13" t="s">
        <v>1417</v>
      </c>
      <c r="H261" s="11" t="s">
        <v>1415</v>
      </c>
      <c r="I261" s="3" t="s">
        <v>60</v>
      </c>
      <c r="J261" s="3" t="s">
        <v>60</v>
      </c>
      <c r="K261" s="11" t="s">
        <v>1549</v>
      </c>
      <c r="L261" s="4" t="s">
        <v>60</v>
      </c>
      <c r="M261" s="4" t="s">
        <v>60</v>
      </c>
      <c r="N261" s="4" t="s">
        <v>60</v>
      </c>
      <c r="O261" s="4" t="s">
        <v>60</v>
      </c>
      <c r="P261" s="4" t="s">
        <v>60</v>
      </c>
      <c r="Q261" s="4" t="s">
        <v>60</v>
      </c>
      <c r="R261" s="4" t="s">
        <v>60</v>
      </c>
      <c r="S261" s="4" t="s">
        <v>60</v>
      </c>
      <c r="T261" s="4" t="s">
        <v>60</v>
      </c>
      <c r="U261" s="4" t="s">
        <v>60</v>
      </c>
      <c r="V261" s="4" t="s">
        <v>60</v>
      </c>
      <c r="W261" s="4" t="s">
        <v>60</v>
      </c>
      <c r="X261" s="4" t="s">
        <v>60</v>
      </c>
      <c r="Y261" s="4" t="s">
        <v>60</v>
      </c>
      <c r="Z261" s="4" t="s">
        <v>60</v>
      </c>
      <c r="AA261" s="4" t="s">
        <v>60</v>
      </c>
      <c r="AB261" s="4" t="s">
        <v>60</v>
      </c>
      <c r="AC261" s="4" t="s">
        <v>60</v>
      </c>
      <c r="AD261" s="4" t="s">
        <v>60</v>
      </c>
      <c r="AE261" s="2" t="s">
        <v>60</v>
      </c>
      <c r="AF261" s="3" t="s">
        <v>1415</v>
      </c>
      <c r="AG261" s="7" t="s">
        <v>60</v>
      </c>
      <c r="AH261" s="7" t="s">
        <v>60</v>
      </c>
      <c r="AI261" s="7" t="s">
        <v>60</v>
      </c>
      <c r="AJ261" s="7" t="s">
        <v>60</v>
      </c>
      <c r="AK261" s="7" t="s">
        <v>60</v>
      </c>
      <c r="AL261" s="25" t="s">
        <v>1904</v>
      </c>
      <c r="AM261" s="25" t="s">
        <v>58</v>
      </c>
      <c r="AN261" s="25" t="s">
        <v>59</v>
      </c>
      <c r="AO261" s="25" t="s">
        <v>60</v>
      </c>
      <c r="AP261" s="19" t="s">
        <v>1549</v>
      </c>
      <c r="AQ261" s="19" t="s">
        <v>1869</v>
      </c>
      <c r="AR261" s="19" t="s">
        <v>60</v>
      </c>
      <c r="AS261" s="19" t="s">
        <v>2360</v>
      </c>
      <c r="AT261" s="19" t="s">
        <v>2344</v>
      </c>
      <c r="AU261" s="19" t="s">
        <v>2268</v>
      </c>
      <c r="AV261" s="19">
        <v>9999934588</v>
      </c>
      <c r="AW261" s="20">
        <v>46121</v>
      </c>
      <c r="AX261" s="19" t="s">
        <v>1990</v>
      </c>
      <c r="AY261" s="27" t="s">
        <v>986</v>
      </c>
      <c r="AZ261" s="27" t="s">
        <v>61</v>
      </c>
      <c r="BA261" s="19" t="s">
        <v>60</v>
      </c>
      <c r="BB261" s="19" t="s">
        <v>2664</v>
      </c>
      <c r="BC261" s="19" t="s">
        <v>2392</v>
      </c>
      <c r="BD261" s="75" t="s">
        <v>1415</v>
      </c>
      <c r="BE261" s="100" t="s">
        <v>3979</v>
      </c>
      <c r="BF261" s="100" t="s">
        <v>4301</v>
      </c>
      <c r="BG261" s="100"/>
    </row>
    <row r="262" spans="1:59" s="10" customFormat="1" ht="13.5" x14ac:dyDescent="0.25">
      <c r="A262" s="59">
        <v>282</v>
      </c>
      <c r="B262" s="15" t="s">
        <v>60</v>
      </c>
      <c r="C262" s="12" t="s">
        <v>60</v>
      </c>
      <c r="D262" s="11" t="s">
        <v>40</v>
      </c>
      <c r="E262" s="11" t="s">
        <v>61</v>
      </c>
      <c r="F262" s="11" t="s">
        <v>1579</v>
      </c>
      <c r="G262" s="13" t="s">
        <v>1417</v>
      </c>
      <c r="H262" s="11" t="s">
        <v>1333</v>
      </c>
      <c r="I262" s="3" t="s">
        <v>60</v>
      </c>
      <c r="J262" s="3" t="s">
        <v>60</v>
      </c>
      <c r="K262" s="11" t="s">
        <v>1466</v>
      </c>
      <c r="L262" s="4" t="s">
        <v>60</v>
      </c>
      <c r="M262" s="4" t="s">
        <v>60</v>
      </c>
      <c r="N262" s="4" t="s">
        <v>60</v>
      </c>
      <c r="O262" s="4" t="s">
        <v>60</v>
      </c>
      <c r="P262" s="4" t="s">
        <v>60</v>
      </c>
      <c r="Q262" s="4" t="s">
        <v>60</v>
      </c>
      <c r="R262" s="4" t="s">
        <v>60</v>
      </c>
      <c r="S262" s="4" t="s">
        <v>60</v>
      </c>
      <c r="T262" s="4" t="s">
        <v>60</v>
      </c>
      <c r="U262" s="4" t="s">
        <v>60</v>
      </c>
      <c r="V262" s="4" t="s">
        <v>60</v>
      </c>
      <c r="W262" s="4" t="s">
        <v>60</v>
      </c>
      <c r="X262" s="4" t="s">
        <v>60</v>
      </c>
      <c r="Y262" s="4" t="s">
        <v>60</v>
      </c>
      <c r="Z262" s="4" t="s">
        <v>60</v>
      </c>
      <c r="AA262" s="4" t="s">
        <v>60</v>
      </c>
      <c r="AB262" s="4" t="s">
        <v>60</v>
      </c>
      <c r="AC262" s="4" t="s">
        <v>60</v>
      </c>
      <c r="AD262" s="4" t="s">
        <v>60</v>
      </c>
      <c r="AE262" s="2" t="s">
        <v>60</v>
      </c>
      <c r="AF262" s="3" t="s">
        <v>1333</v>
      </c>
      <c r="AG262" s="7" t="s">
        <v>60</v>
      </c>
      <c r="AH262" s="7" t="s">
        <v>60</v>
      </c>
      <c r="AI262" s="7" t="s">
        <v>60</v>
      </c>
      <c r="AJ262" s="7" t="s">
        <v>60</v>
      </c>
      <c r="AK262" s="7" t="s">
        <v>60</v>
      </c>
      <c r="AL262" s="25" t="s">
        <v>1904</v>
      </c>
      <c r="AM262" s="25" t="s">
        <v>58</v>
      </c>
      <c r="AN262" s="25" t="s">
        <v>59</v>
      </c>
      <c r="AO262" s="25" t="s">
        <v>60</v>
      </c>
      <c r="AP262" s="19" t="s">
        <v>1466</v>
      </c>
      <c r="AQ262" s="19" t="s">
        <v>1869</v>
      </c>
      <c r="AR262" s="19" t="s">
        <v>60</v>
      </c>
      <c r="AS262" s="19" t="s">
        <v>2360</v>
      </c>
      <c r="AT262" s="19" t="s">
        <v>2165</v>
      </c>
      <c r="AU262" s="19" t="s">
        <v>2166</v>
      </c>
      <c r="AV262" s="19">
        <v>9999934588</v>
      </c>
      <c r="AW262" s="20">
        <v>46125</v>
      </c>
      <c r="AX262" s="19" t="s">
        <v>1990</v>
      </c>
      <c r="AY262" s="27" t="s">
        <v>1579</v>
      </c>
      <c r="AZ262" s="27" t="s">
        <v>61</v>
      </c>
      <c r="BA262" s="19" t="s">
        <v>60</v>
      </c>
      <c r="BB262" s="19" t="s">
        <v>2560</v>
      </c>
      <c r="BC262" s="19" t="s">
        <v>60</v>
      </c>
      <c r="BD262" s="75" t="s">
        <v>1333</v>
      </c>
      <c r="BE262" s="100" t="s">
        <v>3959</v>
      </c>
      <c r="BF262" s="100" t="s">
        <v>4302</v>
      </c>
      <c r="BG262" s="100"/>
    </row>
    <row r="263" spans="1:59" s="10" customFormat="1" ht="13.5" x14ac:dyDescent="0.25">
      <c r="A263" s="59">
        <v>264</v>
      </c>
      <c r="B263" s="15" t="s">
        <v>60</v>
      </c>
      <c r="C263" s="12" t="s">
        <v>60</v>
      </c>
      <c r="D263" s="11" t="s">
        <v>40</v>
      </c>
      <c r="E263" s="11" t="s">
        <v>199</v>
      </c>
      <c r="F263" s="11" t="s">
        <v>1598</v>
      </c>
      <c r="G263" s="13" t="s">
        <v>1417</v>
      </c>
      <c r="H263" s="11" t="s">
        <v>1375</v>
      </c>
      <c r="I263" s="3" t="s">
        <v>60</v>
      </c>
      <c r="J263" s="3" t="s">
        <v>60</v>
      </c>
      <c r="K263" s="11" t="s">
        <v>1509</v>
      </c>
      <c r="L263" s="4" t="s">
        <v>60</v>
      </c>
      <c r="M263" s="4" t="s">
        <v>60</v>
      </c>
      <c r="N263" s="4" t="s">
        <v>60</v>
      </c>
      <c r="O263" s="4" t="s">
        <v>60</v>
      </c>
      <c r="P263" s="4" t="s">
        <v>60</v>
      </c>
      <c r="Q263" s="4" t="s">
        <v>60</v>
      </c>
      <c r="R263" s="4" t="s">
        <v>60</v>
      </c>
      <c r="S263" s="4" t="s">
        <v>60</v>
      </c>
      <c r="T263" s="4" t="s">
        <v>60</v>
      </c>
      <c r="U263" s="4" t="s">
        <v>60</v>
      </c>
      <c r="V263" s="4" t="s">
        <v>60</v>
      </c>
      <c r="W263" s="4" t="s">
        <v>60</v>
      </c>
      <c r="X263" s="4" t="s">
        <v>60</v>
      </c>
      <c r="Y263" s="4" t="s">
        <v>60</v>
      </c>
      <c r="Z263" s="4" t="s">
        <v>60</v>
      </c>
      <c r="AA263" s="4" t="s">
        <v>60</v>
      </c>
      <c r="AB263" s="4" t="s">
        <v>60</v>
      </c>
      <c r="AC263" s="4" t="s">
        <v>60</v>
      </c>
      <c r="AD263" s="4" t="s">
        <v>60</v>
      </c>
      <c r="AE263" s="2" t="s">
        <v>60</v>
      </c>
      <c r="AF263" s="3" t="s">
        <v>1375</v>
      </c>
      <c r="AG263" s="7" t="s">
        <v>60</v>
      </c>
      <c r="AH263" s="7" t="s">
        <v>60</v>
      </c>
      <c r="AI263" s="7" t="s">
        <v>60</v>
      </c>
      <c r="AJ263" s="7" t="s">
        <v>60</v>
      </c>
      <c r="AK263" s="7" t="s">
        <v>60</v>
      </c>
      <c r="AL263" s="25" t="s">
        <v>1904</v>
      </c>
      <c r="AM263" s="25" t="s">
        <v>58</v>
      </c>
      <c r="AN263" s="25" t="s">
        <v>59</v>
      </c>
      <c r="AO263" s="25" t="s">
        <v>60</v>
      </c>
      <c r="AP263" s="19" t="s">
        <v>1509</v>
      </c>
      <c r="AQ263" s="19" t="s">
        <v>1869</v>
      </c>
      <c r="AR263" s="19" t="s">
        <v>60</v>
      </c>
      <c r="AS263" s="19" t="s">
        <v>2360</v>
      </c>
      <c r="AT263" s="19" t="s">
        <v>2219</v>
      </c>
      <c r="AU263" s="19" t="s">
        <v>2218</v>
      </c>
      <c r="AV263" s="19">
        <v>9999934588</v>
      </c>
      <c r="AW263" s="20">
        <v>46128</v>
      </c>
      <c r="AX263" s="19" t="s">
        <v>1990</v>
      </c>
      <c r="AY263" s="27" t="s">
        <v>1598</v>
      </c>
      <c r="AZ263" s="27" t="s">
        <v>199</v>
      </c>
      <c r="BA263" s="19" t="s">
        <v>60</v>
      </c>
      <c r="BB263" s="19" t="s">
        <v>2623</v>
      </c>
      <c r="BC263" s="19" t="s">
        <v>538</v>
      </c>
      <c r="BD263" s="75" t="s">
        <v>1375</v>
      </c>
      <c r="BE263" s="100" t="s">
        <v>3941</v>
      </c>
      <c r="BF263" s="100" t="s">
        <v>4303</v>
      </c>
      <c r="BG263" s="100"/>
    </row>
    <row r="264" spans="1:59" s="10" customFormat="1" ht="13.5" x14ac:dyDescent="0.25">
      <c r="A264" s="59">
        <v>285</v>
      </c>
      <c r="B264" s="15" t="s">
        <v>60</v>
      </c>
      <c r="C264" s="12" t="s">
        <v>60</v>
      </c>
      <c r="D264" s="11" t="s">
        <v>40</v>
      </c>
      <c r="E264" s="11" t="s">
        <v>61</v>
      </c>
      <c r="F264" s="11" t="s">
        <v>1582</v>
      </c>
      <c r="G264" s="13" t="s">
        <v>1417</v>
      </c>
      <c r="H264" s="11" t="s">
        <v>1339</v>
      </c>
      <c r="I264" s="3" t="s">
        <v>60</v>
      </c>
      <c r="J264" s="3" t="s">
        <v>60</v>
      </c>
      <c r="K264" s="11" t="s">
        <v>1472</v>
      </c>
      <c r="L264" s="4" t="s">
        <v>60</v>
      </c>
      <c r="M264" s="4" t="s">
        <v>60</v>
      </c>
      <c r="N264" s="4" t="s">
        <v>60</v>
      </c>
      <c r="O264" s="4" t="s">
        <v>60</v>
      </c>
      <c r="P264" s="4" t="s">
        <v>60</v>
      </c>
      <c r="Q264" s="4" t="s">
        <v>60</v>
      </c>
      <c r="R264" s="4" t="s">
        <v>60</v>
      </c>
      <c r="S264" s="4" t="s">
        <v>60</v>
      </c>
      <c r="T264" s="4" t="s">
        <v>60</v>
      </c>
      <c r="U264" s="4" t="s">
        <v>60</v>
      </c>
      <c r="V264" s="4" t="s">
        <v>60</v>
      </c>
      <c r="W264" s="4" t="s">
        <v>60</v>
      </c>
      <c r="X264" s="4" t="s">
        <v>60</v>
      </c>
      <c r="Y264" s="4" t="s">
        <v>60</v>
      </c>
      <c r="Z264" s="4" t="s">
        <v>60</v>
      </c>
      <c r="AA264" s="4" t="s">
        <v>60</v>
      </c>
      <c r="AB264" s="4" t="s">
        <v>60</v>
      </c>
      <c r="AC264" s="4" t="s">
        <v>60</v>
      </c>
      <c r="AD264" s="4" t="s">
        <v>60</v>
      </c>
      <c r="AE264" s="2" t="s">
        <v>60</v>
      </c>
      <c r="AF264" s="3" t="s">
        <v>1339</v>
      </c>
      <c r="AG264" s="7" t="s">
        <v>60</v>
      </c>
      <c r="AH264" s="7" t="s">
        <v>60</v>
      </c>
      <c r="AI264" s="7" t="s">
        <v>60</v>
      </c>
      <c r="AJ264" s="7" t="s">
        <v>60</v>
      </c>
      <c r="AK264" s="7" t="s">
        <v>60</v>
      </c>
      <c r="AL264" s="25" t="s">
        <v>1904</v>
      </c>
      <c r="AM264" s="25" t="s">
        <v>58</v>
      </c>
      <c r="AN264" s="25" t="s">
        <v>59</v>
      </c>
      <c r="AO264" s="25" t="s">
        <v>60</v>
      </c>
      <c r="AP264" s="19" t="s">
        <v>1472</v>
      </c>
      <c r="AQ264" s="19" t="s">
        <v>1869</v>
      </c>
      <c r="AR264" s="19" t="s">
        <v>60</v>
      </c>
      <c r="AS264" s="19" t="s">
        <v>2360</v>
      </c>
      <c r="AT264" s="19" t="s">
        <v>2173</v>
      </c>
      <c r="AU264" s="19" t="s">
        <v>2116</v>
      </c>
      <c r="AV264" s="19">
        <v>9999934588</v>
      </c>
      <c r="AW264" s="20">
        <v>46123</v>
      </c>
      <c r="AX264" s="19" t="s">
        <v>1990</v>
      </c>
      <c r="AY264" s="27" t="s">
        <v>1582</v>
      </c>
      <c r="AZ264" s="27" t="s">
        <v>61</v>
      </c>
      <c r="BA264" s="19" t="s">
        <v>60</v>
      </c>
      <c r="BB264" s="19" t="s">
        <v>2657</v>
      </c>
      <c r="BC264" s="19" t="s">
        <v>2364</v>
      </c>
      <c r="BD264" s="75" t="s">
        <v>1339</v>
      </c>
      <c r="BE264" s="100" t="s">
        <v>3962</v>
      </c>
      <c r="BF264" s="100" t="s">
        <v>4304</v>
      </c>
      <c r="BG264" s="100"/>
    </row>
    <row r="265" spans="1:59" s="10" customFormat="1" ht="13.5" x14ac:dyDescent="0.25">
      <c r="A265" s="59">
        <v>270</v>
      </c>
      <c r="B265" s="15" t="s">
        <v>60</v>
      </c>
      <c r="C265" s="12" t="s">
        <v>60</v>
      </c>
      <c r="D265" s="11" t="s">
        <v>40</v>
      </c>
      <c r="E265" s="11" t="s">
        <v>199</v>
      </c>
      <c r="F265" s="11" t="s">
        <v>1615</v>
      </c>
      <c r="G265" s="13" t="s">
        <v>1417</v>
      </c>
      <c r="H265" s="11" t="s">
        <v>1408</v>
      </c>
      <c r="I265" s="3" t="s">
        <v>60</v>
      </c>
      <c r="J265" s="3" t="s">
        <v>60</v>
      </c>
      <c r="K265" s="11" t="s">
        <v>1542</v>
      </c>
      <c r="L265" s="4" t="s">
        <v>60</v>
      </c>
      <c r="M265" s="4" t="s">
        <v>60</v>
      </c>
      <c r="N265" s="4" t="s">
        <v>60</v>
      </c>
      <c r="O265" s="4" t="s">
        <v>60</v>
      </c>
      <c r="P265" s="4" t="s">
        <v>60</v>
      </c>
      <c r="Q265" s="4" t="s">
        <v>60</v>
      </c>
      <c r="R265" s="4" t="s">
        <v>60</v>
      </c>
      <c r="S265" s="4" t="s">
        <v>60</v>
      </c>
      <c r="T265" s="4" t="s">
        <v>60</v>
      </c>
      <c r="U265" s="4" t="s">
        <v>60</v>
      </c>
      <c r="V265" s="4" t="s">
        <v>60</v>
      </c>
      <c r="W265" s="4" t="s">
        <v>60</v>
      </c>
      <c r="X265" s="4" t="s">
        <v>60</v>
      </c>
      <c r="Y265" s="4" t="s">
        <v>60</v>
      </c>
      <c r="Z265" s="4" t="s">
        <v>60</v>
      </c>
      <c r="AA265" s="4" t="s">
        <v>60</v>
      </c>
      <c r="AB265" s="4" t="s">
        <v>60</v>
      </c>
      <c r="AC265" s="4" t="s">
        <v>60</v>
      </c>
      <c r="AD265" s="4" t="s">
        <v>60</v>
      </c>
      <c r="AE265" s="2" t="s">
        <v>60</v>
      </c>
      <c r="AF265" s="3" t="s">
        <v>1408</v>
      </c>
      <c r="AG265" s="7" t="s">
        <v>60</v>
      </c>
      <c r="AH265" s="7" t="s">
        <v>60</v>
      </c>
      <c r="AI265" s="7" t="s">
        <v>60</v>
      </c>
      <c r="AJ265" s="7" t="s">
        <v>60</v>
      </c>
      <c r="AK265" s="7" t="s">
        <v>60</v>
      </c>
      <c r="AL265" s="25" t="s">
        <v>1904</v>
      </c>
      <c r="AM265" s="25" t="s">
        <v>58</v>
      </c>
      <c r="AN265" s="25" t="s">
        <v>59</v>
      </c>
      <c r="AO265" s="25" t="s">
        <v>60</v>
      </c>
      <c r="AP265" s="19" t="s">
        <v>1542</v>
      </c>
      <c r="AQ265" s="19" t="s">
        <v>1869</v>
      </c>
      <c r="AR265" s="19" t="s">
        <v>60</v>
      </c>
      <c r="AS265" s="19" t="s">
        <v>2360</v>
      </c>
      <c r="AT265" s="19" t="s">
        <v>2342</v>
      </c>
      <c r="AU265" s="19" t="s">
        <v>2259</v>
      </c>
      <c r="AV265" s="19">
        <v>9999934588</v>
      </c>
      <c r="AW265" s="20">
        <v>46123</v>
      </c>
      <c r="AX265" s="19" t="s">
        <v>1990</v>
      </c>
      <c r="AY265" s="27" t="s">
        <v>1615</v>
      </c>
      <c r="AZ265" s="27" t="s">
        <v>199</v>
      </c>
      <c r="BA265" s="19" t="s">
        <v>60</v>
      </c>
      <c r="BB265" s="19" t="s">
        <v>2645</v>
      </c>
      <c r="BC265" s="19" t="s">
        <v>538</v>
      </c>
      <c r="BD265" s="75" t="s">
        <v>1408</v>
      </c>
      <c r="BE265" s="100" t="s">
        <v>3947</v>
      </c>
      <c r="BF265" s="100" t="s">
        <v>4305</v>
      </c>
      <c r="BG265" s="100"/>
    </row>
    <row r="266" spans="1:59" s="10" customFormat="1" ht="13.5" x14ac:dyDescent="0.25">
      <c r="A266" s="59">
        <v>198</v>
      </c>
      <c r="B266" s="15" t="s">
        <v>60</v>
      </c>
      <c r="C266" s="12" t="s">
        <v>60</v>
      </c>
      <c r="D266" s="11" t="s">
        <v>40</v>
      </c>
      <c r="E266" s="11" t="s">
        <v>129</v>
      </c>
      <c r="F266" s="11" t="s">
        <v>129</v>
      </c>
      <c r="G266" s="13" t="s">
        <v>1417</v>
      </c>
      <c r="H266" s="11" t="s">
        <v>1327</v>
      </c>
      <c r="I266" s="3" t="s">
        <v>60</v>
      </c>
      <c r="J266" s="3" t="s">
        <v>60</v>
      </c>
      <c r="K266" s="11" t="s">
        <v>1460</v>
      </c>
      <c r="L266" s="4" t="s">
        <v>60</v>
      </c>
      <c r="M266" s="4" t="s">
        <v>60</v>
      </c>
      <c r="N266" s="4" t="s">
        <v>60</v>
      </c>
      <c r="O266" s="4" t="s">
        <v>60</v>
      </c>
      <c r="P266" s="4" t="s">
        <v>60</v>
      </c>
      <c r="Q266" s="4" t="s">
        <v>60</v>
      </c>
      <c r="R266" s="4" t="s">
        <v>60</v>
      </c>
      <c r="S266" s="4" t="s">
        <v>60</v>
      </c>
      <c r="T266" s="4" t="s">
        <v>60</v>
      </c>
      <c r="U266" s="4" t="s">
        <v>60</v>
      </c>
      <c r="V266" s="4" t="s">
        <v>60</v>
      </c>
      <c r="W266" s="4" t="s">
        <v>60</v>
      </c>
      <c r="X266" s="4" t="s">
        <v>60</v>
      </c>
      <c r="Y266" s="4" t="s">
        <v>60</v>
      </c>
      <c r="Z266" s="4" t="s">
        <v>60</v>
      </c>
      <c r="AA266" s="4" t="s">
        <v>60</v>
      </c>
      <c r="AB266" s="4" t="s">
        <v>60</v>
      </c>
      <c r="AC266" s="4" t="s">
        <v>60</v>
      </c>
      <c r="AD266" s="4" t="s">
        <v>60</v>
      </c>
      <c r="AE266" s="2" t="s">
        <v>60</v>
      </c>
      <c r="AF266" s="3" t="s">
        <v>1327</v>
      </c>
      <c r="AG266" s="7" t="s">
        <v>60</v>
      </c>
      <c r="AH266" s="7" t="s">
        <v>60</v>
      </c>
      <c r="AI266" s="7" t="s">
        <v>60</v>
      </c>
      <c r="AJ266" s="7" t="s">
        <v>60</v>
      </c>
      <c r="AK266" s="7" t="s">
        <v>60</v>
      </c>
      <c r="AL266" s="25" t="s">
        <v>1904</v>
      </c>
      <c r="AM266" s="25" t="s">
        <v>58</v>
      </c>
      <c r="AN266" s="25" t="s">
        <v>59</v>
      </c>
      <c r="AO266" s="25" t="s">
        <v>60</v>
      </c>
      <c r="AP266" s="19" t="s">
        <v>1460</v>
      </c>
      <c r="AQ266" s="19" t="s">
        <v>1869</v>
      </c>
      <c r="AR266" s="19" t="s">
        <v>60</v>
      </c>
      <c r="AS266" s="19" t="s">
        <v>2360</v>
      </c>
      <c r="AT266" s="19" t="s">
        <v>2155</v>
      </c>
      <c r="AU266" s="19" t="s">
        <v>2093</v>
      </c>
      <c r="AV266" s="19">
        <v>9999934588</v>
      </c>
      <c r="AW266" s="20">
        <v>46130</v>
      </c>
      <c r="AX266" s="19" t="s">
        <v>1990</v>
      </c>
      <c r="AY266" s="27" t="s">
        <v>129</v>
      </c>
      <c r="AZ266" s="27" t="s">
        <v>129</v>
      </c>
      <c r="BA266" s="19" t="s">
        <v>60</v>
      </c>
      <c r="BB266" s="19" t="s">
        <v>2597</v>
      </c>
      <c r="BC266" s="19" t="s">
        <v>143</v>
      </c>
      <c r="BD266" s="75" t="s">
        <v>1327</v>
      </c>
      <c r="BE266" s="100" t="s">
        <v>3875</v>
      </c>
      <c r="BF266" s="100" t="s">
        <v>4306</v>
      </c>
      <c r="BG266" s="100"/>
    </row>
    <row r="267" spans="1:59" s="10" customFormat="1" ht="13.5" x14ac:dyDescent="0.25">
      <c r="A267" s="59">
        <v>274</v>
      </c>
      <c r="B267" s="15" t="s">
        <v>60</v>
      </c>
      <c r="C267" s="12" t="s">
        <v>60</v>
      </c>
      <c r="D267" s="11" t="s">
        <v>40</v>
      </c>
      <c r="E267" s="11" t="s">
        <v>61</v>
      </c>
      <c r="F267" s="11" t="s">
        <v>1551</v>
      </c>
      <c r="G267" s="13" t="s">
        <v>1417</v>
      </c>
      <c r="H267" s="11" t="s">
        <v>1290</v>
      </c>
      <c r="I267" s="3" t="s">
        <v>60</v>
      </c>
      <c r="J267" s="3" t="s">
        <v>60</v>
      </c>
      <c r="K267" s="11" t="s">
        <v>1423</v>
      </c>
      <c r="L267" s="4" t="s">
        <v>60</v>
      </c>
      <c r="M267" s="4" t="s">
        <v>60</v>
      </c>
      <c r="N267" s="4" t="s">
        <v>60</v>
      </c>
      <c r="O267" s="4" t="s">
        <v>60</v>
      </c>
      <c r="P267" s="4" t="s">
        <v>60</v>
      </c>
      <c r="Q267" s="4" t="s">
        <v>60</v>
      </c>
      <c r="R267" s="4" t="s">
        <v>60</v>
      </c>
      <c r="S267" s="4" t="s">
        <v>60</v>
      </c>
      <c r="T267" s="4" t="s">
        <v>60</v>
      </c>
      <c r="U267" s="4" t="s">
        <v>60</v>
      </c>
      <c r="V267" s="4" t="s">
        <v>60</v>
      </c>
      <c r="W267" s="4" t="s">
        <v>60</v>
      </c>
      <c r="X267" s="4" t="s">
        <v>60</v>
      </c>
      <c r="Y267" s="4" t="s">
        <v>60</v>
      </c>
      <c r="Z267" s="4" t="s">
        <v>60</v>
      </c>
      <c r="AA267" s="4" t="s">
        <v>60</v>
      </c>
      <c r="AB267" s="4" t="s">
        <v>60</v>
      </c>
      <c r="AC267" s="4" t="s">
        <v>60</v>
      </c>
      <c r="AD267" s="4" t="s">
        <v>60</v>
      </c>
      <c r="AE267" s="2" t="s">
        <v>60</v>
      </c>
      <c r="AF267" s="3" t="s">
        <v>1290</v>
      </c>
      <c r="AG267" s="7" t="s">
        <v>60</v>
      </c>
      <c r="AH267" s="7" t="s">
        <v>60</v>
      </c>
      <c r="AI267" s="7" t="s">
        <v>60</v>
      </c>
      <c r="AJ267" s="7" t="s">
        <v>60</v>
      </c>
      <c r="AK267" s="7" t="s">
        <v>60</v>
      </c>
      <c r="AL267" s="25" t="s">
        <v>1904</v>
      </c>
      <c r="AM267" s="25" t="s">
        <v>58</v>
      </c>
      <c r="AN267" s="25" t="s">
        <v>59</v>
      </c>
      <c r="AO267" s="25" t="s">
        <v>60</v>
      </c>
      <c r="AP267" s="19" t="s">
        <v>1423</v>
      </c>
      <c r="AQ267" s="19" t="s">
        <v>1869</v>
      </c>
      <c r="AR267" s="19" t="s">
        <v>60</v>
      </c>
      <c r="AS267" s="19" t="s">
        <v>2360</v>
      </c>
      <c r="AT267" s="19" t="s">
        <v>60</v>
      </c>
      <c r="AU267" s="19" t="s">
        <v>2100</v>
      </c>
      <c r="AV267" s="19">
        <v>9999934588</v>
      </c>
      <c r="AW267" s="20">
        <v>46121</v>
      </c>
      <c r="AX267" s="19" t="s">
        <v>1990</v>
      </c>
      <c r="AY267" s="27" t="s">
        <v>1551</v>
      </c>
      <c r="AZ267" s="27" t="s">
        <v>61</v>
      </c>
      <c r="BA267" s="19" t="s">
        <v>60</v>
      </c>
      <c r="BB267" s="19" t="s">
        <v>2650</v>
      </c>
      <c r="BC267" s="19" t="s">
        <v>2651</v>
      </c>
      <c r="BD267" s="75" t="s">
        <v>1290</v>
      </c>
      <c r="BE267" s="100" t="s">
        <v>3951</v>
      </c>
      <c r="BF267" s="100" t="s">
        <v>4307</v>
      </c>
      <c r="BG267" s="100"/>
    </row>
    <row r="268" spans="1:59" s="10" customFormat="1" ht="13.5" x14ac:dyDescent="0.25">
      <c r="A268" s="59">
        <v>230</v>
      </c>
      <c r="B268" s="15" t="s">
        <v>60</v>
      </c>
      <c r="C268" s="12" t="s">
        <v>60</v>
      </c>
      <c r="D268" s="11" t="s">
        <v>103</v>
      </c>
      <c r="E268" s="11" t="s">
        <v>237</v>
      </c>
      <c r="F268" s="11" t="s">
        <v>1612</v>
      </c>
      <c r="G268" s="13" t="s">
        <v>1417</v>
      </c>
      <c r="H268" s="11" t="s">
        <v>1403</v>
      </c>
      <c r="I268" s="3" t="s">
        <v>60</v>
      </c>
      <c r="J268" s="3" t="s">
        <v>60</v>
      </c>
      <c r="K268" s="11" t="s">
        <v>1537</v>
      </c>
      <c r="L268" s="4" t="s">
        <v>60</v>
      </c>
      <c r="M268" s="4" t="s">
        <v>60</v>
      </c>
      <c r="N268" s="4" t="s">
        <v>60</v>
      </c>
      <c r="O268" s="4" t="s">
        <v>60</v>
      </c>
      <c r="P268" s="4" t="s">
        <v>60</v>
      </c>
      <c r="Q268" s="4" t="s">
        <v>60</v>
      </c>
      <c r="R268" s="4" t="s">
        <v>60</v>
      </c>
      <c r="S268" s="4" t="s">
        <v>60</v>
      </c>
      <c r="T268" s="4" t="s">
        <v>60</v>
      </c>
      <c r="U268" s="4" t="s">
        <v>60</v>
      </c>
      <c r="V268" s="4" t="s">
        <v>60</v>
      </c>
      <c r="W268" s="4" t="s">
        <v>60</v>
      </c>
      <c r="X268" s="4" t="s">
        <v>60</v>
      </c>
      <c r="Y268" s="4" t="s">
        <v>60</v>
      </c>
      <c r="Z268" s="4" t="s">
        <v>60</v>
      </c>
      <c r="AA268" s="4" t="s">
        <v>60</v>
      </c>
      <c r="AB268" s="4" t="s">
        <v>60</v>
      </c>
      <c r="AC268" s="4" t="s">
        <v>60</v>
      </c>
      <c r="AD268" s="4" t="s">
        <v>60</v>
      </c>
      <c r="AE268" s="2" t="s">
        <v>60</v>
      </c>
      <c r="AF268" s="3" t="s">
        <v>1403</v>
      </c>
      <c r="AG268" s="7" t="s">
        <v>60</v>
      </c>
      <c r="AH268" s="7" t="s">
        <v>60</v>
      </c>
      <c r="AI268" s="7" t="s">
        <v>60</v>
      </c>
      <c r="AJ268" s="7" t="s">
        <v>60</v>
      </c>
      <c r="AK268" s="7" t="s">
        <v>60</v>
      </c>
      <c r="AL268" s="25" t="s">
        <v>1904</v>
      </c>
      <c r="AM268" s="25" t="s">
        <v>58</v>
      </c>
      <c r="AN268" s="25" t="s">
        <v>59</v>
      </c>
      <c r="AO268" s="25" t="s">
        <v>60</v>
      </c>
      <c r="AP268" s="19" t="s">
        <v>1537</v>
      </c>
      <c r="AQ268" s="19" t="s">
        <v>1869</v>
      </c>
      <c r="AR268" s="19" t="s">
        <v>60</v>
      </c>
      <c r="AS268" s="19" t="s">
        <v>2360</v>
      </c>
      <c r="AT268" s="19" t="s">
        <v>2254</v>
      </c>
      <c r="AU268" s="19" t="s">
        <v>2255</v>
      </c>
      <c r="AV268" s="19">
        <v>9999934588</v>
      </c>
      <c r="AW268" s="20">
        <v>46132</v>
      </c>
      <c r="AX268" s="19" t="s">
        <v>1990</v>
      </c>
      <c r="AY268" s="27" t="s">
        <v>1612</v>
      </c>
      <c r="AZ268" s="27" t="s">
        <v>237</v>
      </c>
      <c r="BA268" s="19" t="s">
        <v>60</v>
      </c>
      <c r="BB268" s="19" t="s">
        <v>2613</v>
      </c>
      <c r="BC268" s="19" t="s">
        <v>2614</v>
      </c>
      <c r="BD268" s="75" t="s">
        <v>1403</v>
      </c>
      <c r="BE268" s="100" t="s">
        <v>3907</v>
      </c>
      <c r="BF268" s="100" t="s">
        <v>4308</v>
      </c>
      <c r="BG268" s="100"/>
    </row>
    <row r="269" spans="1:59" s="10" customFormat="1" ht="13.5" x14ac:dyDescent="0.25">
      <c r="A269" s="59">
        <v>191</v>
      </c>
      <c r="B269" s="15" t="s">
        <v>60</v>
      </c>
      <c r="C269" s="12" t="s">
        <v>60</v>
      </c>
      <c r="D269" s="11" t="s">
        <v>40</v>
      </c>
      <c r="E269" s="11" t="s">
        <v>42</v>
      </c>
      <c r="F269" s="11" t="s">
        <v>42</v>
      </c>
      <c r="G269" s="13" t="s">
        <v>1417</v>
      </c>
      <c r="H269" s="11" t="s">
        <v>1318</v>
      </c>
      <c r="I269" s="3" t="s">
        <v>60</v>
      </c>
      <c r="J269" s="3" t="s">
        <v>60</v>
      </c>
      <c r="K269" s="11" t="s">
        <v>1451</v>
      </c>
      <c r="L269" s="4" t="s">
        <v>60</v>
      </c>
      <c r="M269" s="4" t="s">
        <v>60</v>
      </c>
      <c r="N269" s="4" t="s">
        <v>60</v>
      </c>
      <c r="O269" s="4" t="s">
        <v>60</v>
      </c>
      <c r="P269" s="4" t="s">
        <v>60</v>
      </c>
      <c r="Q269" s="4" t="s">
        <v>60</v>
      </c>
      <c r="R269" s="4" t="s">
        <v>60</v>
      </c>
      <c r="S269" s="4" t="s">
        <v>60</v>
      </c>
      <c r="T269" s="4" t="s">
        <v>60</v>
      </c>
      <c r="U269" s="4" t="s">
        <v>60</v>
      </c>
      <c r="V269" s="4" t="s">
        <v>60</v>
      </c>
      <c r="W269" s="4" t="s">
        <v>60</v>
      </c>
      <c r="X269" s="4" t="s">
        <v>60</v>
      </c>
      <c r="Y269" s="4" t="s">
        <v>60</v>
      </c>
      <c r="Z269" s="4" t="s">
        <v>60</v>
      </c>
      <c r="AA269" s="4" t="s">
        <v>60</v>
      </c>
      <c r="AB269" s="4" t="s">
        <v>60</v>
      </c>
      <c r="AC269" s="4" t="s">
        <v>60</v>
      </c>
      <c r="AD269" s="4" t="s">
        <v>60</v>
      </c>
      <c r="AE269" s="2" t="s">
        <v>60</v>
      </c>
      <c r="AF269" s="3" t="s">
        <v>1318</v>
      </c>
      <c r="AG269" s="7" t="s">
        <v>60</v>
      </c>
      <c r="AH269" s="7" t="s">
        <v>60</v>
      </c>
      <c r="AI269" s="7" t="s">
        <v>60</v>
      </c>
      <c r="AJ269" s="7" t="s">
        <v>60</v>
      </c>
      <c r="AK269" s="7" t="s">
        <v>60</v>
      </c>
      <c r="AL269" s="25" t="s">
        <v>1904</v>
      </c>
      <c r="AM269" s="25" t="s">
        <v>58</v>
      </c>
      <c r="AN269" s="25" t="s">
        <v>59</v>
      </c>
      <c r="AO269" s="25" t="s">
        <v>60</v>
      </c>
      <c r="AP269" s="19" t="s">
        <v>1451</v>
      </c>
      <c r="AQ269" s="19" t="s">
        <v>1869</v>
      </c>
      <c r="AR269" s="19" t="s">
        <v>60</v>
      </c>
      <c r="AS269" s="19" t="s">
        <v>2360</v>
      </c>
      <c r="AT269" s="19" t="s">
        <v>2140</v>
      </c>
      <c r="AU269" s="19" t="s">
        <v>2141</v>
      </c>
      <c r="AV269" s="19">
        <v>9999934588</v>
      </c>
      <c r="AW269" s="20">
        <v>46121</v>
      </c>
      <c r="AX269" s="19" t="s">
        <v>1990</v>
      </c>
      <c r="AY269" s="27" t="s">
        <v>42</v>
      </c>
      <c r="AZ269" s="27" t="s">
        <v>42</v>
      </c>
      <c r="BA269" s="19" t="s">
        <v>60</v>
      </c>
      <c r="BB269" s="19" t="s">
        <v>2702</v>
      </c>
      <c r="BC269" s="19" t="s">
        <v>2590</v>
      </c>
      <c r="BD269" s="75" t="s">
        <v>1318</v>
      </c>
      <c r="BE269" s="100" t="s">
        <v>3868</v>
      </c>
      <c r="BF269" s="100" t="s">
        <v>4309</v>
      </c>
      <c r="BG269" s="100"/>
    </row>
    <row r="270" spans="1:59" s="10" customFormat="1" ht="13.5" x14ac:dyDescent="0.25">
      <c r="A270" s="59">
        <v>213</v>
      </c>
      <c r="B270" s="15" t="s">
        <v>60</v>
      </c>
      <c r="C270" s="12" t="s">
        <v>60</v>
      </c>
      <c r="D270" s="11" t="s">
        <v>40</v>
      </c>
      <c r="E270" s="11" t="s">
        <v>351</v>
      </c>
      <c r="F270" s="11" t="s">
        <v>1618</v>
      </c>
      <c r="G270" s="13" t="s">
        <v>1417</v>
      </c>
      <c r="H270" s="11" t="s">
        <v>1412</v>
      </c>
      <c r="I270" s="3" t="s">
        <v>60</v>
      </c>
      <c r="J270" s="3" t="s">
        <v>60</v>
      </c>
      <c r="K270" s="11" t="s">
        <v>1546</v>
      </c>
      <c r="L270" s="4" t="s">
        <v>60</v>
      </c>
      <c r="M270" s="4" t="s">
        <v>60</v>
      </c>
      <c r="N270" s="4" t="s">
        <v>60</v>
      </c>
      <c r="O270" s="4" t="s">
        <v>60</v>
      </c>
      <c r="P270" s="4" t="s">
        <v>60</v>
      </c>
      <c r="Q270" s="4" t="s">
        <v>60</v>
      </c>
      <c r="R270" s="4" t="s">
        <v>60</v>
      </c>
      <c r="S270" s="4" t="s">
        <v>60</v>
      </c>
      <c r="T270" s="4" t="s">
        <v>60</v>
      </c>
      <c r="U270" s="4" t="s">
        <v>60</v>
      </c>
      <c r="V270" s="4" t="s">
        <v>60</v>
      </c>
      <c r="W270" s="4" t="s">
        <v>60</v>
      </c>
      <c r="X270" s="4" t="s">
        <v>60</v>
      </c>
      <c r="Y270" s="4" t="s">
        <v>60</v>
      </c>
      <c r="Z270" s="4" t="s">
        <v>60</v>
      </c>
      <c r="AA270" s="4" t="s">
        <v>60</v>
      </c>
      <c r="AB270" s="4" t="s">
        <v>60</v>
      </c>
      <c r="AC270" s="4" t="s">
        <v>60</v>
      </c>
      <c r="AD270" s="4" t="s">
        <v>60</v>
      </c>
      <c r="AE270" s="2" t="s">
        <v>60</v>
      </c>
      <c r="AF270" s="3" t="s">
        <v>1412</v>
      </c>
      <c r="AG270" s="7" t="s">
        <v>60</v>
      </c>
      <c r="AH270" s="7" t="s">
        <v>60</v>
      </c>
      <c r="AI270" s="7" t="s">
        <v>60</v>
      </c>
      <c r="AJ270" s="7" t="s">
        <v>60</v>
      </c>
      <c r="AK270" s="7" t="s">
        <v>60</v>
      </c>
      <c r="AL270" s="25" t="s">
        <v>1904</v>
      </c>
      <c r="AM270" s="25" t="s">
        <v>58</v>
      </c>
      <c r="AN270" s="25" t="s">
        <v>59</v>
      </c>
      <c r="AO270" s="25" t="s">
        <v>60</v>
      </c>
      <c r="AP270" s="19" t="s">
        <v>1546</v>
      </c>
      <c r="AQ270" s="19" t="s">
        <v>1869</v>
      </c>
      <c r="AR270" s="19" t="s">
        <v>60</v>
      </c>
      <c r="AS270" s="19" t="s">
        <v>2360</v>
      </c>
      <c r="AT270" s="19" t="s">
        <v>2264</v>
      </c>
      <c r="AU270" s="19" t="s">
        <v>2265</v>
      </c>
      <c r="AV270" s="19">
        <v>9999934588</v>
      </c>
      <c r="AW270" s="20">
        <v>46126</v>
      </c>
      <c r="AX270" s="19" t="s">
        <v>1990</v>
      </c>
      <c r="AY270" s="27" t="s">
        <v>1618</v>
      </c>
      <c r="AZ270" s="27" t="s">
        <v>351</v>
      </c>
      <c r="BA270" s="19" t="s">
        <v>60</v>
      </c>
      <c r="BB270" s="19" t="s">
        <v>2572</v>
      </c>
      <c r="BC270" s="19" t="s">
        <v>60</v>
      </c>
      <c r="BD270" s="75" t="s">
        <v>1412</v>
      </c>
      <c r="BE270" s="100" t="s">
        <v>3890</v>
      </c>
      <c r="BF270" s="100" t="s">
        <v>4310</v>
      </c>
      <c r="BG270" s="100"/>
    </row>
    <row r="271" spans="1:59" s="10" customFormat="1" ht="13.5" x14ac:dyDescent="0.25">
      <c r="A271" s="59">
        <v>217</v>
      </c>
      <c r="B271" s="15" t="s">
        <v>60</v>
      </c>
      <c r="C271" s="12" t="s">
        <v>60</v>
      </c>
      <c r="D271" s="11" t="s">
        <v>103</v>
      </c>
      <c r="E271" s="11" t="s">
        <v>465</v>
      </c>
      <c r="F271" s="11" t="s">
        <v>801</v>
      </c>
      <c r="G271" s="13" t="s">
        <v>1417</v>
      </c>
      <c r="H271" s="11" t="s">
        <v>1360</v>
      </c>
      <c r="I271" s="3" t="s">
        <v>60</v>
      </c>
      <c r="J271" s="3" t="s">
        <v>60</v>
      </c>
      <c r="K271" s="11" t="s">
        <v>1493</v>
      </c>
      <c r="L271" s="4" t="s">
        <v>60</v>
      </c>
      <c r="M271" s="4" t="s">
        <v>60</v>
      </c>
      <c r="N271" s="4" t="s">
        <v>60</v>
      </c>
      <c r="O271" s="4" t="s">
        <v>60</v>
      </c>
      <c r="P271" s="4" t="s">
        <v>60</v>
      </c>
      <c r="Q271" s="4" t="s">
        <v>60</v>
      </c>
      <c r="R271" s="4" t="s">
        <v>60</v>
      </c>
      <c r="S271" s="4" t="s">
        <v>60</v>
      </c>
      <c r="T271" s="4" t="s">
        <v>60</v>
      </c>
      <c r="U271" s="4" t="s">
        <v>60</v>
      </c>
      <c r="V271" s="4" t="s">
        <v>60</v>
      </c>
      <c r="W271" s="4" t="s">
        <v>60</v>
      </c>
      <c r="X271" s="4" t="s">
        <v>60</v>
      </c>
      <c r="Y271" s="4" t="s">
        <v>60</v>
      </c>
      <c r="Z271" s="4" t="s">
        <v>60</v>
      </c>
      <c r="AA271" s="4" t="s">
        <v>60</v>
      </c>
      <c r="AB271" s="4" t="s">
        <v>60</v>
      </c>
      <c r="AC271" s="4" t="s">
        <v>60</v>
      </c>
      <c r="AD271" s="4" t="s">
        <v>60</v>
      </c>
      <c r="AE271" s="2" t="s">
        <v>60</v>
      </c>
      <c r="AF271" s="3" t="s">
        <v>1360</v>
      </c>
      <c r="AG271" s="7" t="s">
        <v>60</v>
      </c>
      <c r="AH271" s="7" t="s">
        <v>60</v>
      </c>
      <c r="AI271" s="7" t="s">
        <v>60</v>
      </c>
      <c r="AJ271" s="7" t="s">
        <v>60</v>
      </c>
      <c r="AK271" s="7" t="s">
        <v>60</v>
      </c>
      <c r="AL271" s="25" t="s">
        <v>1904</v>
      </c>
      <c r="AM271" s="25" t="s">
        <v>58</v>
      </c>
      <c r="AN271" s="25" t="s">
        <v>59</v>
      </c>
      <c r="AO271" s="25" t="s">
        <v>60</v>
      </c>
      <c r="AP271" s="19" t="s">
        <v>1493</v>
      </c>
      <c r="AQ271" s="19" t="s">
        <v>1869</v>
      </c>
      <c r="AR271" s="19" t="s">
        <v>60</v>
      </c>
      <c r="AS271" s="19" t="s">
        <v>2360</v>
      </c>
      <c r="AT271" s="19" t="s">
        <v>2201</v>
      </c>
      <c r="AU271" s="19" t="s">
        <v>2200</v>
      </c>
      <c r="AV271" s="19">
        <v>9999934588</v>
      </c>
      <c r="AW271" s="20">
        <v>46123</v>
      </c>
      <c r="AX271" s="19" t="s">
        <v>1990</v>
      </c>
      <c r="AY271" s="27" t="s">
        <v>801</v>
      </c>
      <c r="AZ271" s="27" t="s">
        <v>465</v>
      </c>
      <c r="BA271" s="19" t="s">
        <v>60</v>
      </c>
      <c r="BB271" s="19" t="s">
        <v>2608</v>
      </c>
      <c r="BC271" s="19" t="s">
        <v>427</v>
      </c>
      <c r="BD271" s="75" t="s">
        <v>1360</v>
      </c>
      <c r="BE271" s="100" t="s">
        <v>3894</v>
      </c>
      <c r="BF271" s="100" t="s">
        <v>4311</v>
      </c>
      <c r="BG271" s="100"/>
    </row>
    <row r="272" spans="1:59" s="10" customFormat="1" ht="13.5" x14ac:dyDescent="0.25">
      <c r="A272" s="59">
        <v>297</v>
      </c>
      <c r="B272" s="15" t="s">
        <v>60</v>
      </c>
      <c r="C272" s="12" t="s">
        <v>60</v>
      </c>
      <c r="D272" s="11" t="s">
        <v>40</v>
      </c>
      <c r="E272" s="11" t="s">
        <v>61</v>
      </c>
      <c r="F272" s="11" t="s">
        <v>1602</v>
      </c>
      <c r="G272" s="13" t="s">
        <v>1417</v>
      </c>
      <c r="H272" s="11" t="s">
        <v>1384</v>
      </c>
      <c r="I272" s="3" t="s">
        <v>60</v>
      </c>
      <c r="J272" s="3" t="s">
        <v>60</v>
      </c>
      <c r="K272" s="11" t="s">
        <v>1518</v>
      </c>
      <c r="L272" s="4" t="s">
        <v>60</v>
      </c>
      <c r="M272" s="4" t="s">
        <v>60</v>
      </c>
      <c r="N272" s="4" t="s">
        <v>60</v>
      </c>
      <c r="O272" s="4" t="s">
        <v>60</v>
      </c>
      <c r="P272" s="4" t="s">
        <v>60</v>
      </c>
      <c r="Q272" s="4" t="s">
        <v>60</v>
      </c>
      <c r="R272" s="4" t="s">
        <v>60</v>
      </c>
      <c r="S272" s="4" t="s">
        <v>60</v>
      </c>
      <c r="T272" s="4" t="s">
        <v>60</v>
      </c>
      <c r="U272" s="4" t="s">
        <v>60</v>
      </c>
      <c r="V272" s="4" t="s">
        <v>60</v>
      </c>
      <c r="W272" s="4" t="s">
        <v>60</v>
      </c>
      <c r="X272" s="4" t="s">
        <v>60</v>
      </c>
      <c r="Y272" s="4" t="s">
        <v>60</v>
      </c>
      <c r="Z272" s="4" t="s">
        <v>60</v>
      </c>
      <c r="AA272" s="4" t="s">
        <v>60</v>
      </c>
      <c r="AB272" s="4" t="s">
        <v>60</v>
      </c>
      <c r="AC272" s="4" t="s">
        <v>60</v>
      </c>
      <c r="AD272" s="4" t="s">
        <v>60</v>
      </c>
      <c r="AE272" s="2" t="s">
        <v>60</v>
      </c>
      <c r="AF272" s="3" t="s">
        <v>1384</v>
      </c>
      <c r="AG272" s="7" t="s">
        <v>60</v>
      </c>
      <c r="AH272" s="7" t="s">
        <v>60</v>
      </c>
      <c r="AI272" s="7" t="s">
        <v>60</v>
      </c>
      <c r="AJ272" s="7" t="s">
        <v>60</v>
      </c>
      <c r="AK272" s="7" t="s">
        <v>60</v>
      </c>
      <c r="AL272" s="25" t="s">
        <v>1904</v>
      </c>
      <c r="AM272" s="25" t="s">
        <v>58</v>
      </c>
      <c r="AN272" s="25" t="s">
        <v>59</v>
      </c>
      <c r="AO272" s="25" t="s">
        <v>60</v>
      </c>
      <c r="AP272" s="19" t="s">
        <v>1518</v>
      </c>
      <c r="AQ272" s="19" t="s">
        <v>1869</v>
      </c>
      <c r="AR272" s="19" t="s">
        <v>60</v>
      </c>
      <c r="AS272" s="19" t="s">
        <v>2360</v>
      </c>
      <c r="AT272" s="19" t="s">
        <v>60</v>
      </c>
      <c r="AU272" s="19" t="s">
        <v>2817</v>
      </c>
      <c r="AV272" s="19">
        <v>9999934588</v>
      </c>
      <c r="AW272" s="20">
        <v>46126</v>
      </c>
      <c r="AX272" s="19" t="s">
        <v>1990</v>
      </c>
      <c r="AY272" s="27" t="s">
        <v>1602</v>
      </c>
      <c r="AZ272" s="27" t="s">
        <v>61</v>
      </c>
      <c r="BA272" s="19" t="s">
        <v>60</v>
      </c>
      <c r="BB272" s="19" t="s">
        <v>2662</v>
      </c>
      <c r="BC272" s="19" t="s">
        <v>60</v>
      </c>
      <c r="BD272" s="75" t="s">
        <v>1384</v>
      </c>
      <c r="BE272" s="100" t="s">
        <v>3974</v>
      </c>
      <c r="BF272" s="100" t="s">
        <v>4312</v>
      </c>
      <c r="BG272" s="100"/>
    </row>
    <row r="273" spans="1:59" s="10" customFormat="1" ht="13.5" x14ac:dyDescent="0.25">
      <c r="A273" s="59">
        <v>189</v>
      </c>
      <c r="B273" s="15" t="s">
        <v>60</v>
      </c>
      <c r="C273" s="12" t="s">
        <v>60</v>
      </c>
      <c r="D273" s="11" t="s">
        <v>103</v>
      </c>
      <c r="E273" s="11" t="s">
        <v>968</v>
      </c>
      <c r="F273" s="11" t="s">
        <v>1567</v>
      </c>
      <c r="G273" s="13" t="s">
        <v>1417</v>
      </c>
      <c r="H273" s="11" t="s">
        <v>1310</v>
      </c>
      <c r="I273" s="3" t="s">
        <v>60</v>
      </c>
      <c r="J273" s="3" t="s">
        <v>60</v>
      </c>
      <c r="K273" s="11" t="s">
        <v>1443</v>
      </c>
      <c r="L273" s="4" t="s">
        <v>60</v>
      </c>
      <c r="M273" s="4" t="s">
        <v>60</v>
      </c>
      <c r="N273" s="4" t="s">
        <v>60</v>
      </c>
      <c r="O273" s="4" t="s">
        <v>60</v>
      </c>
      <c r="P273" s="4" t="s">
        <v>60</v>
      </c>
      <c r="Q273" s="4" t="s">
        <v>60</v>
      </c>
      <c r="R273" s="4" t="s">
        <v>60</v>
      </c>
      <c r="S273" s="4" t="s">
        <v>60</v>
      </c>
      <c r="T273" s="4" t="s">
        <v>60</v>
      </c>
      <c r="U273" s="4" t="s">
        <v>60</v>
      </c>
      <c r="V273" s="4" t="s">
        <v>60</v>
      </c>
      <c r="W273" s="4" t="s">
        <v>60</v>
      </c>
      <c r="X273" s="4" t="s">
        <v>60</v>
      </c>
      <c r="Y273" s="4" t="s">
        <v>60</v>
      </c>
      <c r="Z273" s="4" t="s">
        <v>60</v>
      </c>
      <c r="AA273" s="4" t="s">
        <v>60</v>
      </c>
      <c r="AB273" s="4" t="s">
        <v>60</v>
      </c>
      <c r="AC273" s="4" t="s">
        <v>60</v>
      </c>
      <c r="AD273" s="4" t="s">
        <v>60</v>
      </c>
      <c r="AE273" s="2" t="s">
        <v>60</v>
      </c>
      <c r="AF273" s="3" t="s">
        <v>1310</v>
      </c>
      <c r="AG273" s="7" t="s">
        <v>60</v>
      </c>
      <c r="AH273" s="7" t="s">
        <v>60</v>
      </c>
      <c r="AI273" s="7" t="s">
        <v>60</v>
      </c>
      <c r="AJ273" s="7" t="s">
        <v>60</v>
      </c>
      <c r="AK273" s="7" t="s">
        <v>60</v>
      </c>
      <c r="AL273" s="25" t="s">
        <v>1904</v>
      </c>
      <c r="AM273" s="25" t="s">
        <v>58</v>
      </c>
      <c r="AN273" s="25" t="s">
        <v>59</v>
      </c>
      <c r="AO273" s="25" t="s">
        <v>60</v>
      </c>
      <c r="AP273" s="19" t="s">
        <v>1443</v>
      </c>
      <c r="AQ273" s="19" t="s">
        <v>1869</v>
      </c>
      <c r="AR273" s="19" t="s">
        <v>60</v>
      </c>
      <c r="AS273" s="19" t="s">
        <v>2360</v>
      </c>
      <c r="AT273" s="19" t="s">
        <v>2328</v>
      </c>
      <c r="AU273" s="19" t="s">
        <v>2130</v>
      </c>
      <c r="AV273" s="19">
        <v>9999934588</v>
      </c>
      <c r="AW273" s="20">
        <v>46126</v>
      </c>
      <c r="AX273" s="19" t="s">
        <v>1990</v>
      </c>
      <c r="AY273" s="27" t="s">
        <v>1567</v>
      </c>
      <c r="AZ273" s="27" t="s">
        <v>968</v>
      </c>
      <c r="BA273" s="19" t="s">
        <v>60</v>
      </c>
      <c r="BB273" s="19" t="s">
        <v>2588</v>
      </c>
      <c r="BC273" s="19" t="s">
        <v>2538</v>
      </c>
      <c r="BD273" s="75" t="s">
        <v>1310</v>
      </c>
      <c r="BE273" s="100" t="s">
        <v>3866</v>
      </c>
      <c r="BF273" s="100" t="s">
        <v>4313</v>
      </c>
      <c r="BG273" s="100"/>
    </row>
    <row r="274" spans="1:59" s="10" customFormat="1" ht="13.5" x14ac:dyDescent="0.25">
      <c r="A274" s="59">
        <v>257</v>
      </c>
      <c r="B274" s="15" t="s">
        <v>60</v>
      </c>
      <c r="C274" s="12" t="s">
        <v>60</v>
      </c>
      <c r="D274" s="11" t="s">
        <v>40</v>
      </c>
      <c r="E274" s="11" t="s">
        <v>199</v>
      </c>
      <c r="F274" s="11" t="s">
        <v>214</v>
      </c>
      <c r="G274" s="13" t="s">
        <v>1417</v>
      </c>
      <c r="H274" s="11" t="s">
        <v>1353</v>
      </c>
      <c r="I274" s="3" t="s">
        <v>60</v>
      </c>
      <c r="J274" s="3" t="s">
        <v>60</v>
      </c>
      <c r="K274" s="11" t="s">
        <v>1486</v>
      </c>
      <c r="L274" s="4" t="s">
        <v>60</v>
      </c>
      <c r="M274" s="4" t="s">
        <v>60</v>
      </c>
      <c r="N274" s="4" t="s">
        <v>60</v>
      </c>
      <c r="O274" s="4" t="s">
        <v>60</v>
      </c>
      <c r="P274" s="4" t="s">
        <v>60</v>
      </c>
      <c r="Q274" s="4" t="s">
        <v>60</v>
      </c>
      <c r="R274" s="4" t="s">
        <v>60</v>
      </c>
      <c r="S274" s="4" t="s">
        <v>60</v>
      </c>
      <c r="T274" s="4" t="s">
        <v>60</v>
      </c>
      <c r="U274" s="4" t="s">
        <v>60</v>
      </c>
      <c r="V274" s="4" t="s">
        <v>60</v>
      </c>
      <c r="W274" s="4" t="s">
        <v>60</v>
      </c>
      <c r="X274" s="4" t="s">
        <v>60</v>
      </c>
      <c r="Y274" s="4" t="s">
        <v>60</v>
      </c>
      <c r="Z274" s="4" t="s">
        <v>60</v>
      </c>
      <c r="AA274" s="4" t="s">
        <v>60</v>
      </c>
      <c r="AB274" s="4" t="s">
        <v>60</v>
      </c>
      <c r="AC274" s="4" t="s">
        <v>60</v>
      </c>
      <c r="AD274" s="4" t="s">
        <v>60</v>
      </c>
      <c r="AE274" s="2" t="s">
        <v>60</v>
      </c>
      <c r="AF274" s="3" t="s">
        <v>1353</v>
      </c>
      <c r="AG274" s="7" t="s">
        <v>60</v>
      </c>
      <c r="AH274" s="7" t="s">
        <v>60</v>
      </c>
      <c r="AI274" s="7" t="s">
        <v>60</v>
      </c>
      <c r="AJ274" s="7" t="s">
        <v>60</v>
      </c>
      <c r="AK274" s="7" t="s">
        <v>60</v>
      </c>
      <c r="AL274" s="25" t="s">
        <v>1904</v>
      </c>
      <c r="AM274" s="25" t="s">
        <v>58</v>
      </c>
      <c r="AN274" s="25" t="s">
        <v>59</v>
      </c>
      <c r="AO274" s="25" t="s">
        <v>60</v>
      </c>
      <c r="AP274" s="19" t="s">
        <v>1486</v>
      </c>
      <c r="AQ274" s="19" t="s">
        <v>1869</v>
      </c>
      <c r="AR274" s="19" t="s">
        <v>60</v>
      </c>
      <c r="AS274" s="19" t="s">
        <v>2360</v>
      </c>
      <c r="AT274" s="19" t="s">
        <v>2192</v>
      </c>
      <c r="AU274" s="19" t="s">
        <v>2193</v>
      </c>
      <c r="AV274" s="19">
        <v>9999934588</v>
      </c>
      <c r="AW274" s="20">
        <v>46123</v>
      </c>
      <c r="AX274" s="19" t="s">
        <v>1990</v>
      </c>
      <c r="AY274" s="27" t="s">
        <v>214</v>
      </c>
      <c r="AZ274" s="27" t="s">
        <v>199</v>
      </c>
      <c r="BA274" s="19" t="s">
        <v>60</v>
      </c>
      <c r="BB274" s="19" t="s">
        <v>2637</v>
      </c>
      <c r="BC274" s="19" t="s">
        <v>1042</v>
      </c>
      <c r="BD274" s="75" t="s">
        <v>1353</v>
      </c>
      <c r="BE274" s="100" t="s">
        <v>3934</v>
      </c>
      <c r="BF274" s="100" t="s">
        <v>4314</v>
      </c>
      <c r="BG274" s="100"/>
    </row>
    <row r="275" spans="1:59" s="10" customFormat="1" ht="13.5" x14ac:dyDescent="0.25">
      <c r="A275" s="59">
        <v>210</v>
      </c>
      <c r="B275" s="15" t="s">
        <v>60</v>
      </c>
      <c r="C275" s="12" t="s">
        <v>60</v>
      </c>
      <c r="D275" s="11" t="s">
        <v>40</v>
      </c>
      <c r="E275" s="11" t="s">
        <v>96</v>
      </c>
      <c r="F275" s="11" t="s">
        <v>1595</v>
      </c>
      <c r="G275" s="13" t="s">
        <v>1417</v>
      </c>
      <c r="H275" s="11" t="s">
        <v>1370</v>
      </c>
      <c r="I275" s="3" t="s">
        <v>60</v>
      </c>
      <c r="J275" s="3" t="s">
        <v>60</v>
      </c>
      <c r="K275" s="11" t="s">
        <v>1504</v>
      </c>
      <c r="L275" s="4" t="s">
        <v>60</v>
      </c>
      <c r="M275" s="4" t="s">
        <v>60</v>
      </c>
      <c r="N275" s="4" t="s">
        <v>60</v>
      </c>
      <c r="O275" s="4" t="s">
        <v>60</v>
      </c>
      <c r="P275" s="4" t="s">
        <v>60</v>
      </c>
      <c r="Q275" s="4" t="s">
        <v>60</v>
      </c>
      <c r="R275" s="4" t="s">
        <v>60</v>
      </c>
      <c r="S275" s="4" t="s">
        <v>60</v>
      </c>
      <c r="T275" s="4" t="s">
        <v>60</v>
      </c>
      <c r="U275" s="4" t="s">
        <v>60</v>
      </c>
      <c r="V275" s="4" t="s">
        <v>60</v>
      </c>
      <c r="W275" s="4" t="s">
        <v>60</v>
      </c>
      <c r="X275" s="4" t="s">
        <v>60</v>
      </c>
      <c r="Y275" s="4" t="s">
        <v>60</v>
      </c>
      <c r="Z275" s="4" t="s">
        <v>60</v>
      </c>
      <c r="AA275" s="4" t="s">
        <v>60</v>
      </c>
      <c r="AB275" s="4" t="s">
        <v>60</v>
      </c>
      <c r="AC275" s="4" t="s">
        <v>60</v>
      </c>
      <c r="AD275" s="4" t="s">
        <v>60</v>
      </c>
      <c r="AE275" s="2" t="s">
        <v>60</v>
      </c>
      <c r="AF275" s="3" t="s">
        <v>1370</v>
      </c>
      <c r="AG275" s="7" t="s">
        <v>60</v>
      </c>
      <c r="AH275" s="7" t="s">
        <v>60</v>
      </c>
      <c r="AI275" s="7" t="s">
        <v>60</v>
      </c>
      <c r="AJ275" s="7" t="s">
        <v>60</v>
      </c>
      <c r="AK275" s="7" t="s">
        <v>60</v>
      </c>
      <c r="AL275" s="25" t="s">
        <v>1904</v>
      </c>
      <c r="AM275" s="25" t="s">
        <v>58</v>
      </c>
      <c r="AN275" s="25" t="s">
        <v>59</v>
      </c>
      <c r="AO275" s="25" t="s">
        <v>60</v>
      </c>
      <c r="AP275" s="19" t="s">
        <v>1504</v>
      </c>
      <c r="AQ275" s="19" t="s">
        <v>1869</v>
      </c>
      <c r="AR275" s="19" t="s">
        <v>60</v>
      </c>
      <c r="AS275" s="19" t="s">
        <v>2360</v>
      </c>
      <c r="AT275" s="19" t="s">
        <v>2214</v>
      </c>
      <c r="AU275" s="19" t="s">
        <v>2215</v>
      </c>
      <c r="AV275" s="19">
        <v>9999934588</v>
      </c>
      <c r="AW275" s="20">
        <v>46122</v>
      </c>
      <c r="AX275" s="19" t="s">
        <v>1990</v>
      </c>
      <c r="AY275" s="27" t="s">
        <v>1595</v>
      </c>
      <c r="AZ275" s="27" t="s">
        <v>96</v>
      </c>
      <c r="BA275" s="19" t="s">
        <v>60</v>
      </c>
      <c r="BB275" s="19" t="s">
        <v>2589</v>
      </c>
      <c r="BC275" s="19" t="s">
        <v>2533</v>
      </c>
      <c r="BD275" s="75" t="s">
        <v>1370</v>
      </c>
      <c r="BE275" s="100" t="s">
        <v>3887</v>
      </c>
      <c r="BF275" s="100" t="s">
        <v>4315</v>
      </c>
      <c r="BG275" s="100"/>
    </row>
    <row r="276" spans="1:59" s="10" customFormat="1" ht="13.5" x14ac:dyDescent="0.25">
      <c r="A276" s="59">
        <v>247</v>
      </c>
      <c r="B276" s="15" t="s">
        <v>60</v>
      </c>
      <c r="C276" s="12" t="s">
        <v>60</v>
      </c>
      <c r="D276" s="11" t="s">
        <v>40</v>
      </c>
      <c r="E276" s="11" t="s">
        <v>199</v>
      </c>
      <c r="F276" s="11" t="s">
        <v>1561</v>
      </c>
      <c r="G276" s="13" t="s">
        <v>1417</v>
      </c>
      <c r="H276" s="11" t="s">
        <v>1304</v>
      </c>
      <c r="I276" s="3" t="s">
        <v>60</v>
      </c>
      <c r="J276" s="3" t="s">
        <v>60</v>
      </c>
      <c r="K276" s="11" t="s">
        <v>1437</v>
      </c>
      <c r="L276" s="4" t="s">
        <v>60</v>
      </c>
      <c r="M276" s="4" t="s">
        <v>60</v>
      </c>
      <c r="N276" s="4" t="s">
        <v>60</v>
      </c>
      <c r="O276" s="4" t="s">
        <v>60</v>
      </c>
      <c r="P276" s="4" t="s">
        <v>60</v>
      </c>
      <c r="Q276" s="4" t="s">
        <v>60</v>
      </c>
      <c r="R276" s="4" t="s">
        <v>60</v>
      </c>
      <c r="S276" s="4" t="s">
        <v>60</v>
      </c>
      <c r="T276" s="4" t="s">
        <v>60</v>
      </c>
      <c r="U276" s="4" t="s">
        <v>60</v>
      </c>
      <c r="V276" s="4" t="s">
        <v>60</v>
      </c>
      <c r="W276" s="4" t="s">
        <v>60</v>
      </c>
      <c r="X276" s="4" t="s">
        <v>60</v>
      </c>
      <c r="Y276" s="4" t="s">
        <v>60</v>
      </c>
      <c r="Z276" s="4" t="s">
        <v>60</v>
      </c>
      <c r="AA276" s="4" t="s">
        <v>60</v>
      </c>
      <c r="AB276" s="4" t="s">
        <v>60</v>
      </c>
      <c r="AC276" s="4" t="s">
        <v>60</v>
      </c>
      <c r="AD276" s="4" t="s">
        <v>60</v>
      </c>
      <c r="AE276" s="2" t="s">
        <v>60</v>
      </c>
      <c r="AF276" s="3" t="s">
        <v>1304</v>
      </c>
      <c r="AG276" s="7" t="s">
        <v>60</v>
      </c>
      <c r="AH276" s="7" t="s">
        <v>60</v>
      </c>
      <c r="AI276" s="7" t="s">
        <v>60</v>
      </c>
      <c r="AJ276" s="7" t="s">
        <v>60</v>
      </c>
      <c r="AK276" s="7" t="s">
        <v>60</v>
      </c>
      <c r="AL276" s="25" t="s">
        <v>1904</v>
      </c>
      <c r="AM276" s="25" t="s">
        <v>58</v>
      </c>
      <c r="AN276" s="25" t="s">
        <v>59</v>
      </c>
      <c r="AO276" s="25" t="s">
        <v>60</v>
      </c>
      <c r="AP276" s="19" t="s">
        <v>1437</v>
      </c>
      <c r="AQ276" s="19" t="s">
        <v>1869</v>
      </c>
      <c r="AR276" s="19" t="s">
        <v>60</v>
      </c>
      <c r="AS276" s="19" t="s">
        <v>2360</v>
      </c>
      <c r="AT276" s="19" t="s">
        <v>2122</v>
      </c>
      <c r="AU276" s="19" t="s">
        <v>2123</v>
      </c>
      <c r="AV276" s="19">
        <v>9999934588</v>
      </c>
      <c r="AW276" s="20">
        <v>46122</v>
      </c>
      <c r="AX276" s="19" t="s">
        <v>1990</v>
      </c>
      <c r="AY276" s="27" t="s">
        <v>1561</v>
      </c>
      <c r="AZ276" s="27" t="s">
        <v>199</v>
      </c>
      <c r="BA276" s="19" t="s">
        <v>60</v>
      </c>
      <c r="BB276" s="19" t="s">
        <v>2627</v>
      </c>
      <c r="BC276" s="19" t="s">
        <v>2552</v>
      </c>
      <c r="BD276" s="75" t="s">
        <v>1304</v>
      </c>
      <c r="BE276" s="100" t="s">
        <v>3924</v>
      </c>
      <c r="BF276" s="100" t="s">
        <v>4316</v>
      </c>
      <c r="BG276" s="100"/>
    </row>
    <row r="277" spans="1:59" s="10" customFormat="1" ht="13.5" x14ac:dyDescent="0.25">
      <c r="A277" s="59">
        <v>313</v>
      </c>
      <c r="B277" s="15" t="s">
        <v>60</v>
      </c>
      <c r="C277" s="12" t="s">
        <v>60</v>
      </c>
      <c r="D277" s="11" t="s">
        <v>103</v>
      </c>
      <c r="E277" s="11" t="s">
        <v>104</v>
      </c>
      <c r="F277" s="11" t="s">
        <v>1588</v>
      </c>
      <c r="G277" s="13" t="s">
        <v>1417</v>
      </c>
      <c r="H277" s="11" t="s">
        <v>1348</v>
      </c>
      <c r="I277" s="3" t="s">
        <v>60</v>
      </c>
      <c r="J277" s="3" t="s">
        <v>60</v>
      </c>
      <c r="K277" s="11" t="s">
        <v>1481</v>
      </c>
      <c r="L277" s="4" t="s">
        <v>60</v>
      </c>
      <c r="M277" s="4" t="s">
        <v>60</v>
      </c>
      <c r="N277" s="4" t="s">
        <v>60</v>
      </c>
      <c r="O277" s="4" t="s">
        <v>60</v>
      </c>
      <c r="P277" s="4" t="s">
        <v>60</v>
      </c>
      <c r="Q277" s="4" t="s">
        <v>60</v>
      </c>
      <c r="R277" s="4" t="s">
        <v>60</v>
      </c>
      <c r="S277" s="4" t="s">
        <v>60</v>
      </c>
      <c r="T277" s="4" t="s">
        <v>60</v>
      </c>
      <c r="U277" s="4" t="s">
        <v>60</v>
      </c>
      <c r="V277" s="4" t="s">
        <v>60</v>
      </c>
      <c r="W277" s="4" t="s">
        <v>60</v>
      </c>
      <c r="X277" s="4" t="s">
        <v>60</v>
      </c>
      <c r="Y277" s="4" t="s">
        <v>60</v>
      </c>
      <c r="Z277" s="4" t="s">
        <v>60</v>
      </c>
      <c r="AA277" s="4" t="s">
        <v>60</v>
      </c>
      <c r="AB277" s="4" t="s">
        <v>60</v>
      </c>
      <c r="AC277" s="4" t="s">
        <v>60</v>
      </c>
      <c r="AD277" s="4" t="s">
        <v>60</v>
      </c>
      <c r="AE277" s="2" t="s">
        <v>60</v>
      </c>
      <c r="AF277" s="3" t="s">
        <v>1348</v>
      </c>
      <c r="AG277" s="7" t="s">
        <v>60</v>
      </c>
      <c r="AH277" s="7" t="s">
        <v>60</v>
      </c>
      <c r="AI277" s="7" t="s">
        <v>60</v>
      </c>
      <c r="AJ277" s="7" t="s">
        <v>60</v>
      </c>
      <c r="AK277" s="7" t="s">
        <v>60</v>
      </c>
      <c r="AL277" s="25" t="s">
        <v>1904</v>
      </c>
      <c r="AM277" s="25" t="s">
        <v>58</v>
      </c>
      <c r="AN277" s="25" t="s">
        <v>59</v>
      </c>
      <c r="AO277" s="25" t="s">
        <v>60</v>
      </c>
      <c r="AP277" s="19" t="s">
        <v>1481</v>
      </c>
      <c r="AQ277" s="19" t="s">
        <v>1869</v>
      </c>
      <c r="AR277" s="19" t="s">
        <v>60</v>
      </c>
      <c r="AS277" s="19" t="s">
        <v>2360</v>
      </c>
      <c r="AT277" s="19" t="s">
        <v>2186</v>
      </c>
      <c r="AU277" s="19" t="s">
        <v>2124</v>
      </c>
      <c r="AV277" s="19">
        <v>9999934588</v>
      </c>
      <c r="AW277" s="20">
        <v>46122</v>
      </c>
      <c r="AX277" s="19" t="s">
        <v>1990</v>
      </c>
      <c r="AY277" s="27" t="s">
        <v>1588</v>
      </c>
      <c r="AZ277" s="27" t="s">
        <v>104</v>
      </c>
      <c r="BA277" s="19" t="s">
        <v>60</v>
      </c>
      <c r="BB277" s="19" t="s">
        <v>2570</v>
      </c>
      <c r="BC277" s="19" t="s">
        <v>2797</v>
      </c>
      <c r="BD277" s="75" t="s">
        <v>1348</v>
      </c>
      <c r="BE277" s="100" t="s">
        <v>3990</v>
      </c>
      <c r="BF277" s="100" t="s">
        <v>4317</v>
      </c>
      <c r="BG277" s="100"/>
    </row>
    <row r="278" spans="1:59" s="10" customFormat="1" ht="13.5" x14ac:dyDescent="0.25">
      <c r="A278" s="59">
        <v>186</v>
      </c>
      <c r="B278" s="15" t="s">
        <v>60</v>
      </c>
      <c r="C278" s="12" t="s">
        <v>60</v>
      </c>
      <c r="D278" s="11" t="s">
        <v>103</v>
      </c>
      <c r="E278" s="11" t="s">
        <v>767</v>
      </c>
      <c r="F278" s="11" t="s">
        <v>768</v>
      </c>
      <c r="G278" s="13" t="s">
        <v>1417</v>
      </c>
      <c r="H278" s="11" t="s">
        <v>1343</v>
      </c>
      <c r="I278" s="3" t="s">
        <v>60</v>
      </c>
      <c r="J278" s="3" t="s">
        <v>60</v>
      </c>
      <c r="K278" s="11" t="s">
        <v>1476</v>
      </c>
      <c r="L278" s="4" t="s">
        <v>60</v>
      </c>
      <c r="M278" s="4" t="s">
        <v>60</v>
      </c>
      <c r="N278" s="4" t="s">
        <v>60</v>
      </c>
      <c r="O278" s="4" t="s">
        <v>60</v>
      </c>
      <c r="P278" s="4" t="s">
        <v>60</v>
      </c>
      <c r="Q278" s="4" t="s">
        <v>60</v>
      </c>
      <c r="R278" s="4" t="s">
        <v>60</v>
      </c>
      <c r="S278" s="4" t="s">
        <v>60</v>
      </c>
      <c r="T278" s="4" t="s">
        <v>60</v>
      </c>
      <c r="U278" s="4" t="s">
        <v>60</v>
      </c>
      <c r="V278" s="4" t="s">
        <v>60</v>
      </c>
      <c r="W278" s="4" t="s">
        <v>60</v>
      </c>
      <c r="X278" s="4" t="s">
        <v>60</v>
      </c>
      <c r="Y278" s="4" t="s">
        <v>60</v>
      </c>
      <c r="Z278" s="4" t="s">
        <v>60</v>
      </c>
      <c r="AA278" s="4" t="s">
        <v>60</v>
      </c>
      <c r="AB278" s="4" t="s">
        <v>60</v>
      </c>
      <c r="AC278" s="4" t="s">
        <v>60</v>
      </c>
      <c r="AD278" s="4" t="s">
        <v>60</v>
      </c>
      <c r="AE278" s="2" t="s">
        <v>60</v>
      </c>
      <c r="AF278" s="3" t="s">
        <v>1343</v>
      </c>
      <c r="AG278" s="7" t="s">
        <v>60</v>
      </c>
      <c r="AH278" s="7" t="s">
        <v>60</v>
      </c>
      <c r="AI278" s="7" t="s">
        <v>60</v>
      </c>
      <c r="AJ278" s="7" t="s">
        <v>60</v>
      </c>
      <c r="AK278" s="7" t="s">
        <v>60</v>
      </c>
      <c r="AL278" s="25" t="s">
        <v>1904</v>
      </c>
      <c r="AM278" s="25" t="s">
        <v>58</v>
      </c>
      <c r="AN278" s="25" t="s">
        <v>59</v>
      </c>
      <c r="AO278" s="25" t="s">
        <v>60</v>
      </c>
      <c r="AP278" s="19" t="s">
        <v>1476</v>
      </c>
      <c r="AQ278" s="19" t="s">
        <v>1869</v>
      </c>
      <c r="AR278" s="19" t="s">
        <v>60</v>
      </c>
      <c r="AS278" s="19" t="s">
        <v>2360</v>
      </c>
      <c r="AT278" s="19" t="s">
        <v>2178</v>
      </c>
      <c r="AU278" s="19" t="s">
        <v>2177</v>
      </c>
      <c r="AV278" s="19">
        <v>9999934588</v>
      </c>
      <c r="AW278" s="20">
        <v>46122</v>
      </c>
      <c r="AX278" s="19" t="s">
        <v>1990</v>
      </c>
      <c r="AY278" s="27" t="s">
        <v>768</v>
      </c>
      <c r="AZ278" s="27" t="s">
        <v>767</v>
      </c>
      <c r="BA278" s="19" t="s">
        <v>60</v>
      </c>
      <c r="BB278" s="19" t="s">
        <v>2725</v>
      </c>
      <c r="BC278" s="19" t="s">
        <v>322</v>
      </c>
      <c r="BD278" s="75" t="s">
        <v>1343</v>
      </c>
      <c r="BE278" s="100" t="s">
        <v>3863</v>
      </c>
      <c r="BF278" s="100" t="s">
        <v>4318</v>
      </c>
      <c r="BG278" s="100"/>
    </row>
    <row r="279" spans="1:59" s="10" customFormat="1" ht="13.5" x14ac:dyDescent="0.25">
      <c r="A279" s="59">
        <v>205</v>
      </c>
      <c r="B279" s="15" t="s">
        <v>60</v>
      </c>
      <c r="C279" s="12" t="s">
        <v>60</v>
      </c>
      <c r="D279" s="11" t="s">
        <v>40</v>
      </c>
      <c r="E279" s="11" t="s">
        <v>96</v>
      </c>
      <c r="F279" s="11" t="s">
        <v>1580</v>
      </c>
      <c r="G279" s="13" t="s">
        <v>1417</v>
      </c>
      <c r="H279" s="11" t="s">
        <v>1334</v>
      </c>
      <c r="I279" s="3" t="s">
        <v>60</v>
      </c>
      <c r="J279" s="3" t="s">
        <v>60</v>
      </c>
      <c r="K279" s="11" t="s">
        <v>1467</v>
      </c>
      <c r="L279" s="4" t="s">
        <v>60</v>
      </c>
      <c r="M279" s="4" t="s">
        <v>60</v>
      </c>
      <c r="N279" s="4" t="s">
        <v>60</v>
      </c>
      <c r="O279" s="4" t="s">
        <v>60</v>
      </c>
      <c r="P279" s="4" t="s">
        <v>60</v>
      </c>
      <c r="Q279" s="4" t="s">
        <v>60</v>
      </c>
      <c r="R279" s="4" t="s">
        <v>60</v>
      </c>
      <c r="S279" s="4" t="s">
        <v>60</v>
      </c>
      <c r="T279" s="4" t="s">
        <v>60</v>
      </c>
      <c r="U279" s="4" t="s">
        <v>60</v>
      </c>
      <c r="V279" s="4" t="s">
        <v>60</v>
      </c>
      <c r="W279" s="4" t="s">
        <v>60</v>
      </c>
      <c r="X279" s="4" t="s">
        <v>60</v>
      </c>
      <c r="Y279" s="4" t="s">
        <v>60</v>
      </c>
      <c r="Z279" s="4" t="s">
        <v>60</v>
      </c>
      <c r="AA279" s="4" t="s">
        <v>60</v>
      </c>
      <c r="AB279" s="4" t="s">
        <v>60</v>
      </c>
      <c r="AC279" s="4" t="s">
        <v>60</v>
      </c>
      <c r="AD279" s="4" t="s">
        <v>60</v>
      </c>
      <c r="AE279" s="2" t="s">
        <v>60</v>
      </c>
      <c r="AF279" s="3" t="s">
        <v>1334</v>
      </c>
      <c r="AG279" s="7" t="s">
        <v>60</v>
      </c>
      <c r="AH279" s="7" t="s">
        <v>60</v>
      </c>
      <c r="AI279" s="7" t="s">
        <v>60</v>
      </c>
      <c r="AJ279" s="7" t="s">
        <v>60</v>
      </c>
      <c r="AK279" s="7" t="s">
        <v>60</v>
      </c>
      <c r="AL279" s="25" t="s">
        <v>1904</v>
      </c>
      <c r="AM279" s="25" t="s">
        <v>58</v>
      </c>
      <c r="AN279" s="25" t="s">
        <v>59</v>
      </c>
      <c r="AO279" s="25" t="s">
        <v>60</v>
      </c>
      <c r="AP279" s="19" t="s">
        <v>1467</v>
      </c>
      <c r="AQ279" s="19" t="s">
        <v>1869</v>
      </c>
      <c r="AR279" s="19" t="s">
        <v>60</v>
      </c>
      <c r="AS279" s="19" t="s">
        <v>2360</v>
      </c>
      <c r="AT279" s="19" t="s">
        <v>2167</v>
      </c>
      <c r="AU279" s="19" t="s">
        <v>2168</v>
      </c>
      <c r="AV279" s="19">
        <v>9999934588</v>
      </c>
      <c r="AW279" s="20">
        <v>46129</v>
      </c>
      <c r="AX279" s="19" t="s">
        <v>1990</v>
      </c>
      <c r="AY279" s="27" t="s">
        <v>1580</v>
      </c>
      <c r="AZ279" s="27" t="s">
        <v>96</v>
      </c>
      <c r="BA279" s="19" t="s">
        <v>60</v>
      </c>
      <c r="BB279" s="19" t="s">
        <v>2567</v>
      </c>
      <c r="BC279" s="19" t="s">
        <v>143</v>
      </c>
      <c r="BD279" s="75" t="s">
        <v>1334</v>
      </c>
      <c r="BE279" s="100" t="s">
        <v>3882</v>
      </c>
      <c r="BF279" s="100" t="s">
        <v>4319</v>
      </c>
      <c r="BG279" s="100"/>
    </row>
    <row r="280" spans="1:59" s="10" customFormat="1" ht="13.5" x14ac:dyDescent="0.25">
      <c r="A280" s="59">
        <v>203</v>
      </c>
      <c r="B280" s="15" t="s">
        <v>60</v>
      </c>
      <c r="C280" s="12" t="s">
        <v>60</v>
      </c>
      <c r="D280" s="11" t="s">
        <v>40</v>
      </c>
      <c r="E280" s="11" t="s">
        <v>129</v>
      </c>
      <c r="F280" s="11" t="s">
        <v>129</v>
      </c>
      <c r="G280" s="13" t="s">
        <v>1417</v>
      </c>
      <c r="H280" s="11" t="s">
        <v>1392</v>
      </c>
      <c r="I280" s="3" t="s">
        <v>60</v>
      </c>
      <c r="J280" s="3" t="s">
        <v>60</v>
      </c>
      <c r="K280" s="11" t="s">
        <v>1526</v>
      </c>
      <c r="L280" s="4" t="s">
        <v>60</v>
      </c>
      <c r="M280" s="4" t="s">
        <v>60</v>
      </c>
      <c r="N280" s="4" t="s">
        <v>60</v>
      </c>
      <c r="O280" s="4" t="s">
        <v>60</v>
      </c>
      <c r="P280" s="4" t="s">
        <v>60</v>
      </c>
      <c r="Q280" s="4" t="s">
        <v>60</v>
      </c>
      <c r="R280" s="4" t="s">
        <v>60</v>
      </c>
      <c r="S280" s="4" t="s">
        <v>60</v>
      </c>
      <c r="T280" s="4" t="s">
        <v>60</v>
      </c>
      <c r="U280" s="4" t="s">
        <v>60</v>
      </c>
      <c r="V280" s="4" t="s">
        <v>60</v>
      </c>
      <c r="W280" s="4" t="s">
        <v>60</v>
      </c>
      <c r="X280" s="4" t="s">
        <v>60</v>
      </c>
      <c r="Y280" s="4" t="s">
        <v>60</v>
      </c>
      <c r="Z280" s="4" t="s">
        <v>60</v>
      </c>
      <c r="AA280" s="4" t="s">
        <v>60</v>
      </c>
      <c r="AB280" s="4" t="s">
        <v>60</v>
      </c>
      <c r="AC280" s="4" t="s">
        <v>60</v>
      </c>
      <c r="AD280" s="4" t="s">
        <v>60</v>
      </c>
      <c r="AE280" s="2" t="s">
        <v>60</v>
      </c>
      <c r="AF280" s="3" t="s">
        <v>1392</v>
      </c>
      <c r="AG280" s="7" t="s">
        <v>60</v>
      </c>
      <c r="AH280" s="7" t="s">
        <v>60</v>
      </c>
      <c r="AI280" s="7" t="s">
        <v>60</v>
      </c>
      <c r="AJ280" s="7" t="s">
        <v>60</v>
      </c>
      <c r="AK280" s="7" t="s">
        <v>60</v>
      </c>
      <c r="AL280" s="25" t="s">
        <v>1904</v>
      </c>
      <c r="AM280" s="25" t="s">
        <v>58</v>
      </c>
      <c r="AN280" s="25" t="s">
        <v>59</v>
      </c>
      <c r="AO280" s="25" t="s">
        <v>60</v>
      </c>
      <c r="AP280" s="19" t="s">
        <v>1526</v>
      </c>
      <c r="AQ280" s="19" t="s">
        <v>1869</v>
      </c>
      <c r="AR280" s="19" t="s">
        <v>60</v>
      </c>
      <c r="AS280" s="19" t="s">
        <v>2360</v>
      </c>
      <c r="AT280" s="19" t="s">
        <v>2238</v>
      </c>
      <c r="AU280" s="19" t="s">
        <v>2157</v>
      </c>
      <c r="AV280" s="19">
        <v>9999934588</v>
      </c>
      <c r="AW280" s="20">
        <v>46125</v>
      </c>
      <c r="AX280" s="19" t="s">
        <v>1990</v>
      </c>
      <c r="AY280" s="27" t="s">
        <v>129</v>
      </c>
      <c r="AZ280" s="27" t="s">
        <v>129</v>
      </c>
      <c r="BA280" s="19" t="s">
        <v>60</v>
      </c>
      <c r="BB280" s="19" t="s">
        <v>2567</v>
      </c>
      <c r="BC280" s="19" t="s">
        <v>143</v>
      </c>
      <c r="BD280" s="75" t="s">
        <v>1392</v>
      </c>
      <c r="BE280" s="100" t="s">
        <v>3880</v>
      </c>
      <c r="BF280" s="100" t="s">
        <v>4320</v>
      </c>
      <c r="BG280" s="100"/>
    </row>
    <row r="281" spans="1:59" s="10" customFormat="1" ht="13.5" x14ac:dyDescent="0.25">
      <c r="A281" s="59">
        <v>187</v>
      </c>
      <c r="B281" s="15" t="s">
        <v>60</v>
      </c>
      <c r="C281" s="12" t="s">
        <v>60</v>
      </c>
      <c r="D281" s="11" t="s">
        <v>103</v>
      </c>
      <c r="E281" s="11" t="s">
        <v>767</v>
      </c>
      <c r="F281" s="11" t="s">
        <v>768</v>
      </c>
      <c r="G281" s="13" t="s">
        <v>1417</v>
      </c>
      <c r="H281" s="11" t="s">
        <v>1342</v>
      </c>
      <c r="I281" s="3" t="s">
        <v>60</v>
      </c>
      <c r="J281" s="3" t="s">
        <v>60</v>
      </c>
      <c r="K281" s="11" t="s">
        <v>1475</v>
      </c>
      <c r="L281" s="4" t="s">
        <v>60</v>
      </c>
      <c r="M281" s="4" t="s">
        <v>60</v>
      </c>
      <c r="N281" s="4" t="s">
        <v>60</v>
      </c>
      <c r="O281" s="4" t="s">
        <v>60</v>
      </c>
      <c r="P281" s="4" t="s">
        <v>60</v>
      </c>
      <c r="Q281" s="4" t="s">
        <v>60</v>
      </c>
      <c r="R281" s="4" t="s">
        <v>60</v>
      </c>
      <c r="S281" s="4" t="s">
        <v>60</v>
      </c>
      <c r="T281" s="4" t="s">
        <v>60</v>
      </c>
      <c r="U281" s="4" t="s">
        <v>60</v>
      </c>
      <c r="V281" s="4" t="s">
        <v>60</v>
      </c>
      <c r="W281" s="4" t="s">
        <v>60</v>
      </c>
      <c r="X281" s="4" t="s">
        <v>60</v>
      </c>
      <c r="Y281" s="4" t="s">
        <v>60</v>
      </c>
      <c r="Z281" s="4" t="s">
        <v>60</v>
      </c>
      <c r="AA281" s="4" t="s">
        <v>60</v>
      </c>
      <c r="AB281" s="4" t="s">
        <v>60</v>
      </c>
      <c r="AC281" s="4" t="s">
        <v>60</v>
      </c>
      <c r="AD281" s="4" t="s">
        <v>60</v>
      </c>
      <c r="AE281" s="2" t="s">
        <v>60</v>
      </c>
      <c r="AF281" s="3" t="s">
        <v>1342</v>
      </c>
      <c r="AG281" s="7" t="s">
        <v>60</v>
      </c>
      <c r="AH281" s="7" t="s">
        <v>60</v>
      </c>
      <c r="AI281" s="7" t="s">
        <v>60</v>
      </c>
      <c r="AJ281" s="7" t="s">
        <v>60</v>
      </c>
      <c r="AK281" s="7" t="s">
        <v>60</v>
      </c>
      <c r="AL281" s="25" t="s">
        <v>1904</v>
      </c>
      <c r="AM281" s="25" t="s">
        <v>58</v>
      </c>
      <c r="AN281" s="25" t="s">
        <v>59</v>
      </c>
      <c r="AO281" s="25" t="s">
        <v>60</v>
      </c>
      <c r="AP281" s="19" t="s">
        <v>1475</v>
      </c>
      <c r="AQ281" s="19" t="s">
        <v>1869</v>
      </c>
      <c r="AR281" s="19" t="s">
        <v>60</v>
      </c>
      <c r="AS281" s="19" t="s">
        <v>2360</v>
      </c>
      <c r="AT281" s="19" t="s">
        <v>2176</v>
      </c>
      <c r="AU281" s="19" t="s">
        <v>2177</v>
      </c>
      <c r="AV281" s="19">
        <v>9999934588</v>
      </c>
      <c r="AW281" s="20">
        <v>46122</v>
      </c>
      <c r="AX281" s="19" t="s">
        <v>1990</v>
      </c>
      <c r="AY281" s="27" t="s">
        <v>768</v>
      </c>
      <c r="AZ281" s="27" t="s">
        <v>767</v>
      </c>
      <c r="BA281" s="19" t="s">
        <v>60</v>
      </c>
      <c r="BB281" s="19" t="s">
        <v>2726</v>
      </c>
      <c r="BC281" s="19" t="s">
        <v>322</v>
      </c>
      <c r="BD281" s="75" t="s">
        <v>1342</v>
      </c>
      <c r="BE281" s="100" t="s">
        <v>3864</v>
      </c>
      <c r="BF281" s="100" t="s">
        <v>4321</v>
      </c>
      <c r="BG281" s="100"/>
    </row>
    <row r="282" spans="1:59" s="10" customFormat="1" ht="13.5" x14ac:dyDescent="0.25">
      <c r="A282" s="59">
        <v>222</v>
      </c>
      <c r="B282" s="15" t="s">
        <v>60</v>
      </c>
      <c r="C282" s="12" t="s">
        <v>60</v>
      </c>
      <c r="D282" s="11" t="s">
        <v>103</v>
      </c>
      <c r="E282" s="11" t="s">
        <v>237</v>
      </c>
      <c r="F282" s="11" t="s">
        <v>1554</v>
      </c>
      <c r="G282" s="13" t="s">
        <v>1417</v>
      </c>
      <c r="H282" s="11" t="s">
        <v>1296</v>
      </c>
      <c r="I282" s="3" t="s">
        <v>60</v>
      </c>
      <c r="J282" s="3" t="s">
        <v>60</v>
      </c>
      <c r="K282" s="11" t="s">
        <v>1429</v>
      </c>
      <c r="L282" s="4" t="s">
        <v>60</v>
      </c>
      <c r="M282" s="4" t="s">
        <v>60</v>
      </c>
      <c r="N282" s="4" t="s">
        <v>60</v>
      </c>
      <c r="O282" s="4" t="s">
        <v>60</v>
      </c>
      <c r="P282" s="4" t="s">
        <v>60</v>
      </c>
      <c r="Q282" s="4" t="s">
        <v>60</v>
      </c>
      <c r="R282" s="4" t="s">
        <v>60</v>
      </c>
      <c r="S282" s="4" t="s">
        <v>60</v>
      </c>
      <c r="T282" s="4" t="s">
        <v>60</v>
      </c>
      <c r="U282" s="4" t="s">
        <v>60</v>
      </c>
      <c r="V282" s="4" t="s">
        <v>60</v>
      </c>
      <c r="W282" s="4" t="s">
        <v>60</v>
      </c>
      <c r="X282" s="4" t="s">
        <v>60</v>
      </c>
      <c r="Y282" s="4" t="s">
        <v>60</v>
      </c>
      <c r="Z282" s="4" t="s">
        <v>60</v>
      </c>
      <c r="AA282" s="4" t="s">
        <v>60</v>
      </c>
      <c r="AB282" s="4" t="s">
        <v>60</v>
      </c>
      <c r="AC282" s="4" t="s">
        <v>60</v>
      </c>
      <c r="AD282" s="4" t="s">
        <v>60</v>
      </c>
      <c r="AE282" s="2" t="s">
        <v>60</v>
      </c>
      <c r="AF282" s="3" t="s">
        <v>1296</v>
      </c>
      <c r="AG282" s="7" t="s">
        <v>60</v>
      </c>
      <c r="AH282" s="7" t="s">
        <v>60</v>
      </c>
      <c r="AI282" s="7" t="s">
        <v>60</v>
      </c>
      <c r="AJ282" s="7" t="s">
        <v>60</v>
      </c>
      <c r="AK282" s="7" t="s">
        <v>60</v>
      </c>
      <c r="AL282" s="25" t="s">
        <v>1904</v>
      </c>
      <c r="AM282" s="25" t="s">
        <v>58</v>
      </c>
      <c r="AN282" s="25" t="s">
        <v>59</v>
      </c>
      <c r="AO282" s="25" t="s">
        <v>60</v>
      </c>
      <c r="AP282" s="19" t="s">
        <v>1429</v>
      </c>
      <c r="AQ282" s="19" t="s">
        <v>1869</v>
      </c>
      <c r="AR282" s="19" t="s">
        <v>60</v>
      </c>
      <c r="AS282" s="19" t="s">
        <v>2360</v>
      </c>
      <c r="AT282" s="19" t="s">
        <v>2111</v>
      </c>
      <c r="AU282" s="19" t="s">
        <v>2112</v>
      </c>
      <c r="AV282" s="19">
        <v>9999934588</v>
      </c>
      <c r="AW282" s="20">
        <v>46130</v>
      </c>
      <c r="AX282" s="19" t="s">
        <v>1990</v>
      </c>
      <c r="AY282" s="27" t="s">
        <v>1554</v>
      </c>
      <c r="AZ282" s="27" t="s">
        <v>237</v>
      </c>
      <c r="BA282" s="19" t="s">
        <v>60</v>
      </c>
      <c r="BB282" s="19" t="s">
        <v>2609</v>
      </c>
      <c r="BC282" s="19" t="s">
        <v>2610</v>
      </c>
      <c r="BD282" s="75" t="s">
        <v>1296</v>
      </c>
      <c r="BE282" s="100" t="s">
        <v>3899</v>
      </c>
      <c r="BF282" s="100" t="s">
        <v>4322</v>
      </c>
      <c r="BG282" s="100"/>
    </row>
    <row r="283" spans="1:59" s="10" customFormat="1" ht="13.5" x14ac:dyDescent="0.25">
      <c r="A283" s="59">
        <v>224</v>
      </c>
      <c r="B283" s="15" t="s">
        <v>60</v>
      </c>
      <c r="C283" s="12" t="s">
        <v>60</v>
      </c>
      <c r="D283" s="11" t="s">
        <v>103</v>
      </c>
      <c r="E283" s="11" t="s">
        <v>237</v>
      </c>
      <c r="F283" s="11" t="s">
        <v>226</v>
      </c>
      <c r="G283" s="13" t="s">
        <v>1417</v>
      </c>
      <c r="H283" s="11" t="s">
        <v>1309</v>
      </c>
      <c r="I283" s="3" t="s">
        <v>60</v>
      </c>
      <c r="J283" s="3" t="s">
        <v>60</v>
      </c>
      <c r="K283" s="11" t="s">
        <v>1442</v>
      </c>
      <c r="L283" s="4" t="s">
        <v>60</v>
      </c>
      <c r="M283" s="4" t="s">
        <v>60</v>
      </c>
      <c r="N283" s="4" t="s">
        <v>60</v>
      </c>
      <c r="O283" s="4" t="s">
        <v>60</v>
      </c>
      <c r="P283" s="4" t="s">
        <v>60</v>
      </c>
      <c r="Q283" s="4" t="s">
        <v>60</v>
      </c>
      <c r="R283" s="4" t="s">
        <v>60</v>
      </c>
      <c r="S283" s="4" t="s">
        <v>60</v>
      </c>
      <c r="T283" s="4" t="s">
        <v>60</v>
      </c>
      <c r="U283" s="4" t="s">
        <v>60</v>
      </c>
      <c r="V283" s="4" t="s">
        <v>60</v>
      </c>
      <c r="W283" s="4" t="s">
        <v>60</v>
      </c>
      <c r="X283" s="4" t="s">
        <v>60</v>
      </c>
      <c r="Y283" s="4" t="s">
        <v>60</v>
      </c>
      <c r="Z283" s="4" t="s">
        <v>60</v>
      </c>
      <c r="AA283" s="4" t="s">
        <v>60</v>
      </c>
      <c r="AB283" s="4" t="s">
        <v>60</v>
      </c>
      <c r="AC283" s="4" t="s">
        <v>60</v>
      </c>
      <c r="AD283" s="4" t="s">
        <v>60</v>
      </c>
      <c r="AE283" s="2" t="s">
        <v>60</v>
      </c>
      <c r="AF283" s="3" t="s">
        <v>1309</v>
      </c>
      <c r="AG283" s="7" t="s">
        <v>60</v>
      </c>
      <c r="AH283" s="7" t="s">
        <v>60</v>
      </c>
      <c r="AI283" s="7" t="s">
        <v>60</v>
      </c>
      <c r="AJ283" s="7" t="s">
        <v>60</v>
      </c>
      <c r="AK283" s="7" t="s">
        <v>60</v>
      </c>
      <c r="AL283" s="25" t="s">
        <v>1904</v>
      </c>
      <c r="AM283" s="25" t="s">
        <v>58</v>
      </c>
      <c r="AN283" s="25" t="s">
        <v>59</v>
      </c>
      <c r="AO283" s="25" t="s">
        <v>60</v>
      </c>
      <c r="AP283" s="19" t="s">
        <v>1442</v>
      </c>
      <c r="AQ283" s="19" t="s">
        <v>1869</v>
      </c>
      <c r="AR283" s="19" t="s">
        <v>60</v>
      </c>
      <c r="AS283" s="19" t="s">
        <v>2360</v>
      </c>
      <c r="AT283" s="19" t="s">
        <v>2327</v>
      </c>
      <c r="AU283" s="19" t="s">
        <v>2129</v>
      </c>
      <c r="AV283" s="19">
        <v>9999934588</v>
      </c>
      <c r="AW283" s="20">
        <v>46125</v>
      </c>
      <c r="AX283" s="19" t="s">
        <v>1990</v>
      </c>
      <c r="AY283" s="27" t="s">
        <v>226</v>
      </c>
      <c r="AZ283" s="27" t="s">
        <v>237</v>
      </c>
      <c r="BA283" s="19" t="s">
        <v>60</v>
      </c>
      <c r="BB283" s="19" t="s">
        <v>2611</v>
      </c>
      <c r="BC283" s="19" t="s">
        <v>2603</v>
      </c>
      <c r="BD283" s="75" t="s">
        <v>1309</v>
      </c>
      <c r="BE283" s="100" t="s">
        <v>3901</v>
      </c>
      <c r="BF283" s="100" t="s">
        <v>4323</v>
      </c>
      <c r="BG283" s="100"/>
    </row>
    <row r="284" spans="1:59" s="10" customFormat="1" ht="13.5" x14ac:dyDescent="0.25">
      <c r="A284" s="59">
        <v>225</v>
      </c>
      <c r="B284" s="15" t="s">
        <v>60</v>
      </c>
      <c r="C284" s="12" t="s">
        <v>60</v>
      </c>
      <c r="D284" s="11" t="s">
        <v>103</v>
      </c>
      <c r="E284" s="11" t="s">
        <v>237</v>
      </c>
      <c r="F284" s="11" t="s">
        <v>238</v>
      </c>
      <c r="G284" s="13" t="s">
        <v>1417</v>
      </c>
      <c r="H284" s="11" t="s">
        <v>1323</v>
      </c>
      <c r="I284" s="3" t="s">
        <v>60</v>
      </c>
      <c r="J284" s="3" t="s">
        <v>60</v>
      </c>
      <c r="K284" s="11" t="s">
        <v>1456</v>
      </c>
      <c r="L284" s="4" t="s">
        <v>60</v>
      </c>
      <c r="M284" s="4" t="s">
        <v>60</v>
      </c>
      <c r="N284" s="4" t="s">
        <v>60</v>
      </c>
      <c r="O284" s="4" t="s">
        <v>60</v>
      </c>
      <c r="P284" s="4" t="s">
        <v>60</v>
      </c>
      <c r="Q284" s="4" t="s">
        <v>60</v>
      </c>
      <c r="R284" s="4" t="s">
        <v>60</v>
      </c>
      <c r="S284" s="4" t="s">
        <v>60</v>
      </c>
      <c r="T284" s="4" t="s">
        <v>60</v>
      </c>
      <c r="U284" s="4" t="s">
        <v>60</v>
      </c>
      <c r="V284" s="4" t="s">
        <v>60</v>
      </c>
      <c r="W284" s="4" t="s">
        <v>60</v>
      </c>
      <c r="X284" s="4" t="s">
        <v>60</v>
      </c>
      <c r="Y284" s="4" t="s">
        <v>60</v>
      </c>
      <c r="Z284" s="4" t="s">
        <v>60</v>
      </c>
      <c r="AA284" s="4" t="s">
        <v>60</v>
      </c>
      <c r="AB284" s="4" t="s">
        <v>60</v>
      </c>
      <c r="AC284" s="4" t="s">
        <v>60</v>
      </c>
      <c r="AD284" s="4" t="s">
        <v>60</v>
      </c>
      <c r="AE284" s="2" t="s">
        <v>60</v>
      </c>
      <c r="AF284" s="3" t="s">
        <v>1323</v>
      </c>
      <c r="AG284" s="7" t="s">
        <v>60</v>
      </c>
      <c r="AH284" s="7" t="s">
        <v>60</v>
      </c>
      <c r="AI284" s="7" t="s">
        <v>60</v>
      </c>
      <c r="AJ284" s="7" t="s">
        <v>60</v>
      </c>
      <c r="AK284" s="7" t="s">
        <v>60</v>
      </c>
      <c r="AL284" s="25" t="s">
        <v>1904</v>
      </c>
      <c r="AM284" s="25" t="s">
        <v>58</v>
      </c>
      <c r="AN284" s="25" t="s">
        <v>59</v>
      </c>
      <c r="AO284" s="25" t="s">
        <v>60</v>
      </c>
      <c r="AP284" s="19" t="s">
        <v>1456</v>
      </c>
      <c r="AQ284" s="19" t="s">
        <v>1869</v>
      </c>
      <c r="AR284" s="19" t="s">
        <v>60</v>
      </c>
      <c r="AS284" s="19" t="s">
        <v>2359</v>
      </c>
      <c r="AT284" s="19" t="s">
        <v>2150</v>
      </c>
      <c r="AU284" s="19" t="s">
        <v>2129</v>
      </c>
      <c r="AV284" s="19">
        <v>9999934588</v>
      </c>
      <c r="AW284" s="20">
        <v>46125</v>
      </c>
      <c r="AX284" s="19" t="s">
        <v>1990</v>
      </c>
      <c r="AY284" s="27" t="s">
        <v>238</v>
      </c>
      <c r="AZ284" s="27" t="s">
        <v>237</v>
      </c>
      <c r="BA284" s="19" t="s">
        <v>60</v>
      </c>
      <c r="BB284" s="19" t="s">
        <v>2577</v>
      </c>
      <c r="BC284" s="19" t="s">
        <v>322</v>
      </c>
      <c r="BD284" s="75" t="s">
        <v>1323</v>
      </c>
      <c r="BE284" s="100" t="s">
        <v>3902</v>
      </c>
      <c r="BF284" s="100" t="s">
        <v>4324</v>
      </c>
      <c r="BG284" s="100"/>
    </row>
    <row r="285" spans="1:59" s="10" customFormat="1" ht="13.5" x14ac:dyDescent="0.25">
      <c r="A285" s="59">
        <v>252</v>
      </c>
      <c r="B285" s="15" t="s">
        <v>60</v>
      </c>
      <c r="C285" s="12" t="s">
        <v>60</v>
      </c>
      <c r="D285" s="11" t="s">
        <v>40</v>
      </c>
      <c r="E285" s="11" t="s">
        <v>199</v>
      </c>
      <c r="F285" s="11" t="s">
        <v>1574</v>
      </c>
      <c r="G285" s="13" t="s">
        <v>1417</v>
      </c>
      <c r="H285" s="11" t="s">
        <v>1325</v>
      </c>
      <c r="I285" s="3" t="s">
        <v>60</v>
      </c>
      <c r="J285" s="3" t="s">
        <v>60</v>
      </c>
      <c r="K285" s="11" t="s">
        <v>1458</v>
      </c>
      <c r="L285" s="4" t="s">
        <v>60</v>
      </c>
      <c r="M285" s="4" t="s">
        <v>60</v>
      </c>
      <c r="N285" s="4" t="s">
        <v>60</v>
      </c>
      <c r="O285" s="4" t="s">
        <v>60</v>
      </c>
      <c r="P285" s="4" t="s">
        <v>60</v>
      </c>
      <c r="Q285" s="4" t="s">
        <v>60</v>
      </c>
      <c r="R285" s="4" t="s">
        <v>60</v>
      </c>
      <c r="S285" s="4" t="s">
        <v>60</v>
      </c>
      <c r="T285" s="4" t="s">
        <v>60</v>
      </c>
      <c r="U285" s="4" t="s">
        <v>60</v>
      </c>
      <c r="V285" s="4" t="s">
        <v>60</v>
      </c>
      <c r="W285" s="4" t="s">
        <v>60</v>
      </c>
      <c r="X285" s="4" t="s">
        <v>60</v>
      </c>
      <c r="Y285" s="4" t="s">
        <v>60</v>
      </c>
      <c r="Z285" s="4" t="s">
        <v>60</v>
      </c>
      <c r="AA285" s="4" t="s">
        <v>60</v>
      </c>
      <c r="AB285" s="4" t="s">
        <v>60</v>
      </c>
      <c r="AC285" s="4" t="s">
        <v>60</v>
      </c>
      <c r="AD285" s="4" t="s">
        <v>60</v>
      </c>
      <c r="AE285" s="2" t="s">
        <v>60</v>
      </c>
      <c r="AF285" s="3" t="s">
        <v>1325</v>
      </c>
      <c r="AG285" s="7" t="s">
        <v>60</v>
      </c>
      <c r="AH285" s="7" t="s">
        <v>60</v>
      </c>
      <c r="AI285" s="7" t="s">
        <v>60</v>
      </c>
      <c r="AJ285" s="7" t="s">
        <v>60</v>
      </c>
      <c r="AK285" s="7" t="s">
        <v>60</v>
      </c>
      <c r="AL285" s="25" t="s">
        <v>1904</v>
      </c>
      <c r="AM285" s="25" t="s">
        <v>58</v>
      </c>
      <c r="AN285" s="25" t="s">
        <v>59</v>
      </c>
      <c r="AO285" s="25" t="s">
        <v>60</v>
      </c>
      <c r="AP285" s="19" t="s">
        <v>1458</v>
      </c>
      <c r="AQ285" s="19" t="s">
        <v>1869</v>
      </c>
      <c r="AR285" s="19" t="s">
        <v>60</v>
      </c>
      <c r="AS285" s="19" t="s">
        <v>2360</v>
      </c>
      <c r="AT285" s="19" t="s">
        <v>2152</v>
      </c>
      <c r="AU285" s="19" t="s">
        <v>2153</v>
      </c>
      <c r="AV285" s="19">
        <v>9999934588</v>
      </c>
      <c r="AW285" s="20">
        <v>46123</v>
      </c>
      <c r="AX285" s="19" t="s">
        <v>1990</v>
      </c>
      <c r="AY285" s="27" t="s">
        <v>1574</v>
      </c>
      <c r="AZ285" s="27" t="s">
        <v>199</v>
      </c>
      <c r="BA285" s="19" t="s">
        <v>60</v>
      </c>
      <c r="BB285" s="19" t="s">
        <v>2633</v>
      </c>
      <c r="BC285" s="19" t="s">
        <v>1042</v>
      </c>
      <c r="BD285" s="75" t="s">
        <v>1325</v>
      </c>
      <c r="BE285" s="100" t="s">
        <v>3929</v>
      </c>
      <c r="BF285" s="100" t="s">
        <v>4325</v>
      </c>
      <c r="BG285" s="100"/>
    </row>
    <row r="286" spans="1:59" s="10" customFormat="1" ht="13.5" x14ac:dyDescent="0.25">
      <c r="A286" s="59">
        <v>269</v>
      </c>
      <c r="B286" s="15" t="s">
        <v>60</v>
      </c>
      <c r="C286" s="12" t="s">
        <v>60</v>
      </c>
      <c r="D286" s="11" t="s">
        <v>40</v>
      </c>
      <c r="E286" s="11" t="s">
        <v>199</v>
      </c>
      <c r="F286" s="11" t="s">
        <v>1047</v>
      </c>
      <c r="G286" s="13" t="s">
        <v>1417</v>
      </c>
      <c r="H286" s="11" t="s">
        <v>1405</v>
      </c>
      <c r="I286" s="3" t="s">
        <v>60</v>
      </c>
      <c r="J286" s="3" t="s">
        <v>60</v>
      </c>
      <c r="K286" s="11" t="s">
        <v>1539</v>
      </c>
      <c r="L286" s="4" t="s">
        <v>60</v>
      </c>
      <c r="M286" s="4" t="s">
        <v>60</v>
      </c>
      <c r="N286" s="4" t="s">
        <v>60</v>
      </c>
      <c r="O286" s="4" t="s">
        <v>60</v>
      </c>
      <c r="P286" s="4" t="s">
        <v>60</v>
      </c>
      <c r="Q286" s="4" t="s">
        <v>60</v>
      </c>
      <c r="R286" s="4" t="s">
        <v>60</v>
      </c>
      <c r="S286" s="4" t="s">
        <v>60</v>
      </c>
      <c r="T286" s="4" t="s">
        <v>60</v>
      </c>
      <c r="U286" s="4" t="s">
        <v>60</v>
      </c>
      <c r="V286" s="4" t="s">
        <v>60</v>
      </c>
      <c r="W286" s="4" t="s">
        <v>60</v>
      </c>
      <c r="X286" s="4" t="s">
        <v>60</v>
      </c>
      <c r="Y286" s="4" t="s">
        <v>60</v>
      </c>
      <c r="Z286" s="4" t="s">
        <v>60</v>
      </c>
      <c r="AA286" s="4" t="s">
        <v>60</v>
      </c>
      <c r="AB286" s="4" t="s">
        <v>60</v>
      </c>
      <c r="AC286" s="4" t="s">
        <v>60</v>
      </c>
      <c r="AD286" s="4" t="s">
        <v>60</v>
      </c>
      <c r="AE286" s="2" t="s">
        <v>60</v>
      </c>
      <c r="AF286" s="3" t="s">
        <v>1405</v>
      </c>
      <c r="AG286" s="7" t="s">
        <v>60</v>
      </c>
      <c r="AH286" s="7" t="s">
        <v>60</v>
      </c>
      <c r="AI286" s="7" t="s">
        <v>60</v>
      </c>
      <c r="AJ286" s="7" t="s">
        <v>60</v>
      </c>
      <c r="AK286" s="7" t="s">
        <v>60</v>
      </c>
      <c r="AL286" s="25" t="s">
        <v>1904</v>
      </c>
      <c r="AM286" s="25" t="s">
        <v>58</v>
      </c>
      <c r="AN286" s="25" t="s">
        <v>59</v>
      </c>
      <c r="AO286" s="25" t="s">
        <v>60</v>
      </c>
      <c r="AP286" s="19" t="s">
        <v>1539</v>
      </c>
      <c r="AQ286" s="19" t="s">
        <v>1869</v>
      </c>
      <c r="AR286" s="19" t="s">
        <v>60</v>
      </c>
      <c r="AS286" s="19" t="s">
        <v>2360</v>
      </c>
      <c r="AT286" s="19" t="s">
        <v>2257</v>
      </c>
      <c r="AU286" s="19" t="s">
        <v>2226</v>
      </c>
      <c r="AV286" s="19">
        <v>9999934588</v>
      </c>
      <c r="AW286" s="20">
        <v>46121</v>
      </c>
      <c r="AX286" s="19" t="s">
        <v>1990</v>
      </c>
      <c r="AY286" s="27" t="s">
        <v>1047</v>
      </c>
      <c r="AZ286" s="27" t="s">
        <v>199</v>
      </c>
      <c r="BA286" s="19" t="s">
        <v>60</v>
      </c>
      <c r="BB286" s="19" t="s">
        <v>2644</v>
      </c>
      <c r="BC286" s="19" t="s">
        <v>79</v>
      </c>
      <c r="BD286" s="75" t="s">
        <v>1405</v>
      </c>
      <c r="BE286" s="100" t="s">
        <v>3946</v>
      </c>
      <c r="BF286" s="100" t="s">
        <v>4326</v>
      </c>
      <c r="BG286" s="100"/>
    </row>
    <row r="287" spans="1:59" s="10" customFormat="1" ht="13.5" x14ac:dyDescent="0.25">
      <c r="A287" s="59">
        <v>268</v>
      </c>
      <c r="B287" s="15" t="s">
        <v>60</v>
      </c>
      <c r="C287" s="12" t="s">
        <v>60</v>
      </c>
      <c r="D287" s="11" t="s">
        <v>40</v>
      </c>
      <c r="E287" s="11" t="s">
        <v>199</v>
      </c>
      <c r="F287" s="11" t="s">
        <v>1047</v>
      </c>
      <c r="G287" s="13" t="s">
        <v>1417</v>
      </c>
      <c r="H287" s="11" t="s">
        <v>1406</v>
      </c>
      <c r="I287" s="3" t="s">
        <v>60</v>
      </c>
      <c r="J287" s="3" t="s">
        <v>60</v>
      </c>
      <c r="K287" s="11" t="s">
        <v>1540</v>
      </c>
      <c r="L287" s="4" t="s">
        <v>60</v>
      </c>
      <c r="M287" s="4" t="s">
        <v>60</v>
      </c>
      <c r="N287" s="4" t="s">
        <v>60</v>
      </c>
      <c r="O287" s="4" t="s">
        <v>60</v>
      </c>
      <c r="P287" s="4" t="s">
        <v>60</v>
      </c>
      <c r="Q287" s="4" t="s">
        <v>60</v>
      </c>
      <c r="R287" s="4" t="s">
        <v>60</v>
      </c>
      <c r="S287" s="4" t="s">
        <v>60</v>
      </c>
      <c r="T287" s="4" t="s">
        <v>60</v>
      </c>
      <c r="U287" s="4" t="s">
        <v>60</v>
      </c>
      <c r="V287" s="4" t="s">
        <v>60</v>
      </c>
      <c r="W287" s="4" t="s">
        <v>60</v>
      </c>
      <c r="X287" s="4" t="s">
        <v>60</v>
      </c>
      <c r="Y287" s="4" t="s">
        <v>60</v>
      </c>
      <c r="Z287" s="4" t="s">
        <v>60</v>
      </c>
      <c r="AA287" s="4" t="s">
        <v>60</v>
      </c>
      <c r="AB287" s="4" t="s">
        <v>60</v>
      </c>
      <c r="AC287" s="4" t="s">
        <v>60</v>
      </c>
      <c r="AD287" s="4" t="s">
        <v>60</v>
      </c>
      <c r="AE287" s="2" t="s">
        <v>60</v>
      </c>
      <c r="AF287" s="3" t="s">
        <v>1406</v>
      </c>
      <c r="AG287" s="7" t="s">
        <v>60</v>
      </c>
      <c r="AH287" s="7" t="s">
        <v>60</v>
      </c>
      <c r="AI287" s="7" t="s">
        <v>60</v>
      </c>
      <c r="AJ287" s="7" t="s">
        <v>60</v>
      </c>
      <c r="AK287" s="7" t="s">
        <v>60</v>
      </c>
      <c r="AL287" s="25" t="s">
        <v>1904</v>
      </c>
      <c r="AM287" s="25" t="s">
        <v>58</v>
      </c>
      <c r="AN287" s="25" t="s">
        <v>59</v>
      </c>
      <c r="AO287" s="25" t="s">
        <v>60</v>
      </c>
      <c r="AP287" s="19" t="s">
        <v>1540</v>
      </c>
      <c r="AQ287" s="19" t="s">
        <v>1869</v>
      </c>
      <c r="AR287" s="19" t="s">
        <v>60</v>
      </c>
      <c r="AS287" s="19" t="s">
        <v>2360</v>
      </c>
      <c r="AT287" s="19" t="s">
        <v>2191</v>
      </c>
      <c r="AU287" s="19" t="s">
        <v>2226</v>
      </c>
      <c r="AV287" s="19">
        <v>9999934588</v>
      </c>
      <c r="AW287" s="20">
        <v>46121</v>
      </c>
      <c r="AX287" s="19" t="s">
        <v>1990</v>
      </c>
      <c r="AY287" s="27" t="s">
        <v>1047</v>
      </c>
      <c r="AZ287" s="27" t="s">
        <v>199</v>
      </c>
      <c r="BA287" s="19" t="s">
        <v>60</v>
      </c>
      <c r="BB287" s="19" t="s">
        <v>2642</v>
      </c>
      <c r="BC287" s="19" t="s">
        <v>2643</v>
      </c>
      <c r="BD287" s="75" t="s">
        <v>1406</v>
      </c>
      <c r="BE287" s="100" t="s">
        <v>3945</v>
      </c>
      <c r="BF287" s="100" t="s">
        <v>4327</v>
      </c>
      <c r="BG287" s="100"/>
    </row>
    <row r="288" spans="1:59" s="10" customFormat="1" ht="13.5" x14ac:dyDescent="0.25">
      <c r="A288" s="59">
        <v>246</v>
      </c>
      <c r="B288" s="15" t="s">
        <v>60</v>
      </c>
      <c r="C288" s="12" t="s">
        <v>60</v>
      </c>
      <c r="D288" s="11" t="s">
        <v>40</v>
      </c>
      <c r="E288" s="11" t="s">
        <v>199</v>
      </c>
      <c r="F288" s="11" t="s">
        <v>1559</v>
      </c>
      <c r="G288" s="13" t="s">
        <v>1417</v>
      </c>
      <c r="H288" s="11" t="s">
        <v>1302</v>
      </c>
      <c r="I288" s="3" t="s">
        <v>60</v>
      </c>
      <c r="J288" s="3" t="s">
        <v>60</v>
      </c>
      <c r="K288" s="11" t="s">
        <v>1435</v>
      </c>
      <c r="L288" s="4" t="s">
        <v>60</v>
      </c>
      <c r="M288" s="4" t="s">
        <v>60</v>
      </c>
      <c r="N288" s="4" t="s">
        <v>60</v>
      </c>
      <c r="O288" s="4" t="s">
        <v>60</v>
      </c>
      <c r="P288" s="4" t="s">
        <v>60</v>
      </c>
      <c r="Q288" s="4" t="s">
        <v>60</v>
      </c>
      <c r="R288" s="4" t="s">
        <v>60</v>
      </c>
      <c r="S288" s="4" t="s">
        <v>60</v>
      </c>
      <c r="T288" s="4" t="s">
        <v>60</v>
      </c>
      <c r="U288" s="4" t="s">
        <v>60</v>
      </c>
      <c r="V288" s="4" t="s">
        <v>60</v>
      </c>
      <c r="W288" s="4" t="s">
        <v>60</v>
      </c>
      <c r="X288" s="4" t="s">
        <v>60</v>
      </c>
      <c r="Y288" s="4" t="s">
        <v>60</v>
      </c>
      <c r="Z288" s="4" t="s">
        <v>60</v>
      </c>
      <c r="AA288" s="4" t="s">
        <v>60</v>
      </c>
      <c r="AB288" s="4" t="s">
        <v>60</v>
      </c>
      <c r="AC288" s="4" t="s">
        <v>60</v>
      </c>
      <c r="AD288" s="4" t="s">
        <v>60</v>
      </c>
      <c r="AE288" s="2" t="s">
        <v>60</v>
      </c>
      <c r="AF288" s="3" t="s">
        <v>1302</v>
      </c>
      <c r="AG288" s="7" t="s">
        <v>60</v>
      </c>
      <c r="AH288" s="7" t="s">
        <v>60</v>
      </c>
      <c r="AI288" s="7" t="s">
        <v>60</v>
      </c>
      <c r="AJ288" s="7" t="s">
        <v>60</v>
      </c>
      <c r="AK288" s="7" t="s">
        <v>60</v>
      </c>
      <c r="AL288" s="25" t="s">
        <v>1904</v>
      </c>
      <c r="AM288" s="25" t="s">
        <v>58</v>
      </c>
      <c r="AN288" s="25" t="s">
        <v>59</v>
      </c>
      <c r="AO288" s="25" t="s">
        <v>60</v>
      </c>
      <c r="AP288" s="19" t="s">
        <v>1435</v>
      </c>
      <c r="AQ288" s="19" t="s">
        <v>1869</v>
      </c>
      <c r="AR288" s="19" t="s">
        <v>60</v>
      </c>
      <c r="AS288" s="19" t="s">
        <v>2360</v>
      </c>
      <c r="AT288" s="19" t="s">
        <v>2324</v>
      </c>
      <c r="AU288" s="19" t="s">
        <v>2350</v>
      </c>
      <c r="AV288" s="19">
        <v>9999934588</v>
      </c>
      <c r="AW288" s="20">
        <v>46120</v>
      </c>
      <c r="AX288" s="19" t="s">
        <v>1990</v>
      </c>
      <c r="AY288" s="27" t="s">
        <v>1559</v>
      </c>
      <c r="AZ288" s="27" t="s">
        <v>199</v>
      </c>
      <c r="BA288" s="19" t="s">
        <v>60</v>
      </c>
      <c r="BB288" s="19" t="s">
        <v>2623</v>
      </c>
      <c r="BC288" s="19" t="s">
        <v>538</v>
      </c>
      <c r="BD288" s="75" t="s">
        <v>1302</v>
      </c>
      <c r="BE288" s="100" t="s">
        <v>3923</v>
      </c>
      <c r="BF288" s="100" t="s">
        <v>4328</v>
      </c>
      <c r="BG288" s="100"/>
    </row>
    <row r="289" spans="1:59" s="10" customFormat="1" ht="13.5" x14ac:dyDescent="0.25">
      <c r="A289" s="59">
        <v>199</v>
      </c>
      <c r="B289" s="15" t="s">
        <v>60</v>
      </c>
      <c r="C289" s="12" t="s">
        <v>60</v>
      </c>
      <c r="D289" s="11" t="s">
        <v>40</v>
      </c>
      <c r="E289" s="11" t="s">
        <v>129</v>
      </c>
      <c r="F289" s="11" t="s">
        <v>129</v>
      </c>
      <c r="G289" s="13" t="s">
        <v>1417</v>
      </c>
      <c r="H289" s="11" t="s">
        <v>1852</v>
      </c>
      <c r="I289" s="3" t="s">
        <v>60</v>
      </c>
      <c r="J289" s="3" t="s">
        <v>60</v>
      </c>
      <c r="K289" s="11" t="s">
        <v>1853</v>
      </c>
      <c r="L289" s="4" t="s">
        <v>60</v>
      </c>
      <c r="M289" s="4" t="s">
        <v>60</v>
      </c>
      <c r="N289" s="4" t="s">
        <v>60</v>
      </c>
      <c r="O289" s="4" t="s">
        <v>60</v>
      </c>
      <c r="P289" s="4" t="s">
        <v>60</v>
      </c>
      <c r="Q289" s="4" t="s">
        <v>60</v>
      </c>
      <c r="R289" s="4" t="s">
        <v>60</v>
      </c>
      <c r="S289" s="4" t="s">
        <v>60</v>
      </c>
      <c r="T289" s="4" t="s">
        <v>60</v>
      </c>
      <c r="U289" s="4" t="s">
        <v>60</v>
      </c>
      <c r="V289" s="4" t="s">
        <v>60</v>
      </c>
      <c r="W289" s="4" t="s">
        <v>60</v>
      </c>
      <c r="X289" s="4" t="s">
        <v>60</v>
      </c>
      <c r="Y289" s="4" t="s">
        <v>60</v>
      </c>
      <c r="Z289" s="4" t="s">
        <v>60</v>
      </c>
      <c r="AA289" s="4" t="s">
        <v>60</v>
      </c>
      <c r="AB289" s="4" t="s">
        <v>60</v>
      </c>
      <c r="AC289" s="4" t="s">
        <v>60</v>
      </c>
      <c r="AD289" s="4" t="s">
        <v>60</v>
      </c>
      <c r="AE289" s="2" t="s">
        <v>60</v>
      </c>
      <c r="AF289" s="3" t="s">
        <v>1852</v>
      </c>
      <c r="AG289" s="7" t="s">
        <v>60</v>
      </c>
      <c r="AH289" s="7" t="s">
        <v>60</v>
      </c>
      <c r="AI289" s="7" t="s">
        <v>60</v>
      </c>
      <c r="AJ289" s="7" t="s">
        <v>60</v>
      </c>
      <c r="AK289" s="7" t="s">
        <v>60</v>
      </c>
      <c r="AL289" s="25" t="s">
        <v>1904</v>
      </c>
      <c r="AM289" s="25" t="s">
        <v>58</v>
      </c>
      <c r="AN289" s="25" t="s">
        <v>59</v>
      </c>
      <c r="AO289" s="25" t="s">
        <v>60</v>
      </c>
      <c r="AP289" s="19" t="s">
        <v>1853</v>
      </c>
      <c r="AQ289" s="19" t="s">
        <v>1869</v>
      </c>
      <c r="AR289" s="19" t="s">
        <v>60</v>
      </c>
      <c r="AS289" s="19" t="s">
        <v>2360</v>
      </c>
      <c r="AT289" s="19" t="s">
        <v>2234</v>
      </c>
      <c r="AU289" s="19" t="s">
        <v>2093</v>
      </c>
      <c r="AV289" s="19">
        <v>9999934588</v>
      </c>
      <c r="AW289" s="20">
        <v>46129</v>
      </c>
      <c r="AX289" s="19" t="s">
        <v>1990</v>
      </c>
      <c r="AY289" s="27" t="s">
        <v>129</v>
      </c>
      <c r="AZ289" s="27" t="s">
        <v>129</v>
      </c>
      <c r="BA289" s="19" t="s">
        <v>60</v>
      </c>
      <c r="BB289" s="19" t="s">
        <v>2703</v>
      </c>
      <c r="BC289" s="19" t="s">
        <v>2566</v>
      </c>
      <c r="BD289" s="75" t="s">
        <v>1852</v>
      </c>
      <c r="BE289" s="100" t="s">
        <v>3876</v>
      </c>
      <c r="BF289" s="100" t="s">
        <v>4329</v>
      </c>
      <c r="BG289" s="100"/>
    </row>
    <row r="290" spans="1:59" s="10" customFormat="1" ht="13.5" x14ac:dyDescent="0.25">
      <c r="A290" s="59">
        <v>201</v>
      </c>
      <c r="B290" s="15" t="s">
        <v>60</v>
      </c>
      <c r="C290" s="12" t="s">
        <v>60</v>
      </c>
      <c r="D290" s="11" t="s">
        <v>40</v>
      </c>
      <c r="E290" s="11" t="s">
        <v>129</v>
      </c>
      <c r="F290" s="11" t="s">
        <v>129</v>
      </c>
      <c r="G290" s="13" t="s">
        <v>1417</v>
      </c>
      <c r="H290" s="11" t="s">
        <v>1389</v>
      </c>
      <c r="I290" s="3" t="s">
        <v>60</v>
      </c>
      <c r="J290" s="3" t="s">
        <v>60</v>
      </c>
      <c r="K290" s="11" t="s">
        <v>1523</v>
      </c>
      <c r="L290" s="4" t="s">
        <v>60</v>
      </c>
      <c r="M290" s="4" t="s">
        <v>60</v>
      </c>
      <c r="N290" s="4" t="s">
        <v>60</v>
      </c>
      <c r="O290" s="4" t="s">
        <v>60</v>
      </c>
      <c r="P290" s="4" t="s">
        <v>60</v>
      </c>
      <c r="Q290" s="4" t="s">
        <v>60</v>
      </c>
      <c r="R290" s="4" t="s">
        <v>60</v>
      </c>
      <c r="S290" s="4" t="s">
        <v>60</v>
      </c>
      <c r="T290" s="4" t="s">
        <v>60</v>
      </c>
      <c r="U290" s="4" t="s">
        <v>60</v>
      </c>
      <c r="V290" s="4" t="s">
        <v>60</v>
      </c>
      <c r="W290" s="4" t="s">
        <v>60</v>
      </c>
      <c r="X290" s="4" t="s">
        <v>60</v>
      </c>
      <c r="Y290" s="4" t="s">
        <v>60</v>
      </c>
      <c r="Z290" s="4" t="s">
        <v>60</v>
      </c>
      <c r="AA290" s="4" t="s">
        <v>60</v>
      </c>
      <c r="AB290" s="4" t="s">
        <v>60</v>
      </c>
      <c r="AC290" s="4" t="s">
        <v>60</v>
      </c>
      <c r="AD290" s="4" t="s">
        <v>60</v>
      </c>
      <c r="AE290" s="2" t="s">
        <v>60</v>
      </c>
      <c r="AF290" s="3" t="s">
        <v>1389</v>
      </c>
      <c r="AG290" s="7" t="s">
        <v>60</v>
      </c>
      <c r="AH290" s="7" t="s">
        <v>60</v>
      </c>
      <c r="AI290" s="7" t="s">
        <v>60</v>
      </c>
      <c r="AJ290" s="7" t="s">
        <v>60</v>
      </c>
      <c r="AK290" s="7" t="s">
        <v>60</v>
      </c>
      <c r="AL290" s="25" t="s">
        <v>1904</v>
      </c>
      <c r="AM290" s="25" t="s">
        <v>58</v>
      </c>
      <c r="AN290" s="25" t="s">
        <v>59</v>
      </c>
      <c r="AO290" s="25" t="s">
        <v>60</v>
      </c>
      <c r="AP290" s="19" t="s">
        <v>1523</v>
      </c>
      <c r="AQ290" s="19" t="s">
        <v>1869</v>
      </c>
      <c r="AR290" s="19" t="s">
        <v>60</v>
      </c>
      <c r="AS290" s="19" t="s">
        <v>2360</v>
      </c>
      <c r="AT290" s="19" t="s">
        <v>2337</v>
      </c>
      <c r="AU290" s="19" t="s">
        <v>2235</v>
      </c>
      <c r="AV290" s="19">
        <v>9999934588</v>
      </c>
      <c r="AW290" s="20">
        <v>46123</v>
      </c>
      <c r="AX290" s="19" t="s">
        <v>1990</v>
      </c>
      <c r="AY290" s="27" t="s">
        <v>129</v>
      </c>
      <c r="AZ290" s="27" t="s">
        <v>129</v>
      </c>
      <c r="BA290" s="19" t="s">
        <v>60</v>
      </c>
      <c r="BB290" s="19" t="s">
        <v>2704</v>
      </c>
      <c r="BC290" s="19" t="s">
        <v>2566</v>
      </c>
      <c r="BD290" s="75" t="s">
        <v>1389</v>
      </c>
      <c r="BE290" s="100" t="s">
        <v>3878</v>
      </c>
      <c r="BF290" s="100" t="s">
        <v>4330</v>
      </c>
      <c r="BG290" s="100"/>
    </row>
    <row r="291" spans="1:59" s="10" customFormat="1" ht="13.5" x14ac:dyDescent="0.25">
      <c r="A291" s="59">
        <v>279</v>
      </c>
      <c r="B291" s="15" t="s">
        <v>60</v>
      </c>
      <c r="C291" s="12" t="s">
        <v>60</v>
      </c>
      <c r="D291" s="11" t="s">
        <v>40</v>
      </c>
      <c r="E291" s="11" t="s">
        <v>61</v>
      </c>
      <c r="F291" s="11" t="s">
        <v>1570</v>
      </c>
      <c r="G291" s="13" t="s">
        <v>1417</v>
      </c>
      <c r="H291" s="11" t="s">
        <v>1315</v>
      </c>
      <c r="I291" s="3" t="s">
        <v>60</v>
      </c>
      <c r="J291" s="3" t="s">
        <v>60</v>
      </c>
      <c r="K291" s="11" t="s">
        <v>1448</v>
      </c>
      <c r="L291" s="4" t="s">
        <v>60</v>
      </c>
      <c r="M291" s="4" t="s">
        <v>60</v>
      </c>
      <c r="N291" s="4" t="s">
        <v>60</v>
      </c>
      <c r="O291" s="4" t="s">
        <v>60</v>
      </c>
      <c r="P291" s="4" t="s">
        <v>60</v>
      </c>
      <c r="Q291" s="4" t="s">
        <v>60</v>
      </c>
      <c r="R291" s="4" t="s">
        <v>60</v>
      </c>
      <c r="S291" s="4" t="s">
        <v>60</v>
      </c>
      <c r="T291" s="4" t="s">
        <v>60</v>
      </c>
      <c r="U291" s="4" t="s">
        <v>60</v>
      </c>
      <c r="V291" s="4" t="s">
        <v>60</v>
      </c>
      <c r="W291" s="4" t="s">
        <v>60</v>
      </c>
      <c r="X291" s="4" t="s">
        <v>60</v>
      </c>
      <c r="Y291" s="4" t="s">
        <v>60</v>
      </c>
      <c r="Z291" s="4" t="s">
        <v>60</v>
      </c>
      <c r="AA291" s="4" t="s">
        <v>60</v>
      </c>
      <c r="AB291" s="4" t="s">
        <v>60</v>
      </c>
      <c r="AC291" s="4" t="s">
        <v>60</v>
      </c>
      <c r="AD291" s="4" t="s">
        <v>60</v>
      </c>
      <c r="AE291" s="2" t="s">
        <v>60</v>
      </c>
      <c r="AF291" s="3" t="s">
        <v>1315</v>
      </c>
      <c r="AG291" s="7" t="s">
        <v>60</v>
      </c>
      <c r="AH291" s="7" t="s">
        <v>60</v>
      </c>
      <c r="AI291" s="7" t="s">
        <v>60</v>
      </c>
      <c r="AJ291" s="7" t="s">
        <v>60</v>
      </c>
      <c r="AK291" s="7" t="s">
        <v>60</v>
      </c>
      <c r="AL291" s="25" t="s">
        <v>1904</v>
      </c>
      <c r="AM291" s="25" t="s">
        <v>58</v>
      </c>
      <c r="AN291" s="25" t="s">
        <v>59</v>
      </c>
      <c r="AO291" s="25" t="s">
        <v>60</v>
      </c>
      <c r="AP291" s="19" t="s">
        <v>1448</v>
      </c>
      <c r="AQ291" s="19" t="s">
        <v>1869</v>
      </c>
      <c r="AR291" s="19" t="s">
        <v>60</v>
      </c>
      <c r="AS291" s="19" t="s">
        <v>2360</v>
      </c>
      <c r="AT291" s="19" t="s">
        <v>2135</v>
      </c>
      <c r="AU291" s="19" t="s">
        <v>2136</v>
      </c>
      <c r="AV291" s="19">
        <v>9999934588</v>
      </c>
      <c r="AW291" s="20">
        <v>46130</v>
      </c>
      <c r="AX291" s="19" t="s">
        <v>1990</v>
      </c>
      <c r="AY291" s="27" t="s">
        <v>1570</v>
      </c>
      <c r="AZ291" s="27" t="s">
        <v>61</v>
      </c>
      <c r="BA291" s="19" t="s">
        <v>60</v>
      </c>
      <c r="BB291" s="19" t="s">
        <v>2575</v>
      </c>
      <c r="BC291" s="19" t="s">
        <v>60</v>
      </c>
      <c r="BD291" s="75" t="s">
        <v>1315</v>
      </c>
      <c r="BE291" s="100" t="s">
        <v>3956</v>
      </c>
      <c r="BF291" s="100" t="s">
        <v>4331</v>
      </c>
      <c r="BG291" s="100"/>
    </row>
    <row r="292" spans="1:59" s="10" customFormat="1" ht="13.5" x14ac:dyDescent="0.25">
      <c r="A292" s="59">
        <v>227</v>
      </c>
      <c r="B292" s="15" t="s">
        <v>60</v>
      </c>
      <c r="C292" s="12" t="s">
        <v>60</v>
      </c>
      <c r="D292" s="11" t="s">
        <v>103</v>
      </c>
      <c r="E292" s="11" t="s">
        <v>237</v>
      </c>
      <c r="F292" s="11" t="s">
        <v>1590</v>
      </c>
      <c r="G292" s="13" t="s">
        <v>1417</v>
      </c>
      <c r="H292" s="11" t="s">
        <v>1354</v>
      </c>
      <c r="I292" s="3" t="s">
        <v>60</v>
      </c>
      <c r="J292" s="3" t="s">
        <v>60</v>
      </c>
      <c r="K292" s="11" t="s">
        <v>1487</v>
      </c>
      <c r="L292" s="4" t="s">
        <v>60</v>
      </c>
      <c r="M292" s="4" t="s">
        <v>60</v>
      </c>
      <c r="N292" s="4" t="s">
        <v>60</v>
      </c>
      <c r="O292" s="4" t="s">
        <v>60</v>
      </c>
      <c r="P292" s="4" t="s">
        <v>60</v>
      </c>
      <c r="Q292" s="4" t="s">
        <v>60</v>
      </c>
      <c r="R292" s="4" t="s">
        <v>60</v>
      </c>
      <c r="S292" s="4" t="s">
        <v>60</v>
      </c>
      <c r="T292" s="4" t="s">
        <v>60</v>
      </c>
      <c r="U292" s="4" t="s">
        <v>60</v>
      </c>
      <c r="V292" s="4" t="s">
        <v>60</v>
      </c>
      <c r="W292" s="4" t="s">
        <v>60</v>
      </c>
      <c r="X292" s="4" t="s">
        <v>60</v>
      </c>
      <c r="Y292" s="4" t="s">
        <v>60</v>
      </c>
      <c r="Z292" s="4" t="s">
        <v>60</v>
      </c>
      <c r="AA292" s="4" t="s">
        <v>60</v>
      </c>
      <c r="AB292" s="4" t="s">
        <v>60</v>
      </c>
      <c r="AC292" s="4" t="s">
        <v>60</v>
      </c>
      <c r="AD292" s="4" t="s">
        <v>60</v>
      </c>
      <c r="AE292" s="2" t="s">
        <v>60</v>
      </c>
      <c r="AF292" s="3" t="s">
        <v>1354</v>
      </c>
      <c r="AG292" s="7" t="s">
        <v>60</v>
      </c>
      <c r="AH292" s="7" t="s">
        <v>60</v>
      </c>
      <c r="AI292" s="7" t="s">
        <v>60</v>
      </c>
      <c r="AJ292" s="7" t="s">
        <v>60</v>
      </c>
      <c r="AK292" s="7" t="s">
        <v>60</v>
      </c>
      <c r="AL292" s="25" t="s">
        <v>1904</v>
      </c>
      <c r="AM292" s="25" t="s">
        <v>58</v>
      </c>
      <c r="AN292" s="25" t="s">
        <v>59</v>
      </c>
      <c r="AO292" s="25" t="s">
        <v>60</v>
      </c>
      <c r="AP292" s="19" t="s">
        <v>1487</v>
      </c>
      <c r="AQ292" s="19" t="s">
        <v>1869</v>
      </c>
      <c r="AR292" s="19" t="s">
        <v>60</v>
      </c>
      <c r="AS292" s="19" t="s">
        <v>2360</v>
      </c>
      <c r="AT292" s="19" t="s">
        <v>2194</v>
      </c>
      <c r="AU292" s="19" t="s">
        <v>2195</v>
      </c>
      <c r="AV292" s="19">
        <v>9999934588</v>
      </c>
      <c r="AW292" s="20">
        <v>46129</v>
      </c>
      <c r="AX292" s="19" t="s">
        <v>1990</v>
      </c>
      <c r="AY292" s="27" t="s">
        <v>1590</v>
      </c>
      <c r="AZ292" s="27" t="s">
        <v>237</v>
      </c>
      <c r="BA292" s="19" t="s">
        <v>60</v>
      </c>
      <c r="BB292" s="19" t="s">
        <v>2578</v>
      </c>
      <c r="BC292" s="19" t="s">
        <v>322</v>
      </c>
      <c r="BD292" s="75" t="s">
        <v>1354</v>
      </c>
      <c r="BE292" s="100" t="s">
        <v>3904</v>
      </c>
      <c r="BF292" s="100" t="s">
        <v>4332</v>
      </c>
      <c r="BG292" s="100"/>
    </row>
    <row r="293" spans="1:59" s="10" customFormat="1" ht="13.5" x14ac:dyDescent="0.25">
      <c r="A293" s="59">
        <v>310</v>
      </c>
      <c r="B293" s="15" t="s">
        <v>60</v>
      </c>
      <c r="C293" s="12" t="s">
        <v>60</v>
      </c>
      <c r="D293" s="11" t="s">
        <v>103</v>
      </c>
      <c r="E293" s="11" t="s">
        <v>104</v>
      </c>
      <c r="F293" s="11" t="s">
        <v>1573</v>
      </c>
      <c r="G293" s="13" t="s">
        <v>1417</v>
      </c>
      <c r="H293" s="11" t="s">
        <v>1322</v>
      </c>
      <c r="I293" s="3" t="s">
        <v>60</v>
      </c>
      <c r="J293" s="3" t="s">
        <v>60</v>
      </c>
      <c r="K293" s="11" t="s">
        <v>1455</v>
      </c>
      <c r="L293" s="4" t="s">
        <v>60</v>
      </c>
      <c r="M293" s="4" t="s">
        <v>60</v>
      </c>
      <c r="N293" s="4" t="s">
        <v>60</v>
      </c>
      <c r="O293" s="4" t="s">
        <v>60</v>
      </c>
      <c r="P293" s="4" t="s">
        <v>60</v>
      </c>
      <c r="Q293" s="4" t="s">
        <v>60</v>
      </c>
      <c r="R293" s="4" t="s">
        <v>60</v>
      </c>
      <c r="S293" s="4" t="s">
        <v>60</v>
      </c>
      <c r="T293" s="4" t="s">
        <v>60</v>
      </c>
      <c r="U293" s="4" t="s">
        <v>60</v>
      </c>
      <c r="V293" s="4" t="s">
        <v>60</v>
      </c>
      <c r="W293" s="4" t="s">
        <v>60</v>
      </c>
      <c r="X293" s="4" t="s">
        <v>60</v>
      </c>
      <c r="Y293" s="4" t="s">
        <v>60</v>
      </c>
      <c r="Z293" s="4" t="s">
        <v>60</v>
      </c>
      <c r="AA293" s="4" t="s">
        <v>60</v>
      </c>
      <c r="AB293" s="4" t="s">
        <v>60</v>
      </c>
      <c r="AC293" s="4" t="s">
        <v>60</v>
      </c>
      <c r="AD293" s="4" t="s">
        <v>60</v>
      </c>
      <c r="AE293" s="2" t="s">
        <v>60</v>
      </c>
      <c r="AF293" s="3" t="s">
        <v>1322</v>
      </c>
      <c r="AG293" s="7" t="s">
        <v>60</v>
      </c>
      <c r="AH293" s="7" t="s">
        <v>60</v>
      </c>
      <c r="AI293" s="7" t="s">
        <v>60</v>
      </c>
      <c r="AJ293" s="7" t="s">
        <v>60</v>
      </c>
      <c r="AK293" s="7" t="s">
        <v>60</v>
      </c>
      <c r="AL293" s="25" t="s">
        <v>1904</v>
      </c>
      <c r="AM293" s="25" t="s">
        <v>58</v>
      </c>
      <c r="AN293" s="25" t="s">
        <v>59</v>
      </c>
      <c r="AO293" s="25" t="s">
        <v>60</v>
      </c>
      <c r="AP293" s="19" t="s">
        <v>1455</v>
      </c>
      <c r="AQ293" s="19" t="s">
        <v>1869</v>
      </c>
      <c r="AR293" s="19" t="s">
        <v>60</v>
      </c>
      <c r="AS293" s="19" t="s">
        <v>2360</v>
      </c>
      <c r="AT293" s="19" t="s">
        <v>2148</v>
      </c>
      <c r="AU293" s="19" t="s">
        <v>2149</v>
      </c>
      <c r="AV293" s="19">
        <v>9999934588</v>
      </c>
      <c r="AW293" s="20">
        <v>46126</v>
      </c>
      <c r="AX293" s="19" t="s">
        <v>1990</v>
      </c>
      <c r="AY293" s="27" t="s">
        <v>1573</v>
      </c>
      <c r="AZ293" s="27" t="s">
        <v>104</v>
      </c>
      <c r="BA293" s="19" t="s">
        <v>60</v>
      </c>
      <c r="BB293" s="19" t="s">
        <v>2670</v>
      </c>
      <c r="BC293" s="19" t="s">
        <v>322</v>
      </c>
      <c r="BD293" s="75" t="s">
        <v>1322</v>
      </c>
      <c r="BE293" s="100" t="s">
        <v>3987</v>
      </c>
      <c r="BF293" s="100" t="s">
        <v>4333</v>
      </c>
      <c r="BG293" s="100"/>
    </row>
    <row r="294" spans="1:59" s="10" customFormat="1" ht="13.5" x14ac:dyDescent="0.25">
      <c r="A294" s="59">
        <v>241</v>
      </c>
      <c r="B294" s="15" t="s">
        <v>60</v>
      </c>
      <c r="C294" s="12" t="s">
        <v>60</v>
      </c>
      <c r="D294" s="11" t="s">
        <v>40</v>
      </c>
      <c r="E294" s="11" t="s">
        <v>199</v>
      </c>
      <c r="F294" s="11" t="s">
        <v>452</v>
      </c>
      <c r="G294" s="13" t="s">
        <v>1417</v>
      </c>
      <c r="H294" s="11" t="s">
        <v>1288</v>
      </c>
      <c r="I294" s="3" t="s">
        <v>60</v>
      </c>
      <c r="J294" s="3" t="s">
        <v>60</v>
      </c>
      <c r="K294" s="11" t="s">
        <v>1421</v>
      </c>
      <c r="L294" s="4" t="s">
        <v>60</v>
      </c>
      <c r="M294" s="4" t="s">
        <v>60</v>
      </c>
      <c r="N294" s="4" t="s">
        <v>60</v>
      </c>
      <c r="O294" s="4" t="s">
        <v>60</v>
      </c>
      <c r="P294" s="4" t="s">
        <v>60</v>
      </c>
      <c r="Q294" s="4" t="s">
        <v>60</v>
      </c>
      <c r="R294" s="4" t="s">
        <v>60</v>
      </c>
      <c r="S294" s="4" t="s">
        <v>60</v>
      </c>
      <c r="T294" s="4" t="s">
        <v>60</v>
      </c>
      <c r="U294" s="4" t="s">
        <v>60</v>
      </c>
      <c r="V294" s="4" t="s">
        <v>60</v>
      </c>
      <c r="W294" s="4" t="s">
        <v>60</v>
      </c>
      <c r="X294" s="4" t="s">
        <v>60</v>
      </c>
      <c r="Y294" s="4" t="s">
        <v>60</v>
      </c>
      <c r="Z294" s="4" t="s">
        <v>60</v>
      </c>
      <c r="AA294" s="4" t="s">
        <v>60</v>
      </c>
      <c r="AB294" s="4" t="s">
        <v>60</v>
      </c>
      <c r="AC294" s="4" t="s">
        <v>60</v>
      </c>
      <c r="AD294" s="4" t="s">
        <v>60</v>
      </c>
      <c r="AE294" s="2" t="s">
        <v>60</v>
      </c>
      <c r="AF294" s="3" t="s">
        <v>1288</v>
      </c>
      <c r="AG294" s="7" t="s">
        <v>60</v>
      </c>
      <c r="AH294" s="7" t="s">
        <v>60</v>
      </c>
      <c r="AI294" s="7" t="s">
        <v>60</v>
      </c>
      <c r="AJ294" s="7" t="s">
        <v>60</v>
      </c>
      <c r="AK294" s="7" t="s">
        <v>60</v>
      </c>
      <c r="AL294" s="25" t="s">
        <v>1904</v>
      </c>
      <c r="AM294" s="25" t="s">
        <v>58</v>
      </c>
      <c r="AN294" s="25" t="s">
        <v>59</v>
      </c>
      <c r="AO294" s="25" t="s">
        <v>60</v>
      </c>
      <c r="AP294" s="19" t="s">
        <v>1421</v>
      </c>
      <c r="AQ294" s="19" t="s">
        <v>1869</v>
      </c>
      <c r="AR294" s="19" t="s">
        <v>60</v>
      </c>
      <c r="AS294" s="19" t="s">
        <v>2360</v>
      </c>
      <c r="AT294" s="19" t="s">
        <v>2102</v>
      </c>
      <c r="AU294" s="19" t="s">
        <v>2348</v>
      </c>
      <c r="AV294" s="19">
        <v>9999934588</v>
      </c>
      <c r="AW294" s="20">
        <v>46127</v>
      </c>
      <c r="AX294" s="19" t="s">
        <v>1990</v>
      </c>
      <c r="AY294" s="27" t="s">
        <v>452</v>
      </c>
      <c r="AZ294" s="27" t="s">
        <v>199</v>
      </c>
      <c r="BA294" s="19" t="s">
        <v>60</v>
      </c>
      <c r="BB294" s="19" t="s">
        <v>2624</v>
      </c>
      <c r="BC294" s="19" t="s">
        <v>2625</v>
      </c>
      <c r="BD294" s="75" t="s">
        <v>1288</v>
      </c>
      <c r="BE294" s="100" t="s">
        <v>3918</v>
      </c>
      <c r="BF294" s="100" t="s">
        <v>4334</v>
      </c>
      <c r="BG294" s="100"/>
    </row>
    <row r="295" spans="1:59" s="10" customFormat="1" ht="13.5" x14ac:dyDescent="0.25">
      <c r="A295" s="59">
        <v>200</v>
      </c>
      <c r="B295" s="15" t="s">
        <v>60</v>
      </c>
      <c r="C295" s="12" t="s">
        <v>60</v>
      </c>
      <c r="D295" s="11" t="s">
        <v>40</v>
      </c>
      <c r="E295" s="11" t="s">
        <v>129</v>
      </c>
      <c r="F295" s="11" t="s">
        <v>129</v>
      </c>
      <c r="G295" s="13" t="s">
        <v>1417</v>
      </c>
      <c r="H295" s="11" t="s">
        <v>1328</v>
      </c>
      <c r="I295" s="3" t="s">
        <v>60</v>
      </c>
      <c r="J295" s="3" t="s">
        <v>60</v>
      </c>
      <c r="K295" s="11" t="s">
        <v>1461</v>
      </c>
      <c r="L295" s="4" t="s">
        <v>60</v>
      </c>
      <c r="M295" s="4" t="s">
        <v>60</v>
      </c>
      <c r="N295" s="4" t="s">
        <v>60</v>
      </c>
      <c r="O295" s="4" t="s">
        <v>60</v>
      </c>
      <c r="P295" s="4" t="s">
        <v>60</v>
      </c>
      <c r="Q295" s="4" t="s">
        <v>60</v>
      </c>
      <c r="R295" s="4" t="s">
        <v>60</v>
      </c>
      <c r="S295" s="4" t="s">
        <v>60</v>
      </c>
      <c r="T295" s="4" t="s">
        <v>60</v>
      </c>
      <c r="U295" s="4" t="s">
        <v>60</v>
      </c>
      <c r="V295" s="4" t="s">
        <v>60</v>
      </c>
      <c r="W295" s="4" t="s">
        <v>60</v>
      </c>
      <c r="X295" s="4" t="s">
        <v>60</v>
      </c>
      <c r="Y295" s="4" t="s">
        <v>60</v>
      </c>
      <c r="Z295" s="4" t="s">
        <v>60</v>
      </c>
      <c r="AA295" s="4" t="s">
        <v>60</v>
      </c>
      <c r="AB295" s="4" t="s">
        <v>60</v>
      </c>
      <c r="AC295" s="4" t="s">
        <v>60</v>
      </c>
      <c r="AD295" s="4" t="s">
        <v>60</v>
      </c>
      <c r="AE295" s="2" t="s">
        <v>60</v>
      </c>
      <c r="AF295" s="3" t="s">
        <v>1328</v>
      </c>
      <c r="AG295" s="7" t="s">
        <v>60</v>
      </c>
      <c r="AH295" s="7" t="s">
        <v>60</v>
      </c>
      <c r="AI295" s="7" t="s">
        <v>60</v>
      </c>
      <c r="AJ295" s="7" t="s">
        <v>60</v>
      </c>
      <c r="AK295" s="7" t="s">
        <v>60</v>
      </c>
      <c r="AL295" s="25" t="s">
        <v>1904</v>
      </c>
      <c r="AM295" s="25" t="s">
        <v>58</v>
      </c>
      <c r="AN295" s="25" t="s">
        <v>59</v>
      </c>
      <c r="AO295" s="25" t="s">
        <v>60</v>
      </c>
      <c r="AP295" s="19" t="s">
        <v>1461</v>
      </c>
      <c r="AQ295" s="19" t="s">
        <v>1869</v>
      </c>
      <c r="AR295" s="19" t="s">
        <v>60</v>
      </c>
      <c r="AS295" s="19" t="s">
        <v>2360</v>
      </c>
      <c r="AT295" s="19" t="s">
        <v>2156</v>
      </c>
      <c r="AU295" s="19" t="s">
        <v>2157</v>
      </c>
      <c r="AV295" s="19">
        <v>9999934588</v>
      </c>
      <c r="AW295" s="20">
        <v>46125</v>
      </c>
      <c r="AX295" s="19" t="s">
        <v>1990</v>
      </c>
      <c r="AY295" s="27" t="s">
        <v>129</v>
      </c>
      <c r="AZ295" s="27" t="s">
        <v>129</v>
      </c>
      <c r="BA295" s="19" t="s">
        <v>60</v>
      </c>
      <c r="BB295" s="19" t="s">
        <v>2589</v>
      </c>
      <c r="BC295" s="19" t="s">
        <v>143</v>
      </c>
      <c r="BD295" s="75" t="s">
        <v>1328</v>
      </c>
      <c r="BE295" s="100" t="s">
        <v>3877</v>
      </c>
      <c r="BF295" s="100" t="s">
        <v>4335</v>
      </c>
      <c r="BG295" s="100"/>
    </row>
    <row r="296" spans="1:59" s="10" customFormat="1" ht="13.5" x14ac:dyDescent="0.25">
      <c r="A296" s="59">
        <v>303</v>
      </c>
      <c r="B296" s="15" t="s">
        <v>60</v>
      </c>
      <c r="C296" s="12" t="s">
        <v>60</v>
      </c>
      <c r="D296" s="11" t="s">
        <v>40</v>
      </c>
      <c r="E296" s="11" t="s">
        <v>61</v>
      </c>
      <c r="F296" s="11" t="s">
        <v>986</v>
      </c>
      <c r="G296" s="13" t="s">
        <v>1417</v>
      </c>
      <c r="H296" s="11" t="s">
        <v>1416</v>
      </c>
      <c r="I296" s="3" t="s">
        <v>60</v>
      </c>
      <c r="J296" s="3" t="s">
        <v>60</v>
      </c>
      <c r="K296" s="11" t="s">
        <v>1550</v>
      </c>
      <c r="L296" s="4" t="s">
        <v>60</v>
      </c>
      <c r="M296" s="4" t="s">
        <v>60</v>
      </c>
      <c r="N296" s="4" t="s">
        <v>60</v>
      </c>
      <c r="O296" s="4" t="s">
        <v>60</v>
      </c>
      <c r="P296" s="4" t="s">
        <v>60</v>
      </c>
      <c r="Q296" s="4" t="s">
        <v>60</v>
      </c>
      <c r="R296" s="4" t="s">
        <v>60</v>
      </c>
      <c r="S296" s="4" t="s">
        <v>60</v>
      </c>
      <c r="T296" s="4" t="s">
        <v>60</v>
      </c>
      <c r="U296" s="4" t="s">
        <v>60</v>
      </c>
      <c r="V296" s="4" t="s">
        <v>60</v>
      </c>
      <c r="W296" s="4" t="s">
        <v>60</v>
      </c>
      <c r="X296" s="4" t="s">
        <v>60</v>
      </c>
      <c r="Y296" s="4" t="s">
        <v>60</v>
      </c>
      <c r="Z296" s="4" t="s">
        <v>60</v>
      </c>
      <c r="AA296" s="4" t="s">
        <v>60</v>
      </c>
      <c r="AB296" s="4" t="s">
        <v>60</v>
      </c>
      <c r="AC296" s="4" t="s">
        <v>60</v>
      </c>
      <c r="AD296" s="4" t="s">
        <v>60</v>
      </c>
      <c r="AE296" s="2" t="s">
        <v>60</v>
      </c>
      <c r="AF296" s="3" t="s">
        <v>1416</v>
      </c>
      <c r="AG296" s="7" t="s">
        <v>60</v>
      </c>
      <c r="AH296" s="7" t="s">
        <v>60</v>
      </c>
      <c r="AI296" s="7" t="s">
        <v>60</v>
      </c>
      <c r="AJ296" s="7" t="s">
        <v>60</v>
      </c>
      <c r="AK296" s="7" t="s">
        <v>60</v>
      </c>
      <c r="AL296" s="25" t="s">
        <v>1904</v>
      </c>
      <c r="AM296" s="25" t="s">
        <v>58</v>
      </c>
      <c r="AN296" s="25" t="s">
        <v>59</v>
      </c>
      <c r="AO296" s="25" t="s">
        <v>60</v>
      </c>
      <c r="AP296" s="19" t="s">
        <v>1550</v>
      </c>
      <c r="AQ296" s="19" t="s">
        <v>1869</v>
      </c>
      <c r="AR296" s="19" t="s">
        <v>60</v>
      </c>
      <c r="AS296" s="19" t="s">
        <v>2360</v>
      </c>
      <c r="AT296" s="19" t="s">
        <v>2345</v>
      </c>
      <c r="AU296" s="19" t="s">
        <v>2268</v>
      </c>
      <c r="AV296" s="19">
        <v>9999934588</v>
      </c>
      <c r="AW296" s="20">
        <v>46121</v>
      </c>
      <c r="AX296" s="19" t="s">
        <v>1990</v>
      </c>
      <c r="AY296" s="27" t="s">
        <v>986</v>
      </c>
      <c r="AZ296" s="27" t="s">
        <v>61</v>
      </c>
      <c r="BA296" s="19" t="s">
        <v>60</v>
      </c>
      <c r="BB296" s="19" t="s">
        <v>2665</v>
      </c>
      <c r="BC296" s="19" t="s">
        <v>79</v>
      </c>
      <c r="BD296" s="75" t="s">
        <v>1416</v>
      </c>
      <c r="BE296" s="100" t="s">
        <v>3980</v>
      </c>
      <c r="BF296" s="100" t="s">
        <v>4336</v>
      </c>
      <c r="BG296" s="100"/>
    </row>
    <row r="297" spans="1:59" s="10" customFormat="1" ht="13.5" x14ac:dyDescent="0.25">
      <c r="A297" s="59">
        <v>253</v>
      </c>
      <c r="B297" s="15" t="s">
        <v>60</v>
      </c>
      <c r="C297" s="12" t="s">
        <v>60</v>
      </c>
      <c r="D297" s="11" t="s">
        <v>40</v>
      </c>
      <c r="E297" s="11" t="s">
        <v>199</v>
      </c>
      <c r="F297" s="11" t="s">
        <v>1574</v>
      </c>
      <c r="G297" s="13" t="s">
        <v>1417</v>
      </c>
      <c r="H297" s="11" t="s">
        <v>1326</v>
      </c>
      <c r="I297" s="3" t="s">
        <v>60</v>
      </c>
      <c r="J297" s="3" t="s">
        <v>60</v>
      </c>
      <c r="K297" s="11" t="s">
        <v>1459</v>
      </c>
      <c r="L297" s="4" t="s">
        <v>60</v>
      </c>
      <c r="M297" s="4" t="s">
        <v>60</v>
      </c>
      <c r="N297" s="4" t="s">
        <v>60</v>
      </c>
      <c r="O297" s="4" t="s">
        <v>60</v>
      </c>
      <c r="P297" s="4" t="s">
        <v>60</v>
      </c>
      <c r="Q297" s="4" t="s">
        <v>60</v>
      </c>
      <c r="R297" s="4" t="s">
        <v>60</v>
      </c>
      <c r="S297" s="4" t="s">
        <v>60</v>
      </c>
      <c r="T297" s="4" t="s">
        <v>60</v>
      </c>
      <c r="U297" s="4" t="s">
        <v>60</v>
      </c>
      <c r="V297" s="4" t="s">
        <v>60</v>
      </c>
      <c r="W297" s="4" t="s">
        <v>60</v>
      </c>
      <c r="X297" s="4" t="s">
        <v>60</v>
      </c>
      <c r="Y297" s="4" t="s">
        <v>60</v>
      </c>
      <c r="Z297" s="4" t="s">
        <v>60</v>
      </c>
      <c r="AA297" s="4" t="s">
        <v>60</v>
      </c>
      <c r="AB297" s="4" t="s">
        <v>60</v>
      </c>
      <c r="AC297" s="4" t="s">
        <v>60</v>
      </c>
      <c r="AD297" s="4" t="s">
        <v>60</v>
      </c>
      <c r="AE297" s="2" t="s">
        <v>60</v>
      </c>
      <c r="AF297" s="3" t="s">
        <v>1326</v>
      </c>
      <c r="AG297" s="7" t="s">
        <v>60</v>
      </c>
      <c r="AH297" s="7" t="s">
        <v>60</v>
      </c>
      <c r="AI297" s="7" t="s">
        <v>60</v>
      </c>
      <c r="AJ297" s="7" t="s">
        <v>60</v>
      </c>
      <c r="AK297" s="7" t="s">
        <v>60</v>
      </c>
      <c r="AL297" s="25" t="s">
        <v>1904</v>
      </c>
      <c r="AM297" s="25" t="s">
        <v>58</v>
      </c>
      <c r="AN297" s="25" t="s">
        <v>59</v>
      </c>
      <c r="AO297" s="25" t="s">
        <v>60</v>
      </c>
      <c r="AP297" s="19" t="s">
        <v>1459</v>
      </c>
      <c r="AQ297" s="19" t="s">
        <v>1869</v>
      </c>
      <c r="AR297" s="19" t="s">
        <v>60</v>
      </c>
      <c r="AS297" s="19" t="s">
        <v>2360</v>
      </c>
      <c r="AT297" s="19" t="s">
        <v>2154</v>
      </c>
      <c r="AU297" s="19" t="s">
        <v>2153</v>
      </c>
      <c r="AV297" s="19">
        <v>9999934588</v>
      </c>
      <c r="AW297" s="20">
        <v>46122</v>
      </c>
      <c r="AX297" s="19" t="s">
        <v>1990</v>
      </c>
      <c r="AY297" s="27" t="s">
        <v>1574</v>
      </c>
      <c r="AZ297" s="27" t="s">
        <v>199</v>
      </c>
      <c r="BA297" s="19" t="s">
        <v>60</v>
      </c>
      <c r="BB297" s="19" t="s">
        <v>2634</v>
      </c>
      <c r="BC297" s="19" t="s">
        <v>79</v>
      </c>
      <c r="BD297" s="75" t="s">
        <v>1326</v>
      </c>
      <c r="BE297" s="100" t="s">
        <v>3930</v>
      </c>
      <c r="BF297" s="100" t="s">
        <v>4337</v>
      </c>
      <c r="BG297" s="100"/>
    </row>
    <row r="298" spans="1:59" s="10" customFormat="1" ht="13.5" x14ac:dyDescent="0.25">
      <c r="A298" s="59">
        <v>266</v>
      </c>
      <c r="B298" s="15" t="s">
        <v>60</v>
      </c>
      <c r="C298" s="12" t="s">
        <v>60</v>
      </c>
      <c r="D298" s="11" t="s">
        <v>40</v>
      </c>
      <c r="E298" s="11" t="s">
        <v>199</v>
      </c>
      <c r="F298" s="11" t="s">
        <v>1607</v>
      </c>
      <c r="G298" s="13" t="s">
        <v>1417</v>
      </c>
      <c r="H298" s="11" t="s">
        <v>1391</v>
      </c>
      <c r="I298" s="3" t="s">
        <v>60</v>
      </c>
      <c r="J298" s="3" t="s">
        <v>60</v>
      </c>
      <c r="K298" s="11" t="s">
        <v>1525</v>
      </c>
      <c r="L298" s="4" t="s">
        <v>60</v>
      </c>
      <c r="M298" s="4" t="s">
        <v>60</v>
      </c>
      <c r="N298" s="4" t="s">
        <v>60</v>
      </c>
      <c r="O298" s="4" t="s">
        <v>60</v>
      </c>
      <c r="P298" s="4" t="s">
        <v>60</v>
      </c>
      <c r="Q298" s="4" t="s">
        <v>60</v>
      </c>
      <c r="R298" s="4" t="s">
        <v>60</v>
      </c>
      <c r="S298" s="4" t="s">
        <v>60</v>
      </c>
      <c r="T298" s="4" t="s">
        <v>60</v>
      </c>
      <c r="U298" s="4" t="s">
        <v>60</v>
      </c>
      <c r="V298" s="4" t="s">
        <v>60</v>
      </c>
      <c r="W298" s="4" t="s">
        <v>60</v>
      </c>
      <c r="X298" s="4" t="s">
        <v>60</v>
      </c>
      <c r="Y298" s="4" t="s">
        <v>60</v>
      </c>
      <c r="Z298" s="4" t="s">
        <v>60</v>
      </c>
      <c r="AA298" s="4" t="s">
        <v>60</v>
      </c>
      <c r="AB298" s="4" t="s">
        <v>60</v>
      </c>
      <c r="AC298" s="4" t="s">
        <v>60</v>
      </c>
      <c r="AD298" s="4" t="s">
        <v>60</v>
      </c>
      <c r="AE298" s="2" t="s">
        <v>60</v>
      </c>
      <c r="AF298" s="3" t="s">
        <v>1391</v>
      </c>
      <c r="AG298" s="7" t="s">
        <v>60</v>
      </c>
      <c r="AH298" s="7" t="s">
        <v>60</v>
      </c>
      <c r="AI298" s="7" t="s">
        <v>60</v>
      </c>
      <c r="AJ298" s="7" t="s">
        <v>60</v>
      </c>
      <c r="AK298" s="7" t="s">
        <v>60</v>
      </c>
      <c r="AL298" s="25" t="s">
        <v>1904</v>
      </c>
      <c r="AM298" s="25" t="s">
        <v>58</v>
      </c>
      <c r="AN298" s="25" t="s">
        <v>59</v>
      </c>
      <c r="AO298" s="25" t="s">
        <v>60</v>
      </c>
      <c r="AP298" s="19" t="s">
        <v>1525</v>
      </c>
      <c r="AQ298" s="19" t="s">
        <v>1869</v>
      </c>
      <c r="AR298" s="19" t="s">
        <v>60</v>
      </c>
      <c r="AS298" s="19" t="s">
        <v>2360</v>
      </c>
      <c r="AT298" s="19" t="s">
        <v>2339</v>
      </c>
      <c r="AU298" s="19" t="s">
        <v>2237</v>
      </c>
      <c r="AV298" s="19">
        <v>9999934588</v>
      </c>
      <c r="AW298" s="20">
        <v>46122</v>
      </c>
      <c r="AX298" s="19" t="s">
        <v>1990</v>
      </c>
      <c r="AY298" s="27" t="s">
        <v>1607</v>
      </c>
      <c r="AZ298" s="27" t="s">
        <v>199</v>
      </c>
      <c r="BA298" s="19" t="s">
        <v>60</v>
      </c>
      <c r="BB298" s="19" t="s">
        <v>60</v>
      </c>
      <c r="BC298" s="19" t="s">
        <v>538</v>
      </c>
      <c r="BD298" s="75" t="s">
        <v>1391</v>
      </c>
      <c r="BE298" s="100" t="s">
        <v>3943</v>
      </c>
      <c r="BF298" s="100" t="s">
        <v>4338</v>
      </c>
      <c r="BG298" s="100"/>
    </row>
    <row r="299" spans="1:59" s="10" customFormat="1" ht="13.5" x14ac:dyDescent="0.25">
      <c r="A299" s="59">
        <v>298</v>
      </c>
      <c r="B299" s="15" t="s">
        <v>60</v>
      </c>
      <c r="C299" s="12" t="s">
        <v>60</v>
      </c>
      <c r="D299" s="11" t="s">
        <v>40</v>
      </c>
      <c r="E299" s="11" t="s">
        <v>61</v>
      </c>
      <c r="F299" s="11" t="s">
        <v>1608</v>
      </c>
      <c r="G299" s="13" t="s">
        <v>1417</v>
      </c>
      <c r="H299" s="11" t="s">
        <v>1394</v>
      </c>
      <c r="I299" s="3" t="s">
        <v>60</v>
      </c>
      <c r="J299" s="3" t="s">
        <v>60</v>
      </c>
      <c r="K299" s="11" t="s">
        <v>1528</v>
      </c>
      <c r="L299" s="4" t="s">
        <v>60</v>
      </c>
      <c r="M299" s="4" t="s">
        <v>60</v>
      </c>
      <c r="N299" s="4" t="s">
        <v>60</v>
      </c>
      <c r="O299" s="4" t="s">
        <v>60</v>
      </c>
      <c r="P299" s="4" t="s">
        <v>60</v>
      </c>
      <c r="Q299" s="4" t="s">
        <v>60</v>
      </c>
      <c r="R299" s="4" t="s">
        <v>60</v>
      </c>
      <c r="S299" s="4" t="s">
        <v>60</v>
      </c>
      <c r="T299" s="4" t="s">
        <v>60</v>
      </c>
      <c r="U299" s="4" t="s">
        <v>60</v>
      </c>
      <c r="V299" s="4" t="s">
        <v>60</v>
      </c>
      <c r="W299" s="4" t="s">
        <v>60</v>
      </c>
      <c r="X299" s="4" t="s">
        <v>60</v>
      </c>
      <c r="Y299" s="4" t="s">
        <v>60</v>
      </c>
      <c r="Z299" s="4" t="s">
        <v>60</v>
      </c>
      <c r="AA299" s="4" t="s">
        <v>60</v>
      </c>
      <c r="AB299" s="4" t="s">
        <v>60</v>
      </c>
      <c r="AC299" s="4" t="s">
        <v>60</v>
      </c>
      <c r="AD299" s="4" t="s">
        <v>60</v>
      </c>
      <c r="AE299" s="2" t="s">
        <v>60</v>
      </c>
      <c r="AF299" s="3" t="s">
        <v>1394</v>
      </c>
      <c r="AG299" s="7" t="s">
        <v>60</v>
      </c>
      <c r="AH299" s="7" t="s">
        <v>60</v>
      </c>
      <c r="AI299" s="7" t="s">
        <v>60</v>
      </c>
      <c r="AJ299" s="7" t="s">
        <v>60</v>
      </c>
      <c r="AK299" s="7" t="s">
        <v>60</v>
      </c>
      <c r="AL299" s="25" t="s">
        <v>1904</v>
      </c>
      <c r="AM299" s="25" t="s">
        <v>58</v>
      </c>
      <c r="AN299" s="25" t="s">
        <v>59</v>
      </c>
      <c r="AO299" s="25" t="s">
        <v>60</v>
      </c>
      <c r="AP299" s="19" t="s">
        <v>1528</v>
      </c>
      <c r="AQ299" s="19" t="s">
        <v>1869</v>
      </c>
      <c r="AR299" s="19" t="s">
        <v>60</v>
      </c>
      <c r="AS299" s="19" t="s">
        <v>2360</v>
      </c>
      <c r="AT299" s="19" t="s">
        <v>2340</v>
      </c>
      <c r="AU299" s="19" t="s">
        <v>2116</v>
      </c>
      <c r="AV299" s="19">
        <v>9999934588</v>
      </c>
      <c r="AW299" s="20">
        <v>46123</v>
      </c>
      <c r="AX299" s="19" t="s">
        <v>1990</v>
      </c>
      <c r="AY299" s="27" t="s">
        <v>1608</v>
      </c>
      <c r="AZ299" s="27" t="s">
        <v>61</v>
      </c>
      <c r="BA299" s="19" t="s">
        <v>60</v>
      </c>
      <c r="BB299" s="19" t="s">
        <v>2536</v>
      </c>
      <c r="BC299" s="19" t="s">
        <v>1042</v>
      </c>
      <c r="BD299" s="75" t="s">
        <v>1394</v>
      </c>
      <c r="BE299" s="100" t="s">
        <v>3975</v>
      </c>
      <c r="BF299" s="100" t="s">
        <v>4339</v>
      </c>
      <c r="BG299" s="100"/>
    </row>
    <row r="300" spans="1:59" s="10" customFormat="1" ht="13.5" x14ac:dyDescent="0.25">
      <c r="A300" s="59">
        <v>289</v>
      </c>
      <c r="B300" s="15" t="s">
        <v>60</v>
      </c>
      <c r="C300" s="12" t="s">
        <v>60</v>
      </c>
      <c r="D300" s="11" t="s">
        <v>40</v>
      </c>
      <c r="E300" s="11" t="s">
        <v>61</v>
      </c>
      <c r="F300" s="11" t="s">
        <v>1586</v>
      </c>
      <c r="G300" s="13" t="s">
        <v>1417</v>
      </c>
      <c r="H300" s="11" t="s">
        <v>1345</v>
      </c>
      <c r="I300" s="3" t="s">
        <v>60</v>
      </c>
      <c r="J300" s="3" t="s">
        <v>60</v>
      </c>
      <c r="K300" s="11" t="s">
        <v>1478</v>
      </c>
      <c r="L300" s="4" t="s">
        <v>60</v>
      </c>
      <c r="M300" s="4" t="s">
        <v>60</v>
      </c>
      <c r="N300" s="4" t="s">
        <v>60</v>
      </c>
      <c r="O300" s="4" t="s">
        <v>60</v>
      </c>
      <c r="P300" s="4" t="s">
        <v>60</v>
      </c>
      <c r="Q300" s="4" t="s">
        <v>60</v>
      </c>
      <c r="R300" s="4" t="s">
        <v>60</v>
      </c>
      <c r="S300" s="4" t="s">
        <v>60</v>
      </c>
      <c r="T300" s="4" t="s">
        <v>60</v>
      </c>
      <c r="U300" s="4" t="s">
        <v>60</v>
      </c>
      <c r="V300" s="4" t="s">
        <v>60</v>
      </c>
      <c r="W300" s="4" t="s">
        <v>60</v>
      </c>
      <c r="X300" s="4" t="s">
        <v>60</v>
      </c>
      <c r="Y300" s="4" t="s">
        <v>60</v>
      </c>
      <c r="Z300" s="4" t="s">
        <v>60</v>
      </c>
      <c r="AA300" s="4" t="s">
        <v>60</v>
      </c>
      <c r="AB300" s="4" t="s">
        <v>60</v>
      </c>
      <c r="AC300" s="4" t="s">
        <v>60</v>
      </c>
      <c r="AD300" s="4" t="s">
        <v>60</v>
      </c>
      <c r="AE300" s="2" t="s">
        <v>60</v>
      </c>
      <c r="AF300" s="3" t="s">
        <v>1345</v>
      </c>
      <c r="AG300" s="7" t="s">
        <v>60</v>
      </c>
      <c r="AH300" s="7" t="s">
        <v>60</v>
      </c>
      <c r="AI300" s="7" t="s">
        <v>60</v>
      </c>
      <c r="AJ300" s="7" t="s">
        <v>60</v>
      </c>
      <c r="AK300" s="7" t="s">
        <v>60</v>
      </c>
      <c r="AL300" s="25" t="s">
        <v>1904</v>
      </c>
      <c r="AM300" s="25" t="s">
        <v>58</v>
      </c>
      <c r="AN300" s="25" t="s">
        <v>59</v>
      </c>
      <c r="AO300" s="25" t="s">
        <v>60</v>
      </c>
      <c r="AP300" s="19" t="s">
        <v>1478</v>
      </c>
      <c r="AQ300" s="19" t="s">
        <v>1869</v>
      </c>
      <c r="AR300" s="19" t="s">
        <v>60</v>
      </c>
      <c r="AS300" s="19" t="s">
        <v>2360</v>
      </c>
      <c r="AT300" s="19" t="s">
        <v>2181</v>
      </c>
      <c r="AU300" s="19" t="s">
        <v>2116</v>
      </c>
      <c r="AV300" s="19">
        <v>9999934588</v>
      </c>
      <c r="AW300" s="20">
        <v>46126</v>
      </c>
      <c r="AX300" s="19" t="s">
        <v>1990</v>
      </c>
      <c r="AY300" s="27" t="s">
        <v>1586</v>
      </c>
      <c r="AZ300" s="27" t="s">
        <v>61</v>
      </c>
      <c r="BA300" s="19" t="s">
        <v>60</v>
      </c>
      <c r="BB300" s="19" t="s">
        <v>2536</v>
      </c>
      <c r="BC300" s="19" t="s">
        <v>60</v>
      </c>
      <c r="BD300" s="75" t="s">
        <v>1345</v>
      </c>
      <c r="BE300" s="100" t="s">
        <v>3966</v>
      </c>
      <c r="BF300" s="100" t="s">
        <v>4340</v>
      </c>
      <c r="BG300" s="100"/>
    </row>
    <row r="301" spans="1:59" s="10" customFormat="1" ht="13.5" x14ac:dyDescent="0.25">
      <c r="A301" s="59">
        <v>280</v>
      </c>
      <c r="B301" s="15" t="s">
        <v>60</v>
      </c>
      <c r="C301" s="12" t="s">
        <v>60</v>
      </c>
      <c r="D301" s="11" t="s">
        <v>40</v>
      </c>
      <c r="E301" s="11" t="s">
        <v>61</v>
      </c>
      <c r="F301" s="11" t="s">
        <v>1570</v>
      </c>
      <c r="G301" s="13" t="s">
        <v>1417</v>
      </c>
      <c r="H301" s="11" t="s">
        <v>1316</v>
      </c>
      <c r="I301" s="3" t="s">
        <v>60</v>
      </c>
      <c r="J301" s="3" t="s">
        <v>60</v>
      </c>
      <c r="K301" s="11" t="s">
        <v>1449</v>
      </c>
      <c r="L301" s="4" t="s">
        <v>60</v>
      </c>
      <c r="M301" s="4" t="s">
        <v>60</v>
      </c>
      <c r="N301" s="4" t="s">
        <v>60</v>
      </c>
      <c r="O301" s="4" t="s">
        <v>60</v>
      </c>
      <c r="P301" s="4" t="s">
        <v>60</v>
      </c>
      <c r="Q301" s="4" t="s">
        <v>60</v>
      </c>
      <c r="R301" s="4" t="s">
        <v>60</v>
      </c>
      <c r="S301" s="4" t="s">
        <v>60</v>
      </c>
      <c r="T301" s="4" t="s">
        <v>60</v>
      </c>
      <c r="U301" s="4" t="s">
        <v>60</v>
      </c>
      <c r="V301" s="4" t="s">
        <v>60</v>
      </c>
      <c r="W301" s="4" t="s">
        <v>60</v>
      </c>
      <c r="X301" s="4" t="s">
        <v>60</v>
      </c>
      <c r="Y301" s="4" t="s">
        <v>60</v>
      </c>
      <c r="Z301" s="4" t="s">
        <v>60</v>
      </c>
      <c r="AA301" s="4" t="s">
        <v>60</v>
      </c>
      <c r="AB301" s="4" t="s">
        <v>60</v>
      </c>
      <c r="AC301" s="4" t="s">
        <v>60</v>
      </c>
      <c r="AD301" s="4" t="s">
        <v>60</v>
      </c>
      <c r="AE301" s="2" t="s">
        <v>60</v>
      </c>
      <c r="AF301" s="3" t="s">
        <v>1316</v>
      </c>
      <c r="AG301" s="7" t="s">
        <v>60</v>
      </c>
      <c r="AH301" s="7" t="s">
        <v>60</v>
      </c>
      <c r="AI301" s="7" t="s">
        <v>60</v>
      </c>
      <c r="AJ301" s="7" t="s">
        <v>60</v>
      </c>
      <c r="AK301" s="7" t="s">
        <v>60</v>
      </c>
      <c r="AL301" s="25" t="s">
        <v>1904</v>
      </c>
      <c r="AM301" s="25" t="s">
        <v>58</v>
      </c>
      <c r="AN301" s="25" t="s">
        <v>59</v>
      </c>
      <c r="AO301" s="25" t="s">
        <v>60</v>
      </c>
      <c r="AP301" s="19" t="s">
        <v>1449</v>
      </c>
      <c r="AQ301" s="19" t="s">
        <v>1869</v>
      </c>
      <c r="AR301" s="19" t="s">
        <v>60</v>
      </c>
      <c r="AS301" s="19" t="s">
        <v>2359</v>
      </c>
      <c r="AT301" s="19" t="s">
        <v>2137</v>
      </c>
      <c r="AU301" s="19" t="s">
        <v>2136</v>
      </c>
      <c r="AV301" s="19">
        <v>9999934588</v>
      </c>
      <c r="AW301" s="20">
        <v>46130</v>
      </c>
      <c r="AX301" s="19" t="s">
        <v>1990</v>
      </c>
      <c r="AY301" s="27" t="s">
        <v>1570</v>
      </c>
      <c r="AZ301" s="27" t="s">
        <v>61</v>
      </c>
      <c r="BA301" s="19" t="s">
        <v>60</v>
      </c>
      <c r="BB301" s="19" t="s">
        <v>2589</v>
      </c>
      <c r="BC301" s="19" t="s">
        <v>2654</v>
      </c>
      <c r="BD301" s="75" t="s">
        <v>1316</v>
      </c>
      <c r="BE301" s="100" t="s">
        <v>3957</v>
      </c>
      <c r="BF301" s="100" t="s">
        <v>4341</v>
      </c>
      <c r="BG301" s="100"/>
    </row>
    <row r="302" spans="1:59" s="10" customFormat="1" ht="13.5" x14ac:dyDescent="0.25">
      <c r="A302" s="59">
        <v>286</v>
      </c>
      <c r="B302" s="15" t="s">
        <v>60</v>
      </c>
      <c r="C302" s="12" t="s">
        <v>60</v>
      </c>
      <c r="D302" s="11" t="s">
        <v>40</v>
      </c>
      <c r="E302" s="11" t="s">
        <v>61</v>
      </c>
      <c r="F302" s="11" t="s">
        <v>1582</v>
      </c>
      <c r="G302" s="13" t="s">
        <v>1417</v>
      </c>
      <c r="H302" s="11" t="s">
        <v>1338</v>
      </c>
      <c r="I302" s="3" t="s">
        <v>60</v>
      </c>
      <c r="J302" s="3" t="s">
        <v>60</v>
      </c>
      <c r="K302" s="11" t="s">
        <v>1471</v>
      </c>
      <c r="L302" s="4" t="s">
        <v>60</v>
      </c>
      <c r="M302" s="4" t="s">
        <v>60</v>
      </c>
      <c r="N302" s="4" t="s">
        <v>60</v>
      </c>
      <c r="O302" s="4" t="s">
        <v>60</v>
      </c>
      <c r="P302" s="4" t="s">
        <v>60</v>
      </c>
      <c r="Q302" s="4" t="s">
        <v>60</v>
      </c>
      <c r="R302" s="4" t="s">
        <v>60</v>
      </c>
      <c r="S302" s="4" t="s">
        <v>60</v>
      </c>
      <c r="T302" s="4" t="s">
        <v>60</v>
      </c>
      <c r="U302" s="4" t="s">
        <v>60</v>
      </c>
      <c r="V302" s="4" t="s">
        <v>60</v>
      </c>
      <c r="W302" s="4" t="s">
        <v>60</v>
      </c>
      <c r="X302" s="4" t="s">
        <v>60</v>
      </c>
      <c r="Y302" s="4" t="s">
        <v>60</v>
      </c>
      <c r="Z302" s="4" t="s">
        <v>60</v>
      </c>
      <c r="AA302" s="4" t="s">
        <v>60</v>
      </c>
      <c r="AB302" s="4" t="s">
        <v>60</v>
      </c>
      <c r="AC302" s="4" t="s">
        <v>60</v>
      </c>
      <c r="AD302" s="4" t="s">
        <v>60</v>
      </c>
      <c r="AE302" s="2" t="s">
        <v>60</v>
      </c>
      <c r="AF302" s="3" t="s">
        <v>1338</v>
      </c>
      <c r="AG302" s="7" t="s">
        <v>60</v>
      </c>
      <c r="AH302" s="7" t="s">
        <v>60</v>
      </c>
      <c r="AI302" s="7" t="s">
        <v>60</v>
      </c>
      <c r="AJ302" s="7" t="s">
        <v>60</v>
      </c>
      <c r="AK302" s="7" t="s">
        <v>60</v>
      </c>
      <c r="AL302" s="25" t="s">
        <v>1904</v>
      </c>
      <c r="AM302" s="25" t="s">
        <v>58</v>
      </c>
      <c r="AN302" s="25" t="s">
        <v>59</v>
      </c>
      <c r="AO302" s="25" t="s">
        <v>60</v>
      </c>
      <c r="AP302" s="19" t="s">
        <v>1471</v>
      </c>
      <c r="AQ302" s="19" t="s">
        <v>1869</v>
      </c>
      <c r="AR302" s="19" t="s">
        <v>60</v>
      </c>
      <c r="AS302" s="19" t="s">
        <v>2360</v>
      </c>
      <c r="AT302" s="19" t="s">
        <v>2172</v>
      </c>
      <c r="AU302" s="19" t="s">
        <v>2116</v>
      </c>
      <c r="AV302" s="19">
        <v>9999934588</v>
      </c>
      <c r="AW302" s="20">
        <v>46121</v>
      </c>
      <c r="AX302" s="19" t="s">
        <v>1990</v>
      </c>
      <c r="AY302" s="27" t="s">
        <v>1582</v>
      </c>
      <c r="AZ302" s="27" t="s">
        <v>61</v>
      </c>
      <c r="BA302" s="19" t="s">
        <v>60</v>
      </c>
      <c r="BB302" s="19" t="s">
        <v>2706</v>
      </c>
      <c r="BC302" s="19" t="s">
        <v>2533</v>
      </c>
      <c r="BD302" s="75" t="s">
        <v>1338</v>
      </c>
      <c r="BE302" s="100" t="s">
        <v>3963</v>
      </c>
      <c r="BF302" s="100" t="s">
        <v>4342</v>
      </c>
      <c r="BG302" s="100"/>
    </row>
    <row r="303" spans="1:59" s="10" customFormat="1" ht="13.5" x14ac:dyDescent="0.25">
      <c r="A303" s="59">
        <v>250</v>
      </c>
      <c r="B303" s="15" t="s">
        <v>60</v>
      </c>
      <c r="C303" s="12" t="s">
        <v>60</v>
      </c>
      <c r="D303" s="11" t="s">
        <v>40</v>
      </c>
      <c r="E303" s="11" t="s">
        <v>199</v>
      </c>
      <c r="F303" s="11" t="s">
        <v>200</v>
      </c>
      <c r="G303" s="13" t="s">
        <v>1417</v>
      </c>
      <c r="H303" s="11" t="s">
        <v>1311</v>
      </c>
      <c r="I303" s="3" t="s">
        <v>60</v>
      </c>
      <c r="J303" s="3" t="s">
        <v>60</v>
      </c>
      <c r="K303" s="11" t="s">
        <v>1444</v>
      </c>
      <c r="L303" s="4" t="s">
        <v>60</v>
      </c>
      <c r="M303" s="4" t="s">
        <v>60</v>
      </c>
      <c r="N303" s="4" t="s">
        <v>60</v>
      </c>
      <c r="O303" s="4" t="s">
        <v>60</v>
      </c>
      <c r="P303" s="4" t="s">
        <v>60</v>
      </c>
      <c r="Q303" s="4" t="s">
        <v>60</v>
      </c>
      <c r="R303" s="4" t="s">
        <v>60</v>
      </c>
      <c r="S303" s="4" t="s">
        <v>60</v>
      </c>
      <c r="T303" s="4" t="s">
        <v>60</v>
      </c>
      <c r="U303" s="4" t="s">
        <v>60</v>
      </c>
      <c r="V303" s="4" t="s">
        <v>60</v>
      </c>
      <c r="W303" s="4" t="s">
        <v>60</v>
      </c>
      <c r="X303" s="4" t="s">
        <v>60</v>
      </c>
      <c r="Y303" s="4" t="s">
        <v>60</v>
      </c>
      <c r="Z303" s="4" t="s">
        <v>60</v>
      </c>
      <c r="AA303" s="4" t="s">
        <v>60</v>
      </c>
      <c r="AB303" s="4" t="s">
        <v>60</v>
      </c>
      <c r="AC303" s="4" t="s">
        <v>60</v>
      </c>
      <c r="AD303" s="4" t="s">
        <v>60</v>
      </c>
      <c r="AE303" s="2" t="s">
        <v>60</v>
      </c>
      <c r="AF303" s="3" t="s">
        <v>1311</v>
      </c>
      <c r="AG303" s="7" t="s">
        <v>60</v>
      </c>
      <c r="AH303" s="7" t="s">
        <v>60</v>
      </c>
      <c r="AI303" s="7" t="s">
        <v>60</v>
      </c>
      <c r="AJ303" s="7" t="s">
        <v>60</v>
      </c>
      <c r="AK303" s="7" t="s">
        <v>60</v>
      </c>
      <c r="AL303" s="25" t="s">
        <v>1904</v>
      </c>
      <c r="AM303" s="25" t="s">
        <v>58</v>
      </c>
      <c r="AN303" s="25" t="s">
        <v>59</v>
      </c>
      <c r="AO303" s="25" t="s">
        <v>60</v>
      </c>
      <c r="AP303" s="19" t="s">
        <v>1444</v>
      </c>
      <c r="AQ303" s="19" t="s">
        <v>1869</v>
      </c>
      <c r="AR303" s="19" t="s">
        <v>60</v>
      </c>
      <c r="AS303" s="19" t="s">
        <v>2360</v>
      </c>
      <c r="AT303" s="19" t="s">
        <v>2131</v>
      </c>
      <c r="AU303" s="19" t="s">
        <v>2132</v>
      </c>
      <c r="AV303" s="19">
        <v>9999934588</v>
      </c>
      <c r="AW303" s="20">
        <v>46128</v>
      </c>
      <c r="AX303" s="19" t="s">
        <v>1990</v>
      </c>
      <c r="AY303" s="27" t="s">
        <v>200</v>
      </c>
      <c r="AZ303" s="27" t="s">
        <v>199</v>
      </c>
      <c r="BA303" s="19" t="s">
        <v>60</v>
      </c>
      <c r="BB303" s="19" t="s">
        <v>2419</v>
      </c>
      <c r="BC303" s="19" t="s">
        <v>538</v>
      </c>
      <c r="BD303" s="75" t="s">
        <v>1311</v>
      </c>
      <c r="BE303" s="100" t="s">
        <v>3927</v>
      </c>
      <c r="BF303" s="100" t="s">
        <v>4343</v>
      </c>
      <c r="BG303" s="100"/>
    </row>
    <row r="304" spans="1:59" s="10" customFormat="1" ht="13.5" x14ac:dyDescent="0.25">
      <c r="A304" s="59">
        <v>195</v>
      </c>
      <c r="B304" s="15" t="s">
        <v>60</v>
      </c>
      <c r="C304" s="12" t="s">
        <v>60</v>
      </c>
      <c r="D304" s="11" t="s">
        <v>103</v>
      </c>
      <c r="E304" s="11" t="s">
        <v>1621</v>
      </c>
      <c r="F304" s="11" t="s">
        <v>1577</v>
      </c>
      <c r="G304" s="13" t="s">
        <v>1417</v>
      </c>
      <c r="H304" s="11" t="s">
        <v>1331</v>
      </c>
      <c r="I304" s="3" t="s">
        <v>60</v>
      </c>
      <c r="J304" s="3" t="s">
        <v>60</v>
      </c>
      <c r="K304" s="11" t="s">
        <v>1464</v>
      </c>
      <c r="L304" s="4" t="s">
        <v>60</v>
      </c>
      <c r="M304" s="4" t="s">
        <v>60</v>
      </c>
      <c r="N304" s="4" t="s">
        <v>60</v>
      </c>
      <c r="O304" s="4" t="s">
        <v>60</v>
      </c>
      <c r="P304" s="4" t="s">
        <v>60</v>
      </c>
      <c r="Q304" s="4" t="s">
        <v>60</v>
      </c>
      <c r="R304" s="4" t="s">
        <v>60</v>
      </c>
      <c r="S304" s="4" t="s">
        <v>60</v>
      </c>
      <c r="T304" s="4" t="s">
        <v>60</v>
      </c>
      <c r="U304" s="4" t="s">
        <v>60</v>
      </c>
      <c r="V304" s="4" t="s">
        <v>60</v>
      </c>
      <c r="W304" s="4" t="s">
        <v>60</v>
      </c>
      <c r="X304" s="4" t="s">
        <v>60</v>
      </c>
      <c r="Y304" s="4" t="s">
        <v>60</v>
      </c>
      <c r="Z304" s="4" t="s">
        <v>60</v>
      </c>
      <c r="AA304" s="4" t="s">
        <v>60</v>
      </c>
      <c r="AB304" s="4" t="s">
        <v>60</v>
      </c>
      <c r="AC304" s="4" t="s">
        <v>60</v>
      </c>
      <c r="AD304" s="4" t="s">
        <v>60</v>
      </c>
      <c r="AE304" s="2" t="s">
        <v>60</v>
      </c>
      <c r="AF304" s="3" t="s">
        <v>1331</v>
      </c>
      <c r="AG304" s="7" t="s">
        <v>60</v>
      </c>
      <c r="AH304" s="7" t="s">
        <v>60</v>
      </c>
      <c r="AI304" s="7" t="s">
        <v>60</v>
      </c>
      <c r="AJ304" s="7" t="s">
        <v>60</v>
      </c>
      <c r="AK304" s="7" t="s">
        <v>60</v>
      </c>
      <c r="AL304" s="25" t="s">
        <v>1904</v>
      </c>
      <c r="AM304" s="25" t="s">
        <v>58</v>
      </c>
      <c r="AN304" s="25" t="s">
        <v>59</v>
      </c>
      <c r="AO304" s="25" t="s">
        <v>60</v>
      </c>
      <c r="AP304" s="19" t="s">
        <v>1464</v>
      </c>
      <c r="AQ304" s="19" t="s">
        <v>1869</v>
      </c>
      <c r="AR304" s="19" t="s">
        <v>60</v>
      </c>
      <c r="AS304" s="19" t="s">
        <v>2360</v>
      </c>
      <c r="AT304" s="19" t="s">
        <v>2161</v>
      </c>
      <c r="AU304" s="19" t="s">
        <v>2162</v>
      </c>
      <c r="AV304" s="19">
        <v>9999934588</v>
      </c>
      <c r="AW304" s="20">
        <v>46123</v>
      </c>
      <c r="AX304" s="19" t="s">
        <v>1990</v>
      </c>
      <c r="AY304" s="27" t="s">
        <v>1577</v>
      </c>
      <c r="AZ304" s="27" t="s">
        <v>1621</v>
      </c>
      <c r="BA304" s="19" t="s">
        <v>60</v>
      </c>
      <c r="BB304" s="19" t="s">
        <v>2582</v>
      </c>
      <c r="BC304" s="19" t="s">
        <v>322</v>
      </c>
      <c r="BD304" s="75" t="s">
        <v>1331</v>
      </c>
      <c r="BE304" s="100" t="s">
        <v>3872</v>
      </c>
      <c r="BF304" s="100" t="s">
        <v>4344</v>
      </c>
      <c r="BG304" s="100"/>
    </row>
    <row r="305" spans="1:59" s="10" customFormat="1" ht="13.5" x14ac:dyDescent="0.25">
      <c r="A305" s="59">
        <v>218</v>
      </c>
      <c r="B305" s="15" t="s">
        <v>60</v>
      </c>
      <c r="C305" s="12" t="s">
        <v>60</v>
      </c>
      <c r="D305" s="11" t="s">
        <v>103</v>
      </c>
      <c r="E305" s="11" t="s">
        <v>465</v>
      </c>
      <c r="F305" s="11" t="s">
        <v>801</v>
      </c>
      <c r="G305" s="13" t="s">
        <v>1417</v>
      </c>
      <c r="H305" s="11" t="s">
        <v>1358</v>
      </c>
      <c r="I305" s="3" t="s">
        <v>60</v>
      </c>
      <c r="J305" s="3" t="s">
        <v>60</v>
      </c>
      <c r="K305" s="11" t="s">
        <v>1491</v>
      </c>
      <c r="L305" s="4" t="s">
        <v>60</v>
      </c>
      <c r="M305" s="4" t="s">
        <v>60</v>
      </c>
      <c r="N305" s="4" t="s">
        <v>60</v>
      </c>
      <c r="O305" s="4" t="s">
        <v>60</v>
      </c>
      <c r="P305" s="4" t="s">
        <v>60</v>
      </c>
      <c r="Q305" s="4" t="s">
        <v>60</v>
      </c>
      <c r="R305" s="4" t="s">
        <v>60</v>
      </c>
      <c r="S305" s="4" t="s">
        <v>60</v>
      </c>
      <c r="T305" s="4" t="s">
        <v>60</v>
      </c>
      <c r="U305" s="4" t="s">
        <v>60</v>
      </c>
      <c r="V305" s="4" t="s">
        <v>60</v>
      </c>
      <c r="W305" s="4" t="s">
        <v>60</v>
      </c>
      <c r="X305" s="4" t="s">
        <v>60</v>
      </c>
      <c r="Y305" s="4" t="s">
        <v>60</v>
      </c>
      <c r="Z305" s="4" t="s">
        <v>60</v>
      </c>
      <c r="AA305" s="4" t="s">
        <v>60</v>
      </c>
      <c r="AB305" s="4" t="s">
        <v>60</v>
      </c>
      <c r="AC305" s="4" t="s">
        <v>60</v>
      </c>
      <c r="AD305" s="4" t="s">
        <v>60</v>
      </c>
      <c r="AE305" s="2" t="s">
        <v>60</v>
      </c>
      <c r="AF305" s="3" t="s">
        <v>1358</v>
      </c>
      <c r="AG305" s="7" t="s">
        <v>60</v>
      </c>
      <c r="AH305" s="7" t="s">
        <v>60</v>
      </c>
      <c r="AI305" s="7" t="s">
        <v>60</v>
      </c>
      <c r="AJ305" s="7" t="s">
        <v>60</v>
      </c>
      <c r="AK305" s="7" t="s">
        <v>60</v>
      </c>
      <c r="AL305" s="25" t="s">
        <v>1904</v>
      </c>
      <c r="AM305" s="25" t="s">
        <v>58</v>
      </c>
      <c r="AN305" s="25" t="s">
        <v>59</v>
      </c>
      <c r="AO305" s="25" t="s">
        <v>60</v>
      </c>
      <c r="AP305" s="19" t="s">
        <v>1491</v>
      </c>
      <c r="AQ305" s="19" t="s">
        <v>1869</v>
      </c>
      <c r="AR305" s="19" t="s">
        <v>60</v>
      </c>
      <c r="AS305" s="19" t="s">
        <v>2360</v>
      </c>
      <c r="AT305" s="19" t="s">
        <v>2331</v>
      </c>
      <c r="AU305" s="19" t="s">
        <v>515</v>
      </c>
      <c r="AV305" s="19">
        <v>9999934588</v>
      </c>
      <c r="AW305" s="20">
        <v>46128</v>
      </c>
      <c r="AX305" s="19" t="s">
        <v>1990</v>
      </c>
      <c r="AY305" s="27" t="s">
        <v>801</v>
      </c>
      <c r="AZ305" s="27" t="s">
        <v>465</v>
      </c>
      <c r="BA305" s="19" t="s">
        <v>60</v>
      </c>
      <c r="BB305" s="19" t="s">
        <v>2581</v>
      </c>
      <c r="BC305" s="19" t="s">
        <v>322</v>
      </c>
      <c r="BD305" s="75" t="s">
        <v>1358</v>
      </c>
      <c r="BE305" s="100" t="s">
        <v>3895</v>
      </c>
      <c r="BF305" s="100" t="s">
        <v>4345</v>
      </c>
      <c r="BG305" s="100"/>
    </row>
    <row r="306" spans="1:59" s="10" customFormat="1" ht="13.5" x14ac:dyDescent="0.25">
      <c r="A306" s="59">
        <v>248</v>
      </c>
      <c r="B306" s="15" t="s">
        <v>60</v>
      </c>
      <c r="C306" s="12" t="s">
        <v>60</v>
      </c>
      <c r="D306" s="11" t="s">
        <v>40</v>
      </c>
      <c r="E306" s="11" t="s">
        <v>199</v>
      </c>
      <c r="F306" s="11" t="s">
        <v>1564</v>
      </c>
      <c r="G306" s="13" t="s">
        <v>1417</v>
      </c>
      <c r="H306" s="11" t="s">
        <v>1307</v>
      </c>
      <c r="I306" s="3" t="s">
        <v>60</v>
      </c>
      <c r="J306" s="3" t="s">
        <v>60</v>
      </c>
      <c r="K306" s="11" t="s">
        <v>1440</v>
      </c>
      <c r="L306" s="4" t="s">
        <v>60</v>
      </c>
      <c r="M306" s="4" t="s">
        <v>60</v>
      </c>
      <c r="N306" s="4" t="s">
        <v>60</v>
      </c>
      <c r="O306" s="4" t="s">
        <v>60</v>
      </c>
      <c r="P306" s="4" t="s">
        <v>60</v>
      </c>
      <c r="Q306" s="4" t="s">
        <v>60</v>
      </c>
      <c r="R306" s="4" t="s">
        <v>60</v>
      </c>
      <c r="S306" s="4" t="s">
        <v>60</v>
      </c>
      <c r="T306" s="4" t="s">
        <v>60</v>
      </c>
      <c r="U306" s="4" t="s">
        <v>60</v>
      </c>
      <c r="V306" s="4" t="s">
        <v>60</v>
      </c>
      <c r="W306" s="4" t="s">
        <v>60</v>
      </c>
      <c r="X306" s="4" t="s">
        <v>60</v>
      </c>
      <c r="Y306" s="4" t="s">
        <v>60</v>
      </c>
      <c r="Z306" s="4" t="s">
        <v>60</v>
      </c>
      <c r="AA306" s="4" t="s">
        <v>60</v>
      </c>
      <c r="AB306" s="4" t="s">
        <v>60</v>
      </c>
      <c r="AC306" s="4" t="s">
        <v>60</v>
      </c>
      <c r="AD306" s="4" t="s">
        <v>60</v>
      </c>
      <c r="AE306" s="2" t="s">
        <v>60</v>
      </c>
      <c r="AF306" s="3" t="s">
        <v>1307</v>
      </c>
      <c r="AG306" s="7" t="s">
        <v>60</v>
      </c>
      <c r="AH306" s="7" t="s">
        <v>60</v>
      </c>
      <c r="AI306" s="7" t="s">
        <v>60</v>
      </c>
      <c r="AJ306" s="7" t="s">
        <v>60</v>
      </c>
      <c r="AK306" s="7" t="s">
        <v>60</v>
      </c>
      <c r="AL306" s="25" t="s">
        <v>1904</v>
      </c>
      <c r="AM306" s="25" t="s">
        <v>58</v>
      </c>
      <c r="AN306" s="25" t="s">
        <v>59</v>
      </c>
      <c r="AO306" s="25" t="s">
        <v>60</v>
      </c>
      <c r="AP306" s="19" t="s">
        <v>1440</v>
      </c>
      <c r="AQ306" s="19" t="s">
        <v>1869</v>
      </c>
      <c r="AR306" s="19" t="s">
        <v>60</v>
      </c>
      <c r="AS306" s="19" t="s">
        <v>2360</v>
      </c>
      <c r="AT306" s="19" t="s">
        <v>2326</v>
      </c>
      <c r="AU306" s="19" t="s">
        <v>2126</v>
      </c>
      <c r="AV306" s="19">
        <v>9999934588</v>
      </c>
      <c r="AW306" s="20">
        <v>46123</v>
      </c>
      <c r="AX306" s="19" t="s">
        <v>1990</v>
      </c>
      <c r="AY306" s="27" t="s">
        <v>1564</v>
      </c>
      <c r="AZ306" s="27" t="s">
        <v>199</v>
      </c>
      <c r="BA306" s="19" t="s">
        <v>60</v>
      </c>
      <c r="BB306" s="19" t="s">
        <v>2628</v>
      </c>
      <c r="BC306" s="19" t="s">
        <v>2554</v>
      </c>
      <c r="BD306" s="75" t="s">
        <v>1307</v>
      </c>
      <c r="BE306" s="100" t="s">
        <v>3925</v>
      </c>
      <c r="BF306" s="100" t="s">
        <v>4346</v>
      </c>
      <c r="BG306" s="100"/>
    </row>
    <row r="307" spans="1:59" s="10" customFormat="1" ht="13.5" x14ac:dyDescent="0.25">
      <c r="A307" s="59">
        <v>226</v>
      </c>
      <c r="B307" s="15" t="s">
        <v>60</v>
      </c>
      <c r="C307" s="12" t="s">
        <v>60</v>
      </c>
      <c r="D307" s="11" t="s">
        <v>103</v>
      </c>
      <c r="E307" s="11" t="s">
        <v>237</v>
      </c>
      <c r="F307" s="11" t="s">
        <v>238</v>
      </c>
      <c r="G307" s="13" t="s">
        <v>1417</v>
      </c>
      <c r="H307" s="11" t="s">
        <v>1324</v>
      </c>
      <c r="I307" s="3" t="s">
        <v>60</v>
      </c>
      <c r="J307" s="3" t="s">
        <v>60</v>
      </c>
      <c r="K307" s="11" t="s">
        <v>1457</v>
      </c>
      <c r="L307" s="4" t="s">
        <v>60</v>
      </c>
      <c r="M307" s="4" t="s">
        <v>60</v>
      </c>
      <c r="N307" s="4" t="s">
        <v>60</v>
      </c>
      <c r="O307" s="4" t="s">
        <v>60</v>
      </c>
      <c r="P307" s="4" t="s">
        <v>60</v>
      </c>
      <c r="Q307" s="4" t="s">
        <v>60</v>
      </c>
      <c r="R307" s="4" t="s">
        <v>60</v>
      </c>
      <c r="S307" s="4" t="s">
        <v>60</v>
      </c>
      <c r="T307" s="4" t="s">
        <v>60</v>
      </c>
      <c r="U307" s="4" t="s">
        <v>60</v>
      </c>
      <c r="V307" s="4" t="s">
        <v>60</v>
      </c>
      <c r="W307" s="4" t="s">
        <v>60</v>
      </c>
      <c r="X307" s="4" t="s">
        <v>60</v>
      </c>
      <c r="Y307" s="4" t="s">
        <v>60</v>
      </c>
      <c r="Z307" s="4" t="s">
        <v>60</v>
      </c>
      <c r="AA307" s="4" t="s">
        <v>60</v>
      </c>
      <c r="AB307" s="4" t="s">
        <v>60</v>
      </c>
      <c r="AC307" s="4" t="s">
        <v>60</v>
      </c>
      <c r="AD307" s="4" t="s">
        <v>60</v>
      </c>
      <c r="AE307" s="2" t="s">
        <v>60</v>
      </c>
      <c r="AF307" s="3" t="s">
        <v>1324</v>
      </c>
      <c r="AG307" s="7" t="s">
        <v>60</v>
      </c>
      <c r="AH307" s="7" t="s">
        <v>60</v>
      </c>
      <c r="AI307" s="7" t="s">
        <v>60</v>
      </c>
      <c r="AJ307" s="7" t="s">
        <v>60</v>
      </c>
      <c r="AK307" s="7" t="s">
        <v>60</v>
      </c>
      <c r="AL307" s="25" t="s">
        <v>1904</v>
      </c>
      <c r="AM307" s="25" t="s">
        <v>58</v>
      </c>
      <c r="AN307" s="25" t="s">
        <v>59</v>
      </c>
      <c r="AO307" s="25" t="s">
        <v>60</v>
      </c>
      <c r="AP307" s="19" t="s">
        <v>1457</v>
      </c>
      <c r="AQ307" s="19" t="s">
        <v>1869</v>
      </c>
      <c r="AR307" s="19" t="s">
        <v>60</v>
      </c>
      <c r="AS307" s="19" t="s">
        <v>2360</v>
      </c>
      <c r="AT307" s="19" t="s">
        <v>2151</v>
      </c>
      <c r="AU307" s="19" t="s">
        <v>2129</v>
      </c>
      <c r="AV307" s="19">
        <v>9999934588</v>
      </c>
      <c r="AW307" s="20">
        <v>46125</v>
      </c>
      <c r="AX307" s="19" t="s">
        <v>1990</v>
      </c>
      <c r="AY307" s="27" t="s">
        <v>238</v>
      </c>
      <c r="AZ307" s="27" t="s">
        <v>237</v>
      </c>
      <c r="BA307" s="19" t="s">
        <v>60</v>
      </c>
      <c r="BB307" s="19" t="s">
        <v>2577</v>
      </c>
      <c r="BC307" s="19" t="s">
        <v>322</v>
      </c>
      <c r="BD307" s="75" t="s">
        <v>1324</v>
      </c>
      <c r="BE307" s="100" t="s">
        <v>3903</v>
      </c>
      <c r="BF307" s="100" t="s">
        <v>4347</v>
      </c>
      <c r="BG307" s="100"/>
    </row>
    <row r="308" spans="1:59" s="10" customFormat="1" ht="13.5" x14ac:dyDescent="0.25">
      <c r="A308" s="59">
        <v>275</v>
      </c>
      <c r="B308" s="15" t="s">
        <v>60</v>
      </c>
      <c r="C308" s="12" t="s">
        <v>60</v>
      </c>
      <c r="D308" s="11" t="s">
        <v>40</v>
      </c>
      <c r="E308" s="11" t="s">
        <v>61</v>
      </c>
      <c r="F308" s="11" t="s">
        <v>889</v>
      </c>
      <c r="G308" s="13" t="s">
        <v>1417</v>
      </c>
      <c r="H308" s="11" t="s">
        <v>1291</v>
      </c>
      <c r="I308" s="3" t="s">
        <v>60</v>
      </c>
      <c r="J308" s="3" t="s">
        <v>60</v>
      </c>
      <c r="K308" s="11" t="s">
        <v>1424</v>
      </c>
      <c r="L308" s="4" t="s">
        <v>60</v>
      </c>
      <c r="M308" s="4" t="s">
        <v>60</v>
      </c>
      <c r="N308" s="4" t="s">
        <v>60</v>
      </c>
      <c r="O308" s="4" t="s">
        <v>60</v>
      </c>
      <c r="P308" s="4" t="s">
        <v>60</v>
      </c>
      <c r="Q308" s="4" t="s">
        <v>60</v>
      </c>
      <c r="R308" s="4" t="s">
        <v>60</v>
      </c>
      <c r="S308" s="4" t="s">
        <v>60</v>
      </c>
      <c r="T308" s="4" t="s">
        <v>60</v>
      </c>
      <c r="U308" s="4" t="s">
        <v>60</v>
      </c>
      <c r="V308" s="4" t="s">
        <v>60</v>
      </c>
      <c r="W308" s="4" t="s">
        <v>60</v>
      </c>
      <c r="X308" s="4" t="s">
        <v>60</v>
      </c>
      <c r="Y308" s="4" t="s">
        <v>60</v>
      </c>
      <c r="Z308" s="4" t="s">
        <v>60</v>
      </c>
      <c r="AA308" s="4" t="s">
        <v>60</v>
      </c>
      <c r="AB308" s="4" t="s">
        <v>60</v>
      </c>
      <c r="AC308" s="4" t="s">
        <v>60</v>
      </c>
      <c r="AD308" s="4" t="s">
        <v>60</v>
      </c>
      <c r="AE308" s="2" t="s">
        <v>60</v>
      </c>
      <c r="AF308" s="3" t="s">
        <v>1291</v>
      </c>
      <c r="AG308" s="7" t="s">
        <v>60</v>
      </c>
      <c r="AH308" s="7" t="s">
        <v>60</v>
      </c>
      <c r="AI308" s="7" t="s">
        <v>60</v>
      </c>
      <c r="AJ308" s="7" t="s">
        <v>60</v>
      </c>
      <c r="AK308" s="7" t="s">
        <v>60</v>
      </c>
      <c r="AL308" s="25" t="s">
        <v>1904</v>
      </c>
      <c r="AM308" s="25" t="s">
        <v>58</v>
      </c>
      <c r="AN308" s="25" t="s">
        <v>59</v>
      </c>
      <c r="AO308" s="25" t="s">
        <v>60</v>
      </c>
      <c r="AP308" s="19" t="s">
        <v>1424</v>
      </c>
      <c r="AQ308" s="19" t="s">
        <v>1869</v>
      </c>
      <c r="AR308" s="19" t="s">
        <v>60</v>
      </c>
      <c r="AS308" s="19" t="s">
        <v>2360</v>
      </c>
      <c r="AT308" s="19" t="s">
        <v>2104</v>
      </c>
      <c r="AU308" s="19" t="s">
        <v>2105</v>
      </c>
      <c r="AV308" s="19">
        <v>9999934588</v>
      </c>
      <c r="AW308" s="20">
        <v>46126</v>
      </c>
      <c r="AX308" s="19" t="s">
        <v>1990</v>
      </c>
      <c r="AY308" s="27" t="s">
        <v>889</v>
      </c>
      <c r="AZ308" s="27" t="s">
        <v>61</v>
      </c>
      <c r="BA308" s="19" t="s">
        <v>60</v>
      </c>
      <c r="BB308" s="19" t="s">
        <v>2652</v>
      </c>
      <c r="BC308" s="19" t="s">
        <v>1042</v>
      </c>
      <c r="BD308" s="75" t="s">
        <v>1291</v>
      </c>
      <c r="BE308" s="100" t="s">
        <v>3952</v>
      </c>
      <c r="BF308" s="100" t="s">
        <v>4348</v>
      </c>
      <c r="BG308" s="100"/>
    </row>
    <row r="309" spans="1:59" s="10" customFormat="1" ht="13.5" x14ac:dyDescent="0.25">
      <c r="A309" s="59">
        <v>192</v>
      </c>
      <c r="B309" s="15" t="s">
        <v>60</v>
      </c>
      <c r="C309" s="12" t="s">
        <v>60</v>
      </c>
      <c r="D309" s="11" t="s">
        <v>40</v>
      </c>
      <c r="E309" s="11" t="s">
        <v>42</v>
      </c>
      <c r="F309" s="11" t="s">
        <v>42</v>
      </c>
      <c r="G309" s="13" t="s">
        <v>1417</v>
      </c>
      <c r="H309" s="11" t="s">
        <v>1319</v>
      </c>
      <c r="I309" s="3" t="s">
        <v>60</v>
      </c>
      <c r="J309" s="3" t="s">
        <v>60</v>
      </c>
      <c r="K309" s="11" t="s">
        <v>1452</v>
      </c>
      <c r="L309" s="4" t="s">
        <v>60</v>
      </c>
      <c r="M309" s="4" t="s">
        <v>60</v>
      </c>
      <c r="N309" s="4" t="s">
        <v>60</v>
      </c>
      <c r="O309" s="4" t="s">
        <v>60</v>
      </c>
      <c r="P309" s="4" t="s">
        <v>60</v>
      </c>
      <c r="Q309" s="4" t="s">
        <v>60</v>
      </c>
      <c r="R309" s="4" t="s">
        <v>60</v>
      </c>
      <c r="S309" s="4" t="s">
        <v>60</v>
      </c>
      <c r="T309" s="4" t="s">
        <v>60</v>
      </c>
      <c r="U309" s="4" t="s">
        <v>60</v>
      </c>
      <c r="V309" s="4" t="s">
        <v>60</v>
      </c>
      <c r="W309" s="4" t="s">
        <v>60</v>
      </c>
      <c r="X309" s="4" t="s">
        <v>60</v>
      </c>
      <c r="Y309" s="4" t="s">
        <v>60</v>
      </c>
      <c r="Z309" s="4" t="s">
        <v>60</v>
      </c>
      <c r="AA309" s="4" t="s">
        <v>60</v>
      </c>
      <c r="AB309" s="4" t="s">
        <v>60</v>
      </c>
      <c r="AC309" s="4" t="s">
        <v>60</v>
      </c>
      <c r="AD309" s="4" t="s">
        <v>60</v>
      </c>
      <c r="AE309" s="2" t="s">
        <v>60</v>
      </c>
      <c r="AF309" s="3" t="s">
        <v>1319</v>
      </c>
      <c r="AG309" s="7" t="s">
        <v>60</v>
      </c>
      <c r="AH309" s="7" t="s">
        <v>60</v>
      </c>
      <c r="AI309" s="7" t="s">
        <v>60</v>
      </c>
      <c r="AJ309" s="7" t="s">
        <v>60</v>
      </c>
      <c r="AK309" s="7" t="s">
        <v>60</v>
      </c>
      <c r="AL309" s="25" t="s">
        <v>1904</v>
      </c>
      <c r="AM309" s="25" t="s">
        <v>58</v>
      </c>
      <c r="AN309" s="25" t="s">
        <v>59</v>
      </c>
      <c r="AO309" s="25" t="s">
        <v>60</v>
      </c>
      <c r="AP309" s="19" t="s">
        <v>1452</v>
      </c>
      <c r="AQ309" s="19" t="s">
        <v>1869</v>
      </c>
      <c r="AR309" s="19" t="s">
        <v>60</v>
      </c>
      <c r="AS309" s="19" t="s">
        <v>2360</v>
      </c>
      <c r="AT309" s="19" t="s">
        <v>2142</v>
      </c>
      <c r="AU309" s="19" t="s">
        <v>2143</v>
      </c>
      <c r="AV309" s="19">
        <v>9999934588</v>
      </c>
      <c r="AW309" s="20">
        <v>46122</v>
      </c>
      <c r="AX309" s="19" t="s">
        <v>1990</v>
      </c>
      <c r="AY309" s="27" t="s">
        <v>42</v>
      </c>
      <c r="AZ309" s="27" t="s">
        <v>42</v>
      </c>
      <c r="BA309" s="19" t="s">
        <v>60</v>
      </c>
      <c r="BB309" s="19" t="s">
        <v>2591</v>
      </c>
      <c r="BC309" s="19" t="s">
        <v>2592</v>
      </c>
      <c r="BD309" s="75" t="s">
        <v>1319</v>
      </c>
      <c r="BE309" s="100" t="s">
        <v>3869</v>
      </c>
      <c r="BF309" s="100" t="s">
        <v>4349</v>
      </c>
      <c r="BG309" s="100"/>
    </row>
    <row r="310" spans="1:59" s="10" customFormat="1" ht="13.5" x14ac:dyDescent="0.25">
      <c r="A310" s="59">
        <v>272</v>
      </c>
      <c r="B310" s="15" t="s">
        <v>60</v>
      </c>
      <c r="C310" s="12" t="s">
        <v>60</v>
      </c>
      <c r="D310" s="11" t="s">
        <v>40</v>
      </c>
      <c r="E310" s="11" t="s">
        <v>61</v>
      </c>
      <c r="F310" s="11" t="s">
        <v>593</v>
      </c>
      <c r="G310" s="13" t="s">
        <v>1417</v>
      </c>
      <c r="H310" s="11" t="s">
        <v>1286</v>
      </c>
      <c r="I310" s="3" t="s">
        <v>60</v>
      </c>
      <c r="J310" s="3" t="s">
        <v>60</v>
      </c>
      <c r="K310" s="11" t="s">
        <v>1419</v>
      </c>
      <c r="L310" s="4" t="s">
        <v>60</v>
      </c>
      <c r="M310" s="4" t="s">
        <v>60</v>
      </c>
      <c r="N310" s="4" t="s">
        <v>60</v>
      </c>
      <c r="O310" s="4" t="s">
        <v>60</v>
      </c>
      <c r="P310" s="4" t="s">
        <v>60</v>
      </c>
      <c r="Q310" s="4" t="s">
        <v>60</v>
      </c>
      <c r="R310" s="4" t="s">
        <v>60</v>
      </c>
      <c r="S310" s="4" t="s">
        <v>60</v>
      </c>
      <c r="T310" s="4" t="s">
        <v>60</v>
      </c>
      <c r="U310" s="4" t="s">
        <v>60</v>
      </c>
      <c r="V310" s="4" t="s">
        <v>60</v>
      </c>
      <c r="W310" s="4" t="s">
        <v>60</v>
      </c>
      <c r="X310" s="4" t="s">
        <v>60</v>
      </c>
      <c r="Y310" s="4" t="s">
        <v>60</v>
      </c>
      <c r="Z310" s="4" t="s">
        <v>60</v>
      </c>
      <c r="AA310" s="4" t="s">
        <v>60</v>
      </c>
      <c r="AB310" s="4" t="s">
        <v>60</v>
      </c>
      <c r="AC310" s="4" t="s">
        <v>60</v>
      </c>
      <c r="AD310" s="4" t="s">
        <v>60</v>
      </c>
      <c r="AE310" s="2" t="s">
        <v>60</v>
      </c>
      <c r="AF310" s="3" t="s">
        <v>1286</v>
      </c>
      <c r="AG310" s="7" t="s">
        <v>60</v>
      </c>
      <c r="AH310" s="7" t="s">
        <v>60</v>
      </c>
      <c r="AI310" s="7" t="s">
        <v>60</v>
      </c>
      <c r="AJ310" s="7" t="s">
        <v>60</v>
      </c>
      <c r="AK310" s="7" t="s">
        <v>60</v>
      </c>
      <c r="AL310" s="25" t="s">
        <v>1904</v>
      </c>
      <c r="AM310" s="25" t="s">
        <v>58</v>
      </c>
      <c r="AN310" s="25" t="s">
        <v>59</v>
      </c>
      <c r="AO310" s="25" t="s">
        <v>60</v>
      </c>
      <c r="AP310" s="19" t="s">
        <v>1419</v>
      </c>
      <c r="AQ310" s="19" t="s">
        <v>1869</v>
      </c>
      <c r="AR310" s="19" t="s">
        <v>60</v>
      </c>
      <c r="AS310" s="19" t="s">
        <v>2360</v>
      </c>
      <c r="AT310" s="19" t="s">
        <v>60</v>
      </c>
      <c r="AU310" s="19" t="s">
        <v>2100</v>
      </c>
      <c r="AV310" s="19">
        <v>9999934588</v>
      </c>
      <c r="AW310" s="20">
        <v>46120</v>
      </c>
      <c r="AX310" s="19" t="s">
        <v>1990</v>
      </c>
      <c r="AY310" s="27" t="s">
        <v>593</v>
      </c>
      <c r="AZ310" s="27" t="s">
        <v>61</v>
      </c>
      <c r="BA310" s="19" t="s">
        <v>60</v>
      </c>
      <c r="BB310" s="19" t="s">
        <v>2647</v>
      </c>
      <c r="BC310" s="19" t="s">
        <v>2559</v>
      </c>
      <c r="BD310" s="75" t="s">
        <v>1286</v>
      </c>
      <c r="BE310" s="100" t="s">
        <v>3949</v>
      </c>
      <c r="BF310" s="100" t="s">
        <v>4350</v>
      </c>
      <c r="BG310" s="100"/>
    </row>
    <row r="311" spans="1:59" s="10" customFormat="1" ht="13.5" x14ac:dyDescent="0.25">
      <c r="A311" s="59">
        <v>273</v>
      </c>
      <c r="B311" s="15" t="s">
        <v>60</v>
      </c>
      <c r="C311" s="12" t="s">
        <v>60</v>
      </c>
      <c r="D311" s="11" t="s">
        <v>40</v>
      </c>
      <c r="E311" s="11" t="s">
        <v>61</v>
      </c>
      <c r="F311" s="11" t="s">
        <v>593</v>
      </c>
      <c r="G311" s="13" t="s">
        <v>1417</v>
      </c>
      <c r="H311" s="11" t="s">
        <v>1285</v>
      </c>
      <c r="I311" s="3" t="s">
        <v>60</v>
      </c>
      <c r="J311" s="3" t="s">
        <v>60</v>
      </c>
      <c r="K311" s="11" t="s">
        <v>1418</v>
      </c>
      <c r="L311" s="4" t="s">
        <v>60</v>
      </c>
      <c r="M311" s="4" t="s">
        <v>60</v>
      </c>
      <c r="N311" s="4" t="s">
        <v>60</v>
      </c>
      <c r="O311" s="4" t="s">
        <v>60</v>
      </c>
      <c r="P311" s="4" t="s">
        <v>60</v>
      </c>
      <c r="Q311" s="4" t="s">
        <v>60</v>
      </c>
      <c r="R311" s="4" t="s">
        <v>60</v>
      </c>
      <c r="S311" s="4" t="s">
        <v>60</v>
      </c>
      <c r="T311" s="4" t="s">
        <v>60</v>
      </c>
      <c r="U311" s="4" t="s">
        <v>60</v>
      </c>
      <c r="V311" s="4" t="s">
        <v>60</v>
      </c>
      <c r="W311" s="4" t="s">
        <v>60</v>
      </c>
      <c r="X311" s="4" t="s">
        <v>60</v>
      </c>
      <c r="Y311" s="4" t="s">
        <v>60</v>
      </c>
      <c r="Z311" s="4" t="s">
        <v>60</v>
      </c>
      <c r="AA311" s="4" t="s">
        <v>60</v>
      </c>
      <c r="AB311" s="4" t="s">
        <v>60</v>
      </c>
      <c r="AC311" s="4" t="s">
        <v>60</v>
      </c>
      <c r="AD311" s="4" t="s">
        <v>60</v>
      </c>
      <c r="AE311" s="2" t="s">
        <v>60</v>
      </c>
      <c r="AF311" s="3" t="s">
        <v>1285</v>
      </c>
      <c r="AG311" s="7" t="s">
        <v>60</v>
      </c>
      <c r="AH311" s="7" t="s">
        <v>60</v>
      </c>
      <c r="AI311" s="7" t="s">
        <v>60</v>
      </c>
      <c r="AJ311" s="7" t="s">
        <v>60</v>
      </c>
      <c r="AK311" s="7" t="s">
        <v>60</v>
      </c>
      <c r="AL311" s="25" t="s">
        <v>1904</v>
      </c>
      <c r="AM311" s="25" t="s">
        <v>58</v>
      </c>
      <c r="AN311" s="25" t="s">
        <v>59</v>
      </c>
      <c r="AO311" s="25" t="s">
        <v>60</v>
      </c>
      <c r="AP311" s="19" t="s">
        <v>1418</v>
      </c>
      <c r="AQ311" s="19" t="s">
        <v>1869</v>
      </c>
      <c r="AR311" s="19" t="s">
        <v>60</v>
      </c>
      <c r="AS311" s="19" t="s">
        <v>2360</v>
      </c>
      <c r="AT311" s="19" t="s">
        <v>2099</v>
      </c>
      <c r="AU311" s="19" t="s">
        <v>2100</v>
      </c>
      <c r="AV311" s="19">
        <v>9999934588</v>
      </c>
      <c r="AW311" s="20">
        <v>46120</v>
      </c>
      <c r="AX311" s="19" t="s">
        <v>1990</v>
      </c>
      <c r="AY311" s="27" t="s">
        <v>593</v>
      </c>
      <c r="AZ311" s="27" t="s">
        <v>61</v>
      </c>
      <c r="BA311" s="19" t="s">
        <v>60</v>
      </c>
      <c r="BB311" s="19" t="s">
        <v>2648</v>
      </c>
      <c r="BC311" s="19" t="s">
        <v>2649</v>
      </c>
      <c r="BD311" s="75" t="s">
        <v>1285</v>
      </c>
      <c r="BE311" s="100" t="s">
        <v>3950</v>
      </c>
      <c r="BF311" s="100" t="s">
        <v>4351</v>
      </c>
      <c r="BG311" s="100"/>
    </row>
    <row r="312" spans="1:59" s="10" customFormat="1" ht="13.5" x14ac:dyDescent="0.25">
      <c r="A312" s="59">
        <v>287</v>
      </c>
      <c r="B312" s="15" t="s">
        <v>60</v>
      </c>
      <c r="C312" s="12" t="s">
        <v>60</v>
      </c>
      <c r="D312" s="11" t="s">
        <v>40</v>
      </c>
      <c r="E312" s="11" t="s">
        <v>61</v>
      </c>
      <c r="F312" s="11" t="s">
        <v>1582</v>
      </c>
      <c r="G312" s="13" t="s">
        <v>1417</v>
      </c>
      <c r="H312" s="11" t="s">
        <v>1336</v>
      </c>
      <c r="I312" s="3" t="s">
        <v>60</v>
      </c>
      <c r="J312" s="3" t="s">
        <v>60</v>
      </c>
      <c r="K312" s="11" t="s">
        <v>1469</v>
      </c>
      <c r="L312" s="4" t="s">
        <v>60</v>
      </c>
      <c r="M312" s="4" t="s">
        <v>60</v>
      </c>
      <c r="N312" s="4" t="s">
        <v>60</v>
      </c>
      <c r="O312" s="4" t="s">
        <v>60</v>
      </c>
      <c r="P312" s="4" t="s">
        <v>60</v>
      </c>
      <c r="Q312" s="4" t="s">
        <v>60</v>
      </c>
      <c r="R312" s="4" t="s">
        <v>60</v>
      </c>
      <c r="S312" s="4" t="s">
        <v>60</v>
      </c>
      <c r="T312" s="4" t="s">
        <v>60</v>
      </c>
      <c r="U312" s="4" t="s">
        <v>60</v>
      </c>
      <c r="V312" s="4" t="s">
        <v>60</v>
      </c>
      <c r="W312" s="4" t="s">
        <v>60</v>
      </c>
      <c r="X312" s="4" t="s">
        <v>60</v>
      </c>
      <c r="Y312" s="4" t="s">
        <v>60</v>
      </c>
      <c r="Z312" s="4" t="s">
        <v>60</v>
      </c>
      <c r="AA312" s="4" t="s">
        <v>60</v>
      </c>
      <c r="AB312" s="4" t="s">
        <v>60</v>
      </c>
      <c r="AC312" s="4" t="s">
        <v>60</v>
      </c>
      <c r="AD312" s="4" t="s">
        <v>60</v>
      </c>
      <c r="AE312" s="2" t="s">
        <v>60</v>
      </c>
      <c r="AF312" s="3" t="s">
        <v>1336</v>
      </c>
      <c r="AG312" s="7" t="s">
        <v>60</v>
      </c>
      <c r="AH312" s="7" t="s">
        <v>60</v>
      </c>
      <c r="AI312" s="7" t="s">
        <v>60</v>
      </c>
      <c r="AJ312" s="7" t="s">
        <v>60</v>
      </c>
      <c r="AK312" s="7" t="s">
        <v>60</v>
      </c>
      <c r="AL312" s="25" t="s">
        <v>1904</v>
      </c>
      <c r="AM312" s="25" t="s">
        <v>58</v>
      </c>
      <c r="AN312" s="25" t="s">
        <v>59</v>
      </c>
      <c r="AO312" s="25" t="s">
        <v>60</v>
      </c>
      <c r="AP312" s="19" t="s">
        <v>1469</v>
      </c>
      <c r="AQ312" s="19" t="s">
        <v>1869</v>
      </c>
      <c r="AR312" s="19" t="s">
        <v>60</v>
      </c>
      <c r="AS312" s="19" t="s">
        <v>2360</v>
      </c>
      <c r="AT312" s="19" t="s">
        <v>1633</v>
      </c>
      <c r="AU312" s="19" t="s">
        <v>2116</v>
      </c>
      <c r="AV312" s="19">
        <v>9999934588</v>
      </c>
      <c r="AW312" s="20">
        <v>46122</v>
      </c>
      <c r="AX312" s="19" t="s">
        <v>1990</v>
      </c>
      <c r="AY312" s="27" t="s">
        <v>1582</v>
      </c>
      <c r="AZ312" s="27" t="s">
        <v>61</v>
      </c>
      <c r="BA312" s="19" t="s">
        <v>60</v>
      </c>
      <c r="BB312" s="19" t="s">
        <v>2707</v>
      </c>
      <c r="BC312" s="19" t="s">
        <v>2392</v>
      </c>
      <c r="BD312" s="75" t="s">
        <v>1336</v>
      </c>
      <c r="BE312" s="100" t="s">
        <v>3964</v>
      </c>
      <c r="BF312" s="100" t="s">
        <v>4352</v>
      </c>
      <c r="BG312" s="100"/>
    </row>
    <row r="313" spans="1:59" s="10" customFormat="1" ht="13.5" x14ac:dyDescent="0.25">
      <c r="A313" s="59">
        <v>221</v>
      </c>
      <c r="B313" s="15" t="s">
        <v>60</v>
      </c>
      <c r="C313" s="12" t="s">
        <v>60</v>
      </c>
      <c r="D313" s="11" t="s">
        <v>103</v>
      </c>
      <c r="E313" s="11" t="s">
        <v>1622</v>
      </c>
      <c r="F313" s="11" t="s">
        <v>1589</v>
      </c>
      <c r="G313" s="13" t="s">
        <v>1417</v>
      </c>
      <c r="H313" s="11" t="s">
        <v>1350</v>
      </c>
      <c r="I313" s="3" t="s">
        <v>60</v>
      </c>
      <c r="J313" s="3" t="s">
        <v>60</v>
      </c>
      <c r="K313" s="11" t="s">
        <v>1483</v>
      </c>
      <c r="L313" s="4" t="s">
        <v>60</v>
      </c>
      <c r="M313" s="4" t="s">
        <v>60</v>
      </c>
      <c r="N313" s="4" t="s">
        <v>60</v>
      </c>
      <c r="O313" s="4" t="s">
        <v>60</v>
      </c>
      <c r="P313" s="4" t="s">
        <v>60</v>
      </c>
      <c r="Q313" s="4" t="s">
        <v>60</v>
      </c>
      <c r="R313" s="4" t="s">
        <v>60</v>
      </c>
      <c r="S313" s="4" t="s">
        <v>60</v>
      </c>
      <c r="T313" s="4" t="s">
        <v>60</v>
      </c>
      <c r="U313" s="4" t="s">
        <v>60</v>
      </c>
      <c r="V313" s="4" t="s">
        <v>60</v>
      </c>
      <c r="W313" s="4" t="s">
        <v>60</v>
      </c>
      <c r="X313" s="4" t="s">
        <v>60</v>
      </c>
      <c r="Y313" s="4" t="s">
        <v>60</v>
      </c>
      <c r="Z313" s="4" t="s">
        <v>60</v>
      </c>
      <c r="AA313" s="4" t="s">
        <v>60</v>
      </c>
      <c r="AB313" s="4" t="s">
        <v>60</v>
      </c>
      <c r="AC313" s="4" t="s">
        <v>60</v>
      </c>
      <c r="AD313" s="4" t="s">
        <v>60</v>
      </c>
      <c r="AE313" s="2" t="s">
        <v>60</v>
      </c>
      <c r="AF313" s="3" t="s">
        <v>1350</v>
      </c>
      <c r="AG313" s="7" t="s">
        <v>60</v>
      </c>
      <c r="AH313" s="7" t="s">
        <v>60</v>
      </c>
      <c r="AI313" s="7" t="s">
        <v>60</v>
      </c>
      <c r="AJ313" s="7" t="s">
        <v>60</v>
      </c>
      <c r="AK313" s="7" t="s">
        <v>60</v>
      </c>
      <c r="AL313" s="25" t="s">
        <v>1904</v>
      </c>
      <c r="AM313" s="25" t="s">
        <v>58</v>
      </c>
      <c r="AN313" s="25" t="s">
        <v>59</v>
      </c>
      <c r="AO313" s="25" t="s">
        <v>60</v>
      </c>
      <c r="AP313" s="19" t="s">
        <v>2358</v>
      </c>
      <c r="AQ313" s="19" t="s">
        <v>1869</v>
      </c>
      <c r="AR313" s="19" t="s">
        <v>60</v>
      </c>
      <c r="AS313" s="19" t="s">
        <v>2360</v>
      </c>
      <c r="AT313" s="19" t="s">
        <v>2188</v>
      </c>
      <c r="AU313" s="19" t="s">
        <v>2149</v>
      </c>
      <c r="AV313" s="19">
        <v>9999934588</v>
      </c>
      <c r="AW313" s="20">
        <v>46127</v>
      </c>
      <c r="AX313" s="19" t="s">
        <v>1990</v>
      </c>
      <c r="AY313" s="27" t="s">
        <v>1589</v>
      </c>
      <c r="AZ313" s="27" t="s">
        <v>1622</v>
      </c>
      <c r="BA313" s="19" t="s">
        <v>60</v>
      </c>
      <c r="BB313" s="19" t="s">
        <v>60</v>
      </c>
      <c r="BC313" s="19" t="s">
        <v>2580</v>
      </c>
      <c r="BD313" s="75" t="s">
        <v>1350</v>
      </c>
      <c r="BE313" s="100" t="s">
        <v>3898</v>
      </c>
      <c r="BF313" s="100" t="s">
        <v>4353</v>
      </c>
      <c r="BG313" s="100"/>
    </row>
    <row r="314" spans="1:59" s="10" customFormat="1" ht="13.5" x14ac:dyDescent="0.25">
      <c r="A314" s="59">
        <v>295</v>
      </c>
      <c r="B314" s="15" t="s">
        <v>60</v>
      </c>
      <c r="C314" s="12" t="s">
        <v>60</v>
      </c>
      <c r="D314" s="11" t="s">
        <v>40</v>
      </c>
      <c r="E314" s="11" t="s">
        <v>61</v>
      </c>
      <c r="F314" s="11" t="s">
        <v>62</v>
      </c>
      <c r="G314" s="13" t="s">
        <v>1417</v>
      </c>
      <c r="H314" s="11" t="s">
        <v>1379</v>
      </c>
      <c r="I314" s="3" t="s">
        <v>60</v>
      </c>
      <c r="J314" s="3" t="s">
        <v>60</v>
      </c>
      <c r="K314" s="11" t="s">
        <v>1513</v>
      </c>
      <c r="L314" s="4" t="s">
        <v>60</v>
      </c>
      <c r="M314" s="4" t="s">
        <v>60</v>
      </c>
      <c r="N314" s="4" t="s">
        <v>60</v>
      </c>
      <c r="O314" s="4" t="s">
        <v>60</v>
      </c>
      <c r="P314" s="4" t="s">
        <v>60</v>
      </c>
      <c r="Q314" s="4" t="s">
        <v>60</v>
      </c>
      <c r="R314" s="4" t="s">
        <v>60</v>
      </c>
      <c r="S314" s="4" t="s">
        <v>60</v>
      </c>
      <c r="T314" s="4" t="s">
        <v>60</v>
      </c>
      <c r="U314" s="4" t="s">
        <v>60</v>
      </c>
      <c r="V314" s="4" t="s">
        <v>60</v>
      </c>
      <c r="W314" s="4" t="s">
        <v>60</v>
      </c>
      <c r="X314" s="4" t="s">
        <v>60</v>
      </c>
      <c r="Y314" s="4" t="s">
        <v>60</v>
      </c>
      <c r="Z314" s="4" t="s">
        <v>60</v>
      </c>
      <c r="AA314" s="4" t="s">
        <v>60</v>
      </c>
      <c r="AB314" s="4" t="s">
        <v>60</v>
      </c>
      <c r="AC314" s="4" t="s">
        <v>60</v>
      </c>
      <c r="AD314" s="4" t="s">
        <v>60</v>
      </c>
      <c r="AE314" s="2" t="s">
        <v>60</v>
      </c>
      <c r="AF314" s="3" t="s">
        <v>1379</v>
      </c>
      <c r="AG314" s="7" t="s">
        <v>60</v>
      </c>
      <c r="AH314" s="7" t="s">
        <v>60</v>
      </c>
      <c r="AI314" s="7" t="s">
        <v>60</v>
      </c>
      <c r="AJ314" s="7" t="s">
        <v>60</v>
      </c>
      <c r="AK314" s="7" t="s">
        <v>60</v>
      </c>
      <c r="AL314" s="25" t="s">
        <v>1904</v>
      </c>
      <c r="AM314" s="25" t="s">
        <v>58</v>
      </c>
      <c r="AN314" s="25" t="s">
        <v>59</v>
      </c>
      <c r="AO314" s="25" t="s">
        <v>60</v>
      </c>
      <c r="AP314" s="19" t="s">
        <v>1513</v>
      </c>
      <c r="AQ314" s="19" t="s">
        <v>1869</v>
      </c>
      <c r="AR314" s="19" t="s">
        <v>60</v>
      </c>
      <c r="AS314" s="19" t="s">
        <v>2360</v>
      </c>
      <c r="AT314" s="19" t="s">
        <v>2224</v>
      </c>
      <c r="AU314" s="19" t="s">
        <v>2223</v>
      </c>
      <c r="AV314" s="19">
        <v>9999934588</v>
      </c>
      <c r="AW314" s="20">
        <v>46123</v>
      </c>
      <c r="AX314" s="19" t="s">
        <v>1990</v>
      </c>
      <c r="AY314" s="27" t="s">
        <v>62</v>
      </c>
      <c r="AZ314" s="27" t="s">
        <v>61</v>
      </c>
      <c r="BA314" s="19" t="s">
        <v>60</v>
      </c>
      <c r="BB314" s="19" t="s">
        <v>2572</v>
      </c>
      <c r="BC314" s="19" t="s">
        <v>1067</v>
      </c>
      <c r="BD314" s="75" t="s">
        <v>1379</v>
      </c>
      <c r="BE314" s="100" t="s">
        <v>3972</v>
      </c>
      <c r="BF314" s="100" t="s">
        <v>4354</v>
      </c>
      <c r="BG314" s="100"/>
    </row>
    <row r="315" spans="1:59" s="10" customFormat="1" ht="13.5" x14ac:dyDescent="0.25">
      <c r="A315" s="59">
        <v>259</v>
      </c>
      <c r="B315" s="15" t="s">
        <v>60</v>
      </c>
      <c r="C315" s="12" t="s">
        <v>60</v>
      </c>
      <c r="D315" s="11" t="s">
        <v>40</v>
      </c>
      <c r="E315" s="11" t="s">
        <v>199</v>
      </c>
      <c r="F315" s="11" t="s">
        <v>1592</v>
      </c>
      <c r="G315" s="13" t="s">
        <v>1417</v>
      </c>
      <c r="H315" s="11" t="s">
        <v>1362</v>
      </c>
      <c r="I315" s="3" t="s">
        <v>60</v>
      </c>
      <c r="J315" s="3" t="s">
        <v>60</v>
      </c>
      <c r="K315" s="11" t="s">
        <v>1495</v>
      </c>
      <c r="L315" s="4" t="s">
        <v>60</v>
      </c>
      <c r="M315" s="4" t="s">
        <v>60</v>
      </c>
      <c r="N315" s="4" t="s">
        <v>60</v>
      </c>
      <c r="O315" s="4" t="s">
        <v>60</v>
      </c>
      <c r="P315" s="4" t="s">
        <v>60</v>
      </c>
      <c r="Q315" s="4" t="s">
        <v>60</v>
      </c>
      <c r="R315" s="4" t="s">
        <v>60</v>
      </c>
      <c r="S315" s="4" t="s">
        <v>60</v>
      </c>
      <c r="T315" s="4" t="s">
        <v>60</v>
      </c>
      <c r="U315" s="4" t="s">
        <v>60</v>
      </c>
      <c r="V315" s="4" t="s">
        <v>60</v>
      </c>
      <c r="W315" s="4" t="s">
        <v>60</v>
      </c>
      <c r="X315" s="4" t="s">
        <v>60</v>
      </c>
      <c r="Y315" s="4" t="s">
        <v>60</v>
      </c>
      <c r="Z315" s="4" t="s">
        <v>60</v>
      </c>
      <c r="AA315" s="4" t="s">
        <v>60</v>
      </c>
      <c r="AB315" s="4" t="s">
        <v>60</v>
      </c>
      <c r="AC315" s="4" t="s">
        <v>60</v>
      </c>
      <c r="AD315" s="4" t="s">
        <v>60</v>
      </c>
      <c r="AE315" s="2" t="s">
        <v>60</v>
      </c>
      <c r="AF315" s="3" t="s">
        <v>1362</v>
      </c>
      <c r="AG315" s="7" t="s">
        <v>60</v>
      </c>
      <c r="AH315" s="7" t="s">
        <v>60</v>
      </c>
      <c r="AI315" s="7" t="s">
        <v>60</v>
      </c>
      <c r="AJ315" s="7" t="s">
        <v>60</v>
      </c>
      <c r="AK315" s="7" t="s">
        <v>60</v>
      </c>
      <c r="AL315" s="25" t="s">
        <v>1904</v>
      </c>
      <c r="AM315" s="25" t="s">
        <v>58</v>
      </c>
      <c r="AN315" s="25" t="s">
        <v>59</v>
      </c>
      <c r="AO315" s="25" t="s">
        <v>60</v>
      </c>
      <c r="AP315" s="19" t="s">
        <v>1495</v>
      </c>
      <c r="AQ315" s="19" t="s">
        <v>1869</v>
      </c>
      <c r="AR315" s="19" t="s">
        <v>60</v>
      </c>
      <c r="AS315" s="19" t="s">
        <v>2360</v>
      </c>
      <c r="AT315" s="19" t="s">
        <v>2204</v>
      </c>
      <c r="AU315" s="19" t="s">
        <v>2351</v>
      </c>
      <c r="AV315" s="19">
        <v>9999934588</v>
      </c>
      <c r="AW315" s="20">
        <v>46120</v>
      </c>
      <c r="AX315" s="19" t="s">
        <v>1990</v>
      </c>
      <c r="AY315" s="27" t="s">
        <v>1592</v>
      </c>
      <c r="AZ315" s="27" t="s">
        <v>199</v>
      </c>
      <c r="BA315" s="19" t="s">
        <v>60</v>
      </c>
      <c r="BB315" s="19" t="s">
        <v>2638</v>
      </c>
      <c r="BC315" s="19" t="s">
        <v>60</v>
      </c>
      <c r="BD315" s="75" t="s">
        <v>1362</v>
      </c>
      <c r="BE315" s="100" t="s">
        <v>3936</v>
      </c>
      <c r="BF315" s="100" t="s">
        <v>4355</v>
      </c>
      <c r="BG315" s="100"/>
    </row>
    <row r="316" spans="1:59" s="10" customFormat="1" ht="13.5" x14ac:dyDescent="0.25">
      <c r="A316" s="59">
        <v>261</v>
      </c>
      <c r="B316" s="15" t="s">
        <v>60</v>
      </c>
      <c r="C316" s="12" t="s">
        <v>60</v>
      </c>
      <c r="D316" s="11" t="s">
        <v>40</v>
      </c>
      <c r="E316" s="11" t="s">
        <v>199</v>
      </c>
      <c r="F316" s="11" t="s">
        <v>837</v>
      </c>
      <c r="G316" s="13" t="s">
        <v>1417</v>
      </c>
      <c r="H316" s="11" t="s">
        <v>1364</v>
      </c>
      <c r="I316" s="3" t="s">
        <v>60</v>
      </c>
      <c r="J316" s="3" t="s">
        <v>60</v>
      </c>
      <c r="K316" s="11" t="s">
        <v>1498</v>
      </c>
      <c r="L316" s="4" t="s">
        <v>60</v>
      </c>
      <c r="M316" s="4" t="s">
        <v>60</v>
      </c>
      <c r="N316" s="4" t="s">
        <v>60</v>
      </c>
      <c r="O316" s="4" t="s">
        <v>60</v>
      </c>
      <c r="P316" s="4" t="s">
        <v>60</v>
      </c>
      <c r="Q316" s="4" t="s">
        <v>60</v>
      </c>
      <c r="R316" s="4" t="s">
        <v>60</v>
      </c>
      <c r="S316" s="4" t="s">
        <v>60</v>
      </c>
      <c r="T316" s="4" t="s">
        <v>60</v>
      </c>
      <c r="U316" s="4" t="s">
        <v>60</v>
      </c>
      <c r="V316" s="4" t="s">
        <v>60</v>
      </c>
      <c r="W316" s="4" t="s">
        <v>60</v>
      </c>
      <c r="X316" s="4" t="s">
        <v>60</v>
      </c>
      <c r="Y316" s="4" t="s">
        <v>60</v>
      </c>
      <c r="Z316" s="4" t="s">
        <v>60</v>
      </c>
      <c r="AA316" s="4" t="s">
        <v>60</v>
      </c>
      <c r="AB316" s="4" t="s">
        <v>60</v>
      </c>
      <c r="AC316" s="4" t="s">
        <v>60</v>
      </c>
      <c r="AD316" s="4" t="s">
        <v>60</v>
      </c>
      <c r="AE316" s="2" t="s">
        <v>60</v>
      </c>
      <c r="AF316" s="3" t="s">
        <v>1364</v>
      </c>
      <c r="AG316" s="7" t="s">
        <v>60</v>
      </c>
      <c r="AH316" s="7" t="s">
        <v>60</v>
      </c>
      <c r="AI316" s="7" t="s">
        <v>60</v>
      </c>
      <c r="AJ316" s="7" t="s">
        <v>60</v>
      </c>
      <c r="AK316" s="7" t="s">
        <v>60</v>
      </c>
      <c r="AL316" s="25" t="s">
        <v>1904</v>
      </c>
      <c r="AM316" s="25" t="s">
        <v>58</v>
      </c>
      <c r="AN316" s="25" t="s">
        <v>59</v>
      </c>
      <c r="AO316" s="25" t="s">
        <v>60</v>
      </c>
      <c r="AP316" s="19" t="s">
        <v>1498</v>
      </c>
      <c r="AQ316" s="19" t="s">
        <v>1869</v>
      </c>
      <c r="AR316" s="19" t="s">
        <v>60</v>
      </c>
      <c r="AS316" s="19" t="s">
        <v>2360</v>
      </c>
      <c r="AT316" s="19" t="s">
        <v>2333</v>
      </c>
      <c r="AU316" s="19" t="s">
        <v>2207</v>
      </c>
      <c r="AV316" s="19">
        <v>9999934588</v>
      </c>
      <c r="AW316" s="20">
        <v>46123</v>
      </c>
      <c r="AX316" s="19" t="s">
        <v>1990</v>
      </c>
      <c r="AY316" s="27" t="s">
        <v>837</v>
      </c>
      <c r="AZ316" s="27" t="s">
        <v>199</v>
      </c>
      <c r="BA316" s="19" t="s">
        <v>60</v>
      </c>
      <c r="BB316" s="19" t="s">
        <v>2641</v>
      </c>
      <c r="BC316" s="19" t="s">
        <v>2603</v>
      </c>
      <c r="BD316" s="75" t="s">
        <v>1364</v>
      </c>
      <c r="BE316" s="100" t="s">
        <v>3938</v>
      </c>
      <c r="BF316" s="100" t="s">
        <v>4356</v>
      </c>
      <c r="BG316" s="100"/>
    </row>
    <row r="317" spans="1:59" s="10" customFormat="1" ht="13.5" x14ac:dyDescent="0.25">
      <c r="A317" s="59">
        <v>234</v>
      </c>
      <c r="B317" s="15" t="s">
        <v>60</v>
      </c>
      <c r="C317" s="12" t="s">
        <v>60</v>
      </c>
      <c r="D317" s="11" t="s">
        <v>40</v>
      </c>
      <c r="E317" s="11" t="s">
        <v>41</v>
      </c>
      <c r="F317" s="11" t="s">
        <v>156</v>
      </c>
      <c r="G317" s="13" t="s">
        <v>1417</v>
      </c>
      <c r="H317" s="11" t="s">
        <v>1382</v>
      </c>
      <c r="I317" s="3" t="s">
        <v>60</v>
      </c>
      <c r="J317" s="3" t="s">
        <v>60</v>
      </c>
      <c r="K317" s="11" t="s">
        <v>1516</v>
      </c>
      <c r="L317" s="4" t="s">
        <v>60</v>
      </c>
      <c r="M317" s="4" t="s">
        <v>60</v>
      </c>
      <c r="N317" s="4" t="s">
        <v>60</v>
      </c>
      <c r="O317" s="4" t="s">
        <v>60</v>
      </c>
      <c r="P317" s="4" t="s">
        <v>60</v>
      </c>
      <c r="Q317" s="4" t="s">
        <v>60</v>
      </c>
      <c r="R317" s="4" t="s">
        <v>60</v>
      </c>
      <c r="S317" s="4" t="s">
        <v>60</v>
      </c>
      <c r="T317" s="4" t="s">
        <v>60</v>
      </c>
      <c r="U317" s="4" t="s">
        <v>60</v>
      </c>
      <c r="V317" s="4" t="s">
        <v>60</v>
      </c>
      <c r="W317" s="4" t="s">
        <v>60</v>
      </c>
      <c r="X317" s="4" t="s">
        <v>60</v>
      </c>
      <c r="Y317" s="4" t="s">
        <v>60</v>
      </c>
      <c r="Z317" s="4" t="s">
        <v>60</v>
      </c>
      <c r="AA317" s="4" t="s">
        <v>60</v>
      </c>
      <c r="AB317" s="4" t="s">
        <v>60</v>
      </c>
      <c r="AC317" s="4" t="s">
        <v>60</v>
      </c>
      <c r="AD317" s="4" t="s">
        <v>60</v>
      </c>
      <c r="AE317" s="2" t="s">
        <v>60</v>
      </c>
      <c r="AF317" s="3" t="s">
        <v>1382</v>
      </c>
      <c r="AG317" s="7" t="s">
        <v>60</v>
      </c>
      <c r="AH317" s="7" t="s">
        <v>60</v>
      </c>
      <c r="AI317" s="7" t="s">
        <v>60</v>
      </c>
      <c r="AJ317" s="7" t="s">
        <v>60</v>
      </c>
      <c r="AK317" s="7" t="s">
        <v>60</v>
      </c>
      <c r="AL317" s="25" t="s">
        <v>1904</v>
      </c>
      <c r="AM317" s="25" t="s">
        <v>58</v>
      </c>
      <c r="AN317" s="25" t="s">
        <v>59</v>
      </c>
      <c r="AO317" s="25" t="s">
        <v>60</v>
      </c>
      <c r="AP317" s="19" t="s">
        <v>1516</v>
      </c>
      <c r="AQ317" s="19" t="s">
        <v>1869</v>
      </c>
      <c r="AR317" s="19" t="s">
        <v>60</v>
      </c>
      <c r="AS317" s="19" t="s">
        <v>2360</v>
      </c>
      <c r="AT317" s="19" t="s">
        <v>2227</v>
      </c>
      <c r="AU317" s="19" t="s">
        <v>2198</v>
      </c>
      <c r="AV317" s="19">
        <v>9999934588</v>
      </c>
      <c r="AW317" s="20">
        <v>46129</v>
      </c>
      <c r="AX317" s="19" t="s">
        <v>1990</v>
      </c>
      <c r="AY317" s="27" t="s">
        <v>156</v>
      </c>
      <c r="AZ317" s="27" t="s">
        <v>41</v>
      </c>
      <c r="BA317" s="19" t="s">
        <v>60</v>
      </c>
      <c r="BB317" s="19" t="s">
        <v>2618</v>
      </c>
      <c r="BC317" s="19" t="s">
        <v>2554</v>
      </c>
      <c r="BD317" s="75" t="s">
        <v>1382</v>
      </c>
      <c r="BE317" s="100" t="s">
        <v>3911</v>
      </c>
      <c r="BF317" s="100" t="s">
        <v>4357</v>
      </c>
      <c r="BG317" s="100"/>
    </row>
    <row r="318" spans="1:59" s="10" customFormat="1" ht="13.5" x14ac:dyDescent="0.25">
      <c r="A318" s="59">
        <v>208</v>
      </c>
      <c r="B318" s="15" t="s">
        <v>60</v>
      </c>
      <c r="C318" s="12" t="s">
        <v>60</v>
      </c>
      <c r="D318" s="11" t="s">
        <v>40</v>
      </c>
      <c r="E318" s="11" t="s">
        <v>96</v>
      </c>
      <c r="F318" s="11" t="s">
        <v>1593</v>
      </c>
      <c r="G318" s="13" t="s">
        <v>1417</v>
      </c>
      <c r="H318" s="11" t="s">
        <v>44</v>
      </c>
      <c r="I318" s="3" t="s">
        <v>60</v>
      </c>
      <c r="J318" s="3" t="s">
        <v>60</v>
      </c>
      <c r="K318" s="11" t="s">
        <v>1497</v>
      </c>
      <c r="L318" s="4" t="s">
        <v>60</v>
      </c>
      <c r="M318" s="4" t="s">
        <v>60</v>
      </c>
      <c r="N318" s="4" t="s">
        <v>60</v>
      </c>
      <c r="O318" s="4" t="s">
        <v>60</v>
      </c>
      <c r="P318" s="4" t="s">
        <v>60</v>
      </c>
      <c r="Q318" s="4" t="s">
        <v>60</v>
      </c>
      <c r="R318" s="4" t="s">
        <v>60</v>
      </c>
      <c r="S318" s="4" t="s">
        <v>60</v>
      </c>
      <c r="T318" s="4" t="s">
        <v>60</v>
      </c>
      <c r="U318" s="4" t="s">
        <v>60</v>
      </c>
      <c r="V318" s="4" t="s">
        <v>60</v>
      </c>
      <c r="W318" s="4" t="s">
        <v>60</v>
      </c>
      <c r="X318" s="4" t="s">
        <v>60</v>
      </c>
      <c r="Y318" s="4" t="s">
        <v>60</v>
      </c>
      <c r="Z318" s="4" t="s">
        <v>60</v>
      </c>
      <c r="AA318" s="4" t="s">
        <v>60</v>
      </c>
      <c r="AB318" s="4" t="s">
        <v>60</v>
      </c>
      <c r="AC318" s="4" t="s">
        <v>60</v>
      </c>
      <c r="AD318" s="4" t="s">
        <v>60</v>
      </c>
      <c r="AE318" s="2" t="s">
        <v>60</v>
      </c>
      <c r="AF318" s="3" t="s">
        <v>44</v>
      </c>
      <c r="AG318" s="7" t="s">
        <v>60</v>
      </c>
      <c r="AH318" s="7" t="s">
        <v>60</v>
      </c>
      <c r="AI318" s="7" t="s">
        <v>60</v>
      </c>
      <c r="AJ318" s="7" t="s">
        <v>60</v>
      </c>
      <c r="AK318" s="7" t="s">
        <v>60</v>
      </c>
      <c r="AL318" s="25" t="s">
        <v>1904</v>
      </c>
      <c r="AM318" s="25" t="s">
        <v>58</v>
      </c>
      <c r="AN318" s="25" t="s">
        <v>59</v>
      </c>
      <c r="AO318" s="25" t="s">
        <v>60</v>
      </c>
      <c r="AP318" s="19" t="s">
        <v>1497</v>
      </c>
      <c r="AQ318" s="19" t="s">
        <v>1869</v>
      </c>
      <c r="AR318" s="19" t="s">
        <v>60</v>
      </c>
      <c r="AS318" s="19" t="s">
        <v>2360</v>
      </c>
      <c r="AT318" s="19" t="s">
        <v>2205</v>
      </c>
      <c r="AU318" s="19" t="s">
        <v>2206</v>
      </c>
      <c r="AV318" s="19">
        <v>9999934588</v>
      </c>
      <c r="AW318" s="20">
        <v>46122</v>
      </c>
      <c r="AX318" s="19" t="s">
        <v>1990</v>
      </c>
      <c r="AY318" s="27" t="s">
        <v>1593</v>
      </c>
      <c r="AZ318" s="27" t="s">
        <v>96</v>
      </c>
      <c r="BA318" s="19" t="s">
        <v>60</v>
      </c>
      <c r="BB318" s="19" t="s">
        <v>2602</v>
      </c>
      <c r="BC318" s="19" t="s">
        <v>2603</v>
      </c>
      <c r="BD318" s="75" t="s">
        <v>44</v>
      </c>
      <c r="BE318" s="100" t="s">
        <v>3885</v>
      </c>
      <c r="BF318" s="100" t="s">
        <v>4358</v>
      </c>
      <c r="BG318" s="100"/>
    </row>
    <row r="319" spans="1:59" s="10" customFormat="1" ht="14.25" thickBot="1" x14ac:dyDescent="0.3">
      <c r="A319" s="60">
        <v>236</v>
      </c>
      <c r="B319" s="61" t="s">
        <v>60</v>
      </c>
      <c r="C319" s="62" t="s">
        <v>60</v>
      </c>
      <c r="D319" s="63" t="s">
        <v>40</v>
      </c>
      <c r="E319" s="63" t="s">
        <v>41</v>
      </c>
      <c r="F319" s="63" t="s">
        <v>1603</v>
      </c>
      <c r="G319" s="64" t="s">
        <v>1417</v>
      </c>
      <c r="H319" s="63" t="s">
        <v>1386</v>
      </c>
      <c r="I319" s="65" t="s">
        <v>60</v>
      </c>
      <c r="J319" s="65" t="s">
        <v>60</v>
      </c>
      <c r="K319" s="63" t="s">
        <v>1520</v>
      </c>
      <c r="L319" s="66" t="s">
        <v>60</v>
      </c>
      <c r="M319" s="66" t="s">
        <v>60</v>
      </c>
      <c r="N319" s="66" t="s">
        <v>60</v>
      </c>
      <c r="O319" s="66" t="s">
        <v>60</v>
      </c>
      <c r="P319" s="66" t="s">
        <v>60</v>
      </c>
      <c r="Q319" s="66" t="s">
        <v>60</v>
      </c>
      <c r="R319" s="66" t="s">
        <v>60</v>
      </c>
      <c r="S319" s="66" t="s">
        <v>60</v>
      </c>
      <c r="T319" s="66" t="s">
        <v>60</v>
      </c>
      <c r="U319" s="66" t="s">
        <v>60</v>
      </c>
      <c r="V319" s="66" t="s">
        <v>60</v>
      </c>
      <c r="W319" s="66" t="s">
        <v>60</v>
      </c>
      <c r="X319" s="66" t="s">
        <v>60</v>
      </c>
      <c r="Y319" s="66" t="s">
        <v>60</v>
      </c>
      <c r="Z319" s="66" t="s">
        <v>60</v>
      </c>
      <c r="AA319" s="66" t="s">
        <v>60</v>
      </c>
      <c r="AB319" s="66" t="s">
        <v>60</v>
      </c>
      <c r="AC319" s="66" t="s">
        <v>60</v>
      </c>
      <c r="AD319" s="66" t="s">
        <v>60</v>
      </c>
      <c r="AE319" s="67" t="s">
        <v>60</v>
      </c>
      <c r="AF319" s="65" t="s">
        <v>1386</v>
      </c>
      <c r="AG319" s="68" t="s">
        <v>60</v>
      </c>
      <c r="AH319" s="68" t="s">
        <v>60</v>
      </c>
      <c r="AI319" s="68" t="s">
        <v>60</v>
      </c>
      <c r="AJ319" s="68" t="s">
        <v>60</v>
      </c>
      <c r="AK319" s="68" t="s">
        <v>60</v>
      </c>
      <c r="AL319" s="69" t="s">
        <v>1904</v>
      </c>
      <c r="AM319" s="69" t="s">
        <v>58</v>
      </c>
      <c r="AN319" s="69" t="s">
        <v>59</v>
      </c>
      <c r="AO319" s="69" t="s">
        <v>60</v>
      </c>
      <c r="AP319" s="70" t="s">
        <v>1520</v>
      </c>
      <c r="AQ319" s="70" t="s">
        <v>1869</v>
      </c>
      <c r="AR319" s="70" t="s">
        <v>60</v>
      </c>
      <c r="AS319" s="70" t="s">
        <v>2360</v>
      </c>
      <c r="AT319" s="70" t="s">
        <v>2230</v>
      </c>
      <c r="AU319" s="70" t="s">
        <v>2229</v>
      </c>
      <c r="AV319" s="70">
        <v>9999934588</v>
      </c>
      <c r="AW319" s="71">
        <v>46122</v>
      </c>
      <c r="AX319" s="70" t="s">
        <v>1990</v>
      </c>
      <c r="AY319" s="72" t="s">
        <v>1603</v>
      </c>
      <c r="AZ319" s="72" t="s">
        <v>41</v>
      </c>
      <c r="BA319" s="70" t="s">
        <v>60</v>
      </c>
      <c r="BB319" s="70" t="s">
        <v>2620</v>
      </c>
      <c r="BC319" s="70" t="s">
        <v>60</v>
      </c>
      <c r="BD319" s="77" t="s">
        <v>1386</v>
      </c>
      <c r="BE319" s="101" t="s">
        <v>3913</v>
      </c>
      <c r="BF319" s="101" t="s">
        <v>4359</v>
      </c>
      <c r="BG319" s="101"/>
    </row>
  </sheetData>
  <dataValidations disablePrompts="1" count="1">
    <dataValidation type="list" allowBlank="1" showInputMessage="1" showErrorMessage="1" sqref="X82:X83 X29 X183:X184 X54:X58 X11:X20 X85:X91 X2 X60:X62 X7:X9 X22:X27 X33:X46 X48:X49 X51" xr:uid="{23507CED-5E12-4CE2-B580-A6AEA6D7EF71}">
      <formula1>"PVT Ltd,Ltd,HUF,Properitoryship,Partnership"</formula1>
    </dataValidation>
  </dataValidations>
  <hyperlinks>
    <hyperlink ref="O185" r:id="rId1" display="y.enterprises2009@gmail.com,yenterprises.yesbank@gmail.com" xr:uid="{85B7F0CD-6FA6-4C6B-B4D5-C26E042D0E2C}"/>
    <hyperlink ref="O5" r:id="rId2" xr:uid="{06A38D52-FD1F-4220-9899-C29D4C68FFCF}"/>
    <hyperlink ref="O9" r:id="rId3" xr:uid="{26CF5EA4-380B-4569-83FE-EF15C9F5E3B1}"/>
    <hyperlink ref="O171" r:id="rId4" xr:uid="{DB33069E-DC5D-4837-BD4D-0B2A8592EA71}"/>
    <hyperlink ref="O155" r:id="rId5" xr:uid="{A49D4B78-72A3-4338-8C92-2BA9590DF073}"/>
    <hyperlink ref="O37" r:id="rId6" display="biswajitdeyrepo@gmail.com" xr:uid="{91FA81F7-5D74-4047-9623-E25524C8F116}"/>
    <hyperlink ref="O82" r:id="rId7" xr:uid="{9FFFFE0D-4315-45FB-9C66-30410AFE1B9C}"/>
    <hyperlink ref="O166" r:id="rId8" display="relief_repo@rediffmail.com/repo.relief@yahoo.com/relief.repo@gmail.com" xr:uid="{814CBC0B-A18F-43A9-95C4-595610B6AA44}"/>
    <hyperlink ref="O172" r:id="rId9" display="info@saviiour.com" xr:uid="{2B9B6312-65CE-42AD-9709-5F2673AF8B82}"/>
    <hyperlink ref="O98" r:id="rId10" xr:uid="{1B542AB2-9420-46A2-94CE-874AEA5F3A00}"/>
    <hyperlink ref="P76" r:id="rId11" xr:uid="{A22E1FD3-0E0F-4D22-A7BE-F32A77AC01AE}"/>
    <hyperlink ref="O76" r:id="rId12" xr:uid="{67E7E709-2663-4BA4-9ECF-701551738FF4}"/>
    <hyperlink ref="O19" r:id="rId13" xr:uid="{16384B6B-7093-420A-803A-F24F1328F6A7}"/>
    <hyperlink ref="P19" r:id="rId14" display="cbgalwar2018@gmail.com" xr:uid="{466BFA18-BCC7-4ABA-B34D-88FFE7211429}"/>
    <hyperlink ref="P91" r:id="rId15" xr:uid="{3160A1E2-4302-4D8E-A227-324BF26FD6FE}"/>
    <hyperlink ref="O93" r:id="rId16" xr:uid="{7602EB79-1F7B-4BEF-9F88-DA11FA64197A}"/>
    <hyperlink ref="P93" r:id="rId17" xr:uid="{882831FA-EBF5-4999-9701-CFDD217D39B8}"/>
    <hyperlink ref="O59" r:id="rId18" display="collection@easylinks.co.in,easywayneworg@gmail.com" xr:uid="{6215F349-9F54-481F-9D0B-F259350DD55D}"/>
    <hyperlink ref="O30" r:id="rId19" display="baiswaraassociates_2009@rediffmail.com/" xr:uid="{FEA89A45-7E71-47E0-B2EC-FFEF402CC2BC}"/>
    <hyperlink ref="P30" r:id="rId20" xr:uid="{C871E5AC-943C-4D88-9AD0-981C506A51AE}"/>
    <hyperlink ref="O148" r:id="rId21" xr:uid="{28B73E23-C8CE-4B2C-AD65-766B3A5B94CF}"/>
    <hyperlink ref="P114" r:id="rId22" xr:uid="{8710D0B5-CD8C-4A0E-8DF1-EC1166CF6021}"/>
    <hyperlink ref="O114" r:id="rId23" display="sanjeevsabherwal@hotmail.com" xr:uid="{48DD71AA-3BC5-4024-9A98-0F7123514D6F}"/>
    <hyperlink ref="O6" r:id="rId24" xr:uid="{7E517F5B-941B-4047-93E3-6D2FCE5C86B7}"/>
    <hyperlink ref="O13" r:id="rId25" xr:uid="{CDDBC8B6-A342-4120-B874-0DC03B85614F}"/>
    <hyperlink ref="P105" r:id="rId26" xr:uid="{FF6AF7EE-5AB7-4105-8147-49694DC96A67}"/>
    <hyperlink ref="O105" r:id="rId27" display="fairadvisory.jsr@gmail.com; collection" xr:uid="{0F1CF18C-A0C1-4BAC-9F1A-0B4BEBC35675}"/>
    <hyperlink ref="O140" r:id="rId28" xr:uid="{C7EFD61C-8952-4E8C-8806-0DADA13116BA}"/>
    <hyperlink ref="P85" r:id="rId29" xr:uid="{8C491052-926C-427A-964C-FCCEADCC9B09}"/>
    <hyperlink ref="O85" r:id="rId30" display="ajaykgupta76@rediffmail.com/jkcs.krish@gmail.com" xr:uid="{2840187E-3F8F-4FB3-A282-486D4ADA8032}"/>
    <hyperlink ref="O36" r:id="rId31" display="excelbat@yahoo.co.in" xr:uid="{C311BC8C-5D06-4F48-904D-F58109D7B629}"/>
    <hyperlink ref="O64" r:id="rId32" xr:uid="{745FC588-C75C-4920-8127-F6636B7C1641}"/>
    <hyperlink ref="O55" r:id="rId33" display="gurman.yesbank@gmail.com ; sukh" xr:uid="{0D7D3B67-5BDE-4F0F-B7D9-06FC5961D124}"/>
    <hyperlink ref="O48" r:id="rId34" display="himanshudeltaservices@gmail.com;anilsharmaojas1@gmail.com" xr:uid="{2C1EA701-3D35-4F3F-9F2A-E19DB149972F}"/>
    <hyperlink ref="O79" r:id="rId35" display="infinityservicescg2021@infinityfirst.onmicrosoft.com" xr:uid="{1B1F99F0-B47A-4561-AD3F-8A3C88725F15}"/>
    <hyperlink ref="P38" r:id="rId36" xr:uid="{2FBE76A8-88C1-4D1D-86AB-C4727FA30516}"/>
    <hyperlink ref="O77" r:id="rId37" display="Rahul.arora@kpcmservices.com; kcpm" xr:uid="{FB2EE5CA-153B-4E73-9A09-CEE082D5CD12}"/>
    <hyperlink ref="O92" r:id="rId38" xr:uid="{5EFBF372-B1E2-4460-B60C-8F3A5BBD439C}"/>
    <hyperlink ref="O70" r:id="rId39" xr:uid="{F7182C0D-4CE0-4BB7-ADB1-5611B0FFEC8C}"/>
    <hyperlink ref="O20" r:id="rId40" display="mailto:info@shreebalaji276.in" xr:uid="{A39F50C8-8928-4E9B-9513-BF8CDCFCCE32}"/>
    <hyperlink ref="P20" r:id="rId41" xr:uid="{96A063ED-13E4-416F-9A8B-19F5EAC6E2F5}"/>
    <hyperlink ref="P70" r:id="rId42" xr:uid="{181D9A92-0032-43D3-8AAD-449A723F7733}"/>
    <hyperlink ref="O120" r:id="rId43" display="mailto:Sanvifiancial@gmail.com" xr:uid="{F0EB62B4-93CE-43D1-AA92-2437EC80A1BC}"/>
    <hyperlink ref="P120" r:id="rId44" display="mailto:vikassinsinwar7@gmail.com" xr:uid="{A54595D9-8430-4806-BFF0-CD9388002AB1}"/>
    <hyperlink ref="O159" r:id="rId45" xr:uid="{78BB75A4-2C1F-46E4-A5AC-FC0D08CB52FA}"/>
    <hyperlink ref="P159" r:id="rId46" display="Waves.Manoj14@Gmail.com ,  " xr:uid="{04419DA5-3816-4B20-8BD1-CE6E8B65D241}"/>
    <hyperlink ref="P26" r:id="rId47" xr:uid="{5AD87C8B-3757-43FE-8193-CE625FB22932}"/>
    <hyperlink ref="O26" r:id="rId48" display="mailto:earth4@earthservices.in" xr:uid="{C881E1D1-7ED9-44F5-A377-A4F6F62F7E1E}"/>
    <hyperlink ref="O62" r:id="rId49" xr:uid="{F0F603B7-E832-489D-8EFB-18991C778AA3}"/>
    <hyperlink ref="P62" r:id="rId50" xr:uid="{55C7274D-0E30-49B9-A9CF-A4C40C7C61A5}"/>
    <hyperlink ref="P83" r:id="rId51" xr:uid="{722ADCA1-94DD-4815-8111-62428594B257}"/>
    <hyperlink ref="O44" r:id="rId52" xr:uid="{CFA51095-6D1D-4B5D-AB59-00B4168D95A4}"/>
    <hyperlink ref="P44" r:id="rId53" xr:uid="{3D59C507-741A-4204-B7AD-979602CF8AFD}"/>
    <hyperlink ref="O109" r:id="rId54" xr:uid="{E7C961E4-338C-443E-95D5-E856990CD20C}"/>
    <hyperlink ref="O134" r:id="rId55" xr:uid="{DE60F2F3-1C10-4FDB-8E6F-67E44B61CE37}"/>
    <hyperlink ref="P110" r:id="rId56" xr:uid="{481FCB5B-9624-4784-92BE-F81BCE7AB42A}"/>
    <hyperlink ref="O110" r:id="rId57" display="mailto:ib@resolutionachievers.com" xr:uid="{5146432F-439E-444F-95E5-31CC8A507666}"/>
    <hyperlink ref="P74" r:id="rId58" xr:uid="{54C94587-D31B-46FE-A10F-9435B37AE5DB}"/>
    <hyperlink ref="P52" r:id="rId59" xr:uid="{1F89E025-0122-4F6C-8B0D-BBA5CD0ED464}"/>
    <hyperlink ref="O86" r:id="rId60" display="MCC.YES@REDIFFMAIL.COM" xr:uid="{7E0830A7-5783-4A3B-AA07-77620F172D74}"/>
    <hyperlink ref="P86" r:id="rId61" xr:uid="{468F1603-A392-420B-AA41-BA9984A89A07}"/>
    <hyperlink ref="O31" r:id="rId62" xr:uid="{E64ABAA4-3634-4ECA-85C7-66E6199A5242}"/>
    <hyperlink ref="O152" r:id="rId63" display="SBANSAL@TOTALSOLUTIONSMAIL.COM" xr:uid="{F4487E8B-DFB9-49E5-B4A9-DD9EDA583502}"/>
    <hyperlink ref="O107" r:id="rId64" xr:uid="{380F5A68-3590-46A9-8BA2-A51DAD8D1C9F}"/>
    <hyperlink ref="O117" r:id="rId65" xr:uid="{11EB8673-7BF9-4AE5-9D25-5084EAFE1566}"/>
    <hyperlink ref="O146" r:id="rId66" display="prabhakar.rajmanagement@gmail.com" xr:uid="{91473E3F-01F8-4BBD-B9FD-3F391863DF87}"/>
    <hyperlink ref="O32" r:id="rId67" display="evergreen.solution@rediffmail.com" xr:uid="{C7511C3F-6BAD-44FB-B30C-14D5B7888D9D}"/>
    <hyperlink ref="P32" r:id="rId68" xr:uid="{D6D54C01-C208-45C3-B88E-70D703A6E1C7}"/>
    <hyperlink ref="O160" r:id="rId69" display="info@wayoutsolutions.in" xr:uid="{EC760DFA-3456-428F-A5D4-52E8CB8ADBE7}"/>
    <hyperlink ref="O115" r:id="rId70" xr:uid="{446E862A-DDD5-4CA6-8051-8F08B164FBE9}"/>
    <hyperlink ref="O41" r:id="rId71" xr:uid="{FF8FF5F5-07A4-45BF-BA29-44AF918B7ADD}"/>
    <hyperlink ref="O2" r:id="rId72" display="aba.guwahati@gmail.com; " xr:uid="{A86C180A-4704-4481-A016-5E556668E392}"/>
    <hyperlink ref="O136" r:id="rId73" display="yashenterprises207@gmail.com" xr:uid="{029D8257-C7A0-42AF-8410-CB9074C95554}"/>
    <hyperlink ref="O126" r:id="rId74" display="PARADIGM9INC@GMAIL.COM; " xr:uid="{33306654-8A74-4741-B517-DB1C5C875BDC}"/>
    <hyperlink ref="O179" r:id="rId75" xr:uid="{03F5FECF-D172-491E-87D8-840E101B4E2E}"/>
    <hyperlink ref="O161" r:id="rId76" xr:uid="{3DEE8DC6-4820-426F-A435-743DB530E5C5}"/>
    <hyperlink ref="P161" r:id="rId77" xr:uid="{EE43E49B-CEC1-4C5A-BBA7-B641714DE7E4}"/>
    <hyperlink ref="O42" r:id="rId78" xr:uid="{F1CEB6E3-779A-4357-9516-3695AA05A857}"/>
    <hyperlink ref="O163" r:id="rId79" xr:uid="{947C8C8F-812F-48F0-9BAB-0AAC732B2354}"/>
    <hyperlink ref="P165" r:id="rId80" xr:uid="{612AEC09-9459-47F5-817E-A7416CD1F4B6}"/>
    <hyperlink ref="O167" r:id="rId81" display="mailto:contact@rkassociatesmbd.com" xr:uid="{887F55B7-2AD8-4E6B-8788-4E28A8591E60}"/>
    <hyperlink ref="O116" r:id="rId82" xr:uid="{D65A2038-55EC-4D0D-9EDC-ABDD979F9EAC}"/>
    <hyperlink ref="O12" r:id="rId83" xr:uid="{A728D6DD-E5E8-4F34-9CDD-B0B072719337}"/>
    <hyperlink ref="O118" r:id="rId84" xr:uid="{C2476F9B-BF6A-4A92-BB69-22EF9F1ACD27}"/>
    <hyperlink ref="O123" r:id="rId85" xr:uid="{CFDF42BC-E6C5-4FE4-BAB3-D9EE1F413342}"/>
    <hyperlink ref="P123" r:id="rId86" xr:uid="{AC4F9F64-25B6-4109-A729-549E2151ECE4}"/>
    <hyperlink ref="O173" r:id="rId87" display="mailto:collections.sma@shreemahadevi.com" xr:uid="{B13C28C7-3C3E-404C-A0CB-9530D3391DA6}"/>
    <hyperlink ref="O51" r:id="rId88" xr:uid="{42D293B9-126A-4646-A546-D8C003269B93}"/>
    <hyperlink ref="P153" r:id="rId89" xr:uid="{AE0623A5-E6F6-48DA-A8D5-0E36AA651E09}"/>
    <hyperlink ref="O153" r:id="rId90" xr:uid="{3FE2D898-004B-4111-B107-F319CF14992C}"/>
    <hyperlink ref="O138" r:id="rId91" xr:uid="{C950997E-F3FE-4660-9798-3F02313F031A}"/>
    <hyperlink ref="O177" r:id="rId92" xr:uid="{D99EF36A-C5C2-49B6-9571-077D20F85DDC}"/>
    <hyperlink ref="O143" r:id="rId93" display="swarnikaassociates@gmail.com,Swarnikayesbank@gmail.com" xr:uid="{EE807FBE-39B4-4F14-9731-EC3CD8AACB92}"/>
    <hyperlink ref="O25" r:id="rId94" xr:uid="{6F354856-B4A6-4F49-88D0-2D689A323EA8}"/>
    <hyperlink ref="O156" r:id="rId95" xr:uid="{36DA2A96-ED5C-49FC-B441-6484E01AB9E6}"/>
    <hyperlink ref="O154" r:id="rId96" xr:uid="{C2BCFF71-E671-4A6D-92AF-912059FE85B0}"/>
    <hyperlink ref="O184" r:id="rId97" xr:uid="{4C0029EA-F0C2-4E8A-8E21-D2D9CAE8FEE1}"/>
    <hyperlink ref="O168" r:id="rId98" xr:uid="{69BAF0CE-1153-4074-B57F-5A1C331256EA}"/>
    <hyperlink ref="P168" r:id="rId99" xr:uid="{76F3C741-1760-4A19-95C4-313DE8BD7579}"/>
    <hyperlink ref="O158" r:id="rId100" xr:uid="{B739AFEA-ED6D-44D4-AB6F-70E6D2F7FA14}"/>
    <hyperlink ref="O99" r:id="rId101" xr:uid="{441F17F6-EFE3-4F2D-BDAD-37297E3BCBC8}"/>
    <hyperlink ref="O144" r:id="rId102" display="prabhakar.globalmanagement@gmail.com" xr:uid="{E17B1E22-D9F4-4903-A33D-A0187327417B}"/>
    <hyperlink ref="P144" r:id="rId103" display="ninad.global@gmail.com/collection.globalmanagement@gmail.com/rishi.globalmanagement@gmail.com" xr:uid="{AEF83571-4EA3-4F3E-9278-DB511DE82B41}"/>
    <hyperlink ref="O46" r:id="rId104" display="prabhakar.globalmanagement@gmail.com" xr:uid="{3F287F78-BAF4-4AEE-B031-9F338767142E}"/>
    <hyperlink ref="P46" r:id="rId105" display="ninad.global@gmail.com/collection.globalmanagement@gmail.com/rishi.globalmanagement@gmail.com" xr:uid="{C469C129-5CB3-4327-85EE-978FDD42EE01}"/>
    <hyperlink ref="O7" r:id="rId106" xr:uid="{2FD38E3D-BE99-42D7-8FB1-AA757027168C}"/>
    <hyperlink ref="O11" r:id="rId107" xr:uid="{105131D6-4B51-4DD9-B0E1-A413273B824C}"/>
    <hyperlink ref="P56" r:id="rId108" xr:uid="{9F3291B5-F839-4F7E-BD64-D5C9A5286C1D}"/>
    <hyperlink ref="O56" r:id="rId109" display="mailto:ib@resolutionachievers.com" xr:uid="{DAA06CFE-98F0-493E-9D52-7D74F265AA9F}"/>
    <hyperlink ref="P61" r:id="rId110" xr:uid="{A5FE10F3-A031-4C66-9C43-4D3E7E72895E}"/>
    <hyperlink ref="O61" r:id="rId111" display="fairadvisory.jsr@gmail.com; collection" xr:uid="{BC4CC6CB-9E17-4577-9921-87C8B260295C}"/>
    <hyperlink ref="P3" r:id="rId112" xr:uid="{9D90E580-02F2-448E-9054-80EFE5AAEB50}"/>
    <hyperlink ref="O3" r:id="rId113" display="fairadvisory.jsr@gmail.com; collection" xr:uid="{64F6A2D2-43F9-4CA2-8DAA-665B216E6213}"/>
    <hyperlink ref="P45" r:id="rId114" xr:uid="{317D8705-7E88-44A0-B341-8F9DF9A9E50B}"/>
    <hyperlink ref="O45" r:id="rId115" display="fairadvisory.jsr@gmail.com; collection" xr:uid="{711925BF-DB47-4904-A68C-D9A0DAB55B22}"/>
    <hyperlink ref="O8" r:id="rId116" xr:uid="{AE9CB78B-0ACE-474A-8A85-55D8C820E759}"/>
    <hyperlink ref="O10" r:id="rId117" xr:uid="{594C0E6D-281C-4271-980F-C5476A5446C1}"/>
    <hyperlink ref="O35" r:id="rId118" display="excelbat@yahoo.co.in" xr:uid="{42C6916C-6587-48EF-B667-C4288C62252F}"/>
    <hyperlink ref="O33" r:id="rId119" display="excelbat@yahoo.co.in" xr:uid="{F49A9D7F-2AEE-4D42-A897-EC5601A8769A}"/>
    <hyperlink ref="P90" r:id="rId120" xr:uid="{FC777F3C-713B-43B3-A5DB-73228CCC5B1B}"/>
    <hyperlink ref="P94" r:id="rId121" xr:uid="{80834E81-2FC1-4BAB-9AA0-18D5C3921E53}"/>
  </hyperlinks>
  <pageMargins left="0.7" right="0.7" top="0.75" bottom="0.75" header="0.3" footer="0.3"/>
  <legacyDrawing r:id="rId1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8B79-5815-461E-B772-3D929187DBC5}">
  <sheetPr codeName="Sheet2"/>
  <dimension ref="A1:AA295"/>
  <sheetViews>
    <sheetView topLeftCell="N1" workbookViewId="0">
      <pane ySplit="1" topLeftCell="A25" activePane="bottomLeft" state="frozen"/>
      <selection pane="bottomLeft" activeCell="N1" sqref="N1"/>
    </sheetView>
  </sheetViews>
  <sheetFormatPr defaultRowHeight="15" x14ac:dyDescent="0.25"/>
  <cols>
    <col min="1" max="1" width="8.5703125" bestFit="1" customWidth="1"/>
    <col min="2" max="2" width="14.5703125" bestFit="1" customWidth="1"/>
    <col min="3" max="3" width="9" bestFit="1" customWidth="1"/>
    <col min="4" max="4" width="7.7109375" bestFit="1" customWidth="1"/>
    <col min="5" max="5" width="7.5703125" bestFit="1" customWidth="1"/>
    <col min="6" max="6" width="11.7109375" bestFit="1" customWidth="1"/>
    <col min="7" max="7" width="28.42578125" bestFit="1" customWidth="1"/>
    <col min="8" max="8" width="38.140625" bestFit="1" customWidth="1"/>
    <col min="9" max="9" width="32.28515625" hidden="1" customWidth="1"/>
    <col min="10" max="10" width="16.140625" hidden="1" customWidth="1"/>
    <col min="11" max="11" width="48.140625" hidden="1" customWidth="1"/>
    <col min="12" max="12" width="65" bestFit="1" customWidth="1"/>
    <col min="13" max="13" width="8.5703125" bestFit="1" customWidth="1"/>
    <col min="14" max="14" width="11" bestFit="1" customWidth="1"/>
    <col min="15" max="15" width="10.140625" bestFit="1" customWidth="1"/>
    <col min="16" max="16" width="12" bestFit="1" customWidth="1"/>
    <col min="17" max="17" width="15.7109375" bestFit="1" customWidth="1"/>
    <col min="18" max="18" width="22.7109375" bestFit="1" customWidth="1"/>
    <col min="19" max="19" width="12.28515625" bestFit="1" customWidth="1"/>
    <col min="20" max="20" width="29.7109375" bestFit="1" customWidth="1"/>
    <col min="21" max="21" width="11.7109375" bestFit="1" customWidth="1"/>
    <col min="22" max="22" width="7.5703125" bestFit="1" customWidth="1"/>
    <col min="23" max="23" width="21" bestFit="1" customWidth="1"/>
    <col min="24" max="24" width="28.7109375" bestFit="1" customWidth="1"/>
    <col min="25" max="25" width="30" bestFit="1" customWidth="1"/>
    <col min="26" max="26" width="15.5703125" bestFit="1" customWidth="1"/>
    <col min="27" max="27" width="13.28515625" bestFit="1" customWidth="1"/>
    <col min="28" max="28" width="33" bestFit="1" customWidth="1"/>
    <col min="29" max="29" width="45.7109375" bestFit="1" customWidth="1"/>
    <col min="30" max="30" width="31.28515625" bestFit="1" customWidth="1"/>
    <col min="31" max="31" width="8.7109375" bestFit="1" customWidth="1"/>
    <col min="32" max="32" width="7.7109375" bestFit="1" customWidth="1"/>
    <col min="33" max="33" width="13.28515625" bestFit="1" customWidth="1"/>
    <col min="34" max="34" width="7.140625" bestFit="1" customWidth="1"/>
    <col min="35" max="35" width="6.85546875" bestFit="1" customWidth="1"/>
    <col min="36" max="36" width="8" bestFit="1" customWidth="1"/>
    <col min="37" max="37" width="5.42578125" bestFit="1" customWidth="1"/>
    <col min="38" max="38" width="18.85546875" bestFit="1" customWidth="1"/>
    <col min="39" max="39" width="31" bestFit="1" customWidth="1"/>
    <col min="40" max="40" width="14.42578125" bestFit="1" customWidth="1"/>
    <col min="41" max="41" width="10.140625" bestFit="1" customWidth="1"/>
    <col min="42" max="42" width="14.85546875" bestFit="1" customWidth="1"/>
    <col min="43" max="43" width="65" bestFit="1" customWidth="1"/>
    <col min="44" max="44" width="7.28515625" bestFit="1" customWidth="1"/>
    <col min="45" max="45" width="8.7109375" bestFit="1" customWidth="1"/>
    <col min="46" max="46" width="7.85546875" bestFit="1" customWidth="1"/>
    <col min="47" max="47" width="12" bestFit="1" customWidth="1"/>
    <col min="48" max="48" width="13.42578125" bestFit="1" customWidth="1"/>
    <col min="49" max="49" width="20.42578125" bestFit="1" customWidth="1"/>
    <col min="50" max="50" width="10" bestFit="1" customWidth="1"/>
    <col min="51" max="51" width="29.7109375" bestFit="1" customWidth="1"/>
    <col min="52" max="52" width="9.42578125" bestFit="1" customWidth="1"/>
    <col min="53" max="53" width="6.140625" bestFit="1" customWidth="1"/>
    <col min="54" max="54" width="21" bestFit="1" customWidth="1"/>
    <col min="55" max="55" width="28.7109375" bestFit="1" customWidth="1"/>
    <col min="56" max="56" width="30" bestFit="1" customWidth="1"/>
    <col min="57" max="58" width="13.28515625" bestFit="1" customWidth="1"/>
  </cols>
  <sheetData>
    <row r="1" spans="1:27" ht="15.75" thickBot="1" x14ac:dyDescent="0.3">
      <c r="A1" s="49" t="s">
        <v>0</v>
      </c>
      <c r="B1" s="50" t="s">
        <v>1</v>
      </c>
      <c r="C1" s="50" t="s">
        <v>1842</v>
      </c>
      <c r="D1" s="50" t="s">
        <v>3</v>
      </c>
      <c r="E1" s="50" t="s">
        <v>4</v>
      </c>
      <c r="F1" s="51" t="s">
        <v>5</v>
      </c>
      <c r="G1" s="52" t="s">
        <v>6</v>
      </c>
      <c r="H1" s="53" t="s">
        <v>7</v>
      </c>
      <c r="I1" s="50" t="s">
        <v>8</v>
      </c>
      <c r="J1" s="50" t="s">
        <v>9</v>
      </c>
      <c r="K1" s="50" t="s">
        <v>10</v>
      </c>
      <c r="L1" s="16" t="s">
        <v>1981</v>
      </c>
      <c r="M1" s="16" t="s">
        <v>24</v>
      </c>
      <c r="N1" s="16" t="s">
        <v>29</v>
      </c>
      <c r="O1" s="16" t="s">
        <v>1982</v>
      </c>
      <c r="P1" s="16" t="s">
        <v>1983</v>
      </c>
      <c r="Q1" s="16" t="s">
        <v>1984</v>
      </c>
      <c r="R1" s="16" t="s">
        <v>1985</v>
      </c>
      <c r="S1" s="16" t="s">
        <v>1986</v>
      </c>
      <c r="T1" s="17" t="s">
        <v>7</v>
      </c>
      <c r="U1" s="18" t="s">
        <v>5</v>
      </c>
      <c r="V1" s="17" t="s">
        <v>4</v>
      </c>
      <c r="W1" s="18" t="s">
        <v>1987</v>
      </c>
      <c r="X1" s="18" t="s">
        <v>1988</v>
      </c>
      <c r="Y1" s="18" t="s">
        <v>1989</v>
      </c>
      <c r="Z1" s="73" t="s">
        <v>7</v>
      </c>
      <c r="AA1" s="93" t="s">
        <v>3696</v>
      </c>
    </row>
    <row r="2" spans="1:27" x14ac:dyDescent="0.25">
      <c r="A2" s="58">
        <v>1</v>
      </c>
      <c r="B2" s="33">
        <v>66907</v>
      </c>
      <c r="C2" s="34">
        <v>66907</v>
      </c>
      <c r="D2" s="35" t="s">
        <v>103</v>
      </c>
      <c r="E2" s="35" t="s">
        <v>767</v>
      </c>
      <c r="F2" s="35" t="s">
        <v>768</v>
      </c>
      <c r="G2" s="36" t="s">
        <v>43</v>
      </c>
      <c r="H2" s="35" t="s">
        <v>1709</v>
      </c>
      <c r="I2" s="37" t="s">
        <v>1640</v>
      </c>
      <c r="J2" s="37" t="s">
        <v>1640</v>
      </c>
      <c r="K2" s="35" t="s">
        <v>1790</v>
      </c>
      <c r="L2" s="46" t="s">
        <v>2356</v>
      </c>
      <c r="M2" s="46" t="s">
        <v>1869</v>
      </c>
      <c r="N2" s="46" t="s">
        <v>60</v>
      </c>
      <c r="O2" s="46"/>
      <c r="P2" s="46" t="s">
        <v>2292</v>
      </c>
      <c r="Q2" s="46" t="s">
        <v>2094</v>
      </c>
      <c r="R2" s="46">
        <v>8287823681</v>
      </c>
      <c r="S2" s="47">
        <v>46130</v>
      </c>
      <c r="T2" s="46" t="s">
        <v>1990</v>
      </c>
      <c r="U2" s="48" t="s">
        <v>768</v>
      </c>
      <c r="V2" s="48" t="s">
        <v>767</v>
      </c>
      <c r="W2" s="46" t="s">
        <v>2731</v>
      </c>
      <c r="X2" s="46" t="s">
        <v>2732</v>
      </c>
      <c r="Y2" s="46" t="s">
        <v>2361</v>
      </c>
      <c r="Z2" s="74" t="s">
        <v>1709</v>
      </c>
      <c r="AA2" s="10"/>
    </row>
    <row r="3" spans="1:27" x14ac:dyDescent="0.25">
      <c r="A3" s="58">
        <v>3</v>
      </c>
      <c r="B3" s="33" t="s">
        <v>1847</v>
      </c>
      <c r="C3" s="34">
        <v>306987</v>
      </c>
      <c r="D3" s="35" t="s">
        <v>103</v>
      </c>
      <c r="E3" s="35" t="s">
        <v>767</v>
      </c>
      <c r="F3" s="35" t="s">
        <v>768</v>
      </c>
      <c r="G3" s="36" t="s">
        <v>43</v>
      </c>
      <c r="H3" s="35" t="s">
        <v>1721</v>
      </c>
      <c r="I3" s="37" t="s">
        <v>1655</v>
      </c>
      <c r="J3" s="37" t="s">
        <v>1655</v>
      </c>
      <c r="K3" s="35" t="s">
        <v>1806</v>
      </c>
      <c r="L3" s="46" t="s">
        <v>1806</v>
      </c>
      <c r="M3" s="46" t="s">
        <v>1869</v>
      </c>
      <c r="N3" s="46" t="s">
        <v>60</v>
      </c>
      <c r="O3" s="46"/>
      <c r="P3" s="46" t="s">
        <v>2060</v>
      </c>
      <c r="Q3" s="46" t="s">
        <v>2094</v>
      </c>
      <c r="R3" s="46">
        <v>8287823681</v>
      </c>
      <c r="S3" s="47">
        <v>46129</v>
      </c>
      <c r="T3" s="46" t="s">
        <v>1990</v>
      </c>
      <c r="U3" s="48" t="s">
        <v>768</v>
      </c>
      <c r="V3" s="48" t="s">
        <v>767</v>
      </c>
      <c r="W3" s="46" t="s">
        <v>2362</v>
      </c>
      <c r="X3" s="46" t="s">
        <v>2708</v>
      </c>
      <c r="Y3" s="46" t="s">
        <v>579</v>
      </c>
      <c r="Z3" s="74" t="s">
        <v>1721</v>
      </c>
      <c r="AA3" s="10"/>
    </row>
    <row r="4" spans="1:27" x14ac:dyDescent="0.25">
      <c r="A4" s="58">
        <v>4</v>
      </c>
      <c r="B4" s="33" t="s">
        <v>1844</v>
      </c>
      <c r="C4" s="34">
        <v>298994</v>
      </c>
      <c r="D4" s="35" t="s">
        <v>103</v>
      </c>
      <c r="E4" s="35" t="s">
        <v>767</v>
      </c>
      <c r="F4" s="35" t="s">
        <v>768</v>
      </c>
      <c r="G4" s="36" t="s">
        <v>43</v>
      </c>
      <c r="H4" s="35" t="s">
        <v>1708</v>
      </c>
      <c r="I4" s="37" t="s">
        <v>1635</v>
      </c>
      <c r="J4" s="37" t="s">
        <v>1635</v>
      </c>
      <c r="K4" s="35" t="s">
        <v>1786</v>
      </c>
      <c r="L4" s="46" t="s">
        <v>2355</v>
      </c>
      <c r="M4" s="46" t="s">
        <v>1869</v>
      </c>
      <c r="N4" s="46" t="s">
        <v>60</v>
      </c>
      <c r="O4" s="46"/>
      <c r="P4" s="46" t="s">
        <v>1635</v>
      </c>
      <c r="Q4" s="46" t="s">
        <v>2094</v>
      </c>
      <c r="R4" s="46">
        <v>8287823681</v>
      </c>
      <c r="S4" s="47">
        <v>46130</v>
      </c>
      <c r="T4" s="46" t="s">
        <v>1990</v>
      </c>
      <c r="U4" s="48" t="s">
        <v>768</v>
      </c>
      <c r="V4" s="48" t="s">
        <v>767</v>
      </c>
      <c r="W4" s="46" t="s">
        <v>2681</v>
      </c>
      <c r="X4" s="46" t="s">
        <v>2682</v>
      </c>
      <c r="Y4" s="46" t="s">
        <v>95</v>
      </c>
      <c r="Z4" s="74" t="s">
        <v>1708</v>
      </c>
      <c r="AA4" s="10"/>
    </row>
    <row r="5" spans="1:27" x14ac:dyDescent="0.25">
      <c r="A5" s="58">
        <v>5</v>
      </c>
      <c r="B5" s="33" t="s">
        <v>60</v>
      </c>
      <c r="C5" s="34">
        <v>327999</v>
      </c>
      <c r="D5" s="35" t="s">
        <v>103</v>
      </c>
      <c r="E5" s="35" t="s">
        <v>767</v>
      </c>
      <c r="F5" s="35" t="s">
        <v>768</v>
      </c>
      <c r="G5" s="36" t="s">
        <v>43</v>
      </c>
      <c r="H5" s="35" t="s">
        <v>1058</v>
      </c>
      <c r="I5" s="37" t="s">
        <v>1673</v>
      </c>
      <c r="J5" s="37" t="s">
        <v>1673</v>
      </c>
      <c r="K5" s="35" t="s">
        <v>1977</v>
      </c>
      <c r="L5" s="46" t="s">
        <v>1977</v>
      </c>
      <c r="M5" s="46" t="s">
        <v>1869</v>
      </c>
      <c r="N5" s="46" t="s">
        <v>60</v>
      </c>
      <c r="O5" s="46"/>
      <c r="P5" s="46" t="s">
        <v>2305</v>
      </c>
      <c r="Q5" s="46" t="s">
        <v>2094</v>
      </c>
      <c r="R5" s="46">
        <v>8287823681</v>
      </c>
      <c r="S5" s="47">
        <v>46129</v>
      </c>
      <c r="T5" s="46" t="s">
        <v>1990</v>
      </c>
      <c r="U5" s="48" t="s">
        <v>768</v>
      </c>
      <c r="V5" s="48" t="s">
        <v>767</v>
      </c>
      <c r="W5" s="46" t="s">
        <v>2735</v>
      </c>
      <c r="X5" s="46" t="s">
        <v>2736</v>
      </c>
      <c r="Y5" s="46" t="s">
        <v>2737</v>
      </c>
      <c r="Z5" s="74" t="s">
        <v>1058</v>
      </c>
      <c r="AA5" s="10"/>
    </row>
    <row r="6" spans="1:27" x14ac:dyDescent="0.25">
      <c r="A6" s="58">
        <v>7</v>
      </c>
      <c r="B6" s="33" t="s">
        <v>311</v>
      </c>
      <c r="C6" s="34">
        <v>25557</v>
      </c>
      <c r="D6" s="35" t="s">
        <v>103</v>
      </c>
      <c r="E6" s="35" t="s">
        <v>968</v>
      </c>
      <c r="F6" s="35" t="s">
        <v>414</v>
      </c>
      <c r="G6" s="36" t="s">
        <v>43</v>
      </c>
      <c r="H6" s="35" t="s">
        <v>1937</v>
      </c>
      <c r="I6" s="37" t="s">
        <v>313</v>
      </c>
      <c r="J6" s="37" t="s">
        <v>314</v>
      </c>
      <c r="K6" s="35" t="s">
        <v>1855</v>
      </c>
      <c r="L6" s="46" t="s">
        <v>1855</v>
      </c>
      <c r="M6" s="46" t="s">
        <v>1869</v>
      </c>
      <c r="N6" s="46" t="s">
        <v>3415</v>
      </c>
      <c r="O6" s="46"/>
      <c r="P6" s="46" t="s">
        <v>2011</v>
      </c>
      <c r="Q6" s="46" t="s">
        <v>2091</v>
      </c>
      <c r="R6" s="46">
        <v>9354241930</v>
      </c>
      <c r="S6" s="47">
        <v>46134</v>
      </c>
      <c r="T6" s="46" t="s">
        <v>1990</v>
      </c>
      <c r="U6" s="48" t="s">
        <v>414</v>
      </c>
      <c r="V6" s="48" t="s">
        <v>968</v>
      </c>
      <c r="W6" s="46" t="s">
        <v>2738</v>
      </c>
      <c r="X6" s="46" t="s">
        <v>2739</v>
      </c>
      <c r="Y6" s="46" t="s">
        <v>2468</v>
      </c>
      <c r="Z6" s="74" t="s">
        <v>1937</v>
      </c>
      <c r="AA6" s="10"/>
    </row>
    <row r="7" spans="1:27" x14ac:dyDescent="0.25">
      <c r="A7" s="58">
        <v>8</v>
      </c>
      <c r="B7" s="33" t="s">
        <v>60</v>
      </c>
      <c r="C7" s="34">
        <v>313004</v>
      </c>
      <c r="D7" s="35" t="s">
        <v>103</v>
      </c>
      <c r="E7" s="35" t="s">
        <v>1621</v>
      </c>
      <c r="F7" s="35" t="s">
        <v>342</v>
      </c>
      <c r="G7" s="36" t="s">
        <v>43</v>
      </c>
      <c r="H7" s="35" t="s">
        <v>1043</v>
      </c>
      <c r="I7" s="37" t="s">
        <v>1672</v>
      </c>
      <c r="J7" s="37" t="s">
        <v>1672</v>
      </c>
      <c r="K7" s="35" t="s">
        <v>1976</v>
      </c>
      <c r="L7" s="46" t="s">
        <v>1976</v>
      </c>
      <c r="M7" s="46" t="s">
        <v>1869</v>
      </c>
      <c r="N7" s="46" t="s">
        <v>3419</v>
      </c>
      <c r="O7" s="46"/>
      <c r="P7" s="46" t="s">
        <v>2069</v>
      </c>
      <c r="Q7" s="46" t="s">
        <v>2098</v>
      </c>
      <c r="R7" s="46">
        <v>7460008081</v>
      </c>
      <c r="S7" s="47">
        <v>46125</v>
      </c>
      <c r="T7" s="46" t="s">
        <v>1990</v>
      </c>
      <c r="U7" s="48" t="s">
        <v>342</v>
      </c>
      <c r="V7" s="48" t="s">
        <v>1621</v>
      </c>
      <c r="W7" s="46" t="s">
        <v>2740</v>
      </c>
      <c r="X7" s="46" t="s">
        <v>2741</v>
      </c>
      <c r="Y7" s="46" t="s">
        <v>2798</v>
      </c>
      <c r="Z7" s="74" t="s">
        <v>1043</v>
      </c>
      <c r="AA7" s="10"/>
    </row>
    <row r="8" spans="1:27" x14ac:dyDescent="0.25">
      <c r="A8" s="58">
        <v>9</v>
      </c>
      <c r="B8" s="33" t="s">
        <v>438</v>
      </c>
      <c r="C8" s="34">
        <v>26489</v>
      </c>
      <c r="D8" s="35" t="s">
        <v>103</v>
      </c>
      <c r="E8" s="35" t="s">
        <v>1621</v>
      </c>
      <c r="F8" s="35" t="s">
        <v>342</v>
      </c>
      <c r="G8" s="36" t="s">
        <v>43</v>
      </c>
      <c r="H8" s="35" t="s">
        <v>439</v>
      </c>
      <c r="I8" s="37" t="s">
        <v>440</v>
      </c>
      <c r="J8" s="37" t="s">
        <v>441</v>
      </c>
      <c r="K8" s="35" t="s">
        <v>1765</v>
      </c>
      <c r="L8" s="46" t="s">
        <v>1765</v>
      </c>
      <c r="M8" s="46" t="s">
        <v>1869</v>
      </c>
      <c r="N8" s="46" t="s">
        <v>60</v>
      </c>
      <c r="O8" s="46"/>
      <c r="P8" s="46" t="s">
        <v>2019</v>
      </c>
      <c r="Q8" s="46" t="s">
        <v>2098</v>
      </c>
      <c r="R8" s="46">
        <v>7460008081</v>
      </c>
      <c r="S8" s="47">
        <v>46126</v>
      </c>
      <c r="T8" s="46" t="s">
        <v>1990</v>
      </c>
      <c r="U8" s="48" t="s">
        <v>342</v>
      </c>
      <c r="V8" s="48" t="s">
        <v>1621</v>
      </c>
      <c r="W8" s="46" t="s">
        <v>2742</v>
      </c>
      <c r="X8" s="46" t="s">
        <v>2743</v>
      </c>
      <c r="Y8" s="46" t="s">
        <v>2744</v>
      </c>
      <c r="Z8" s="74" t="s">
        <v>439</v>
      </c>
      <c r="AA8" s="10"/>
    </row>
    <row r="9" spans="1:27" x14ac:dyDescent="0.25">
      <c r="A9" s="58">
        <v>10</v>
      </c>
      <c r="B9" s="33" t="s">
        <v>1848</v>
      </c>
      <c r="C9" s="34">
        <v>307991</v>
      </c>
      <c r="D9" s="35" t="s">
        <v>40</v>
      </c>
      <c r="E9" s="35" t="s">
        <v>129</v>
      </c>
      <c r="F9" s="35" t="s">
        <v>129</v>
      </c>
      <c r="G9" s="36" t="s">
        <v>43</v>
      </c>
      <c r="H9" s="35" t="s">
        <v>1724</v>
      </c>
      <c r="I9" s="37" t="s">
        <v>1658</v>
      </c>
      <c r="J9" s="37" t="s">
        <v>1658</v>
      </c>
      <c r="K9" s="35" t="s">
        <v>1809</v>
      </c>
      <c r="L9" s="46" t="s">
        <v>1809</v>
      </c>
      <c r="M9" s="46" t="s">
        <v>1869</v>
      </c>
      <c r="N9" s="46" t="s">
        <v>60</v>
      </c>
      <c r="O9" s="46"/>
      <c r="P9" s="46" t="s">
        <v>2301</v>
      </c>
      <c r="Q9" s="46" t="s">
        <v>2090</v>
      </c>
      <c r="R9" s="46">
        <v>9354183359</v>
      </c>
      <c r="S9" s="47">
        <v>46126</v>
      </c>
      <c r="T9" s="46" t="s">
        <v>1990</v>
      </c>
      <c r="U9" s="48" t="s">
        <v>129</v>
      </c>
      <c r="V9" s="48" t="s">
        <v>129</v>
      </c>
      <c r="W9" s="46" t="s">
        <v>2363</v>
      </c>
      <c r="X9" s="46" t="s">
        <v>2683</v>
      </c>
      <c r="Y9" s="46" t="s">
        <v>2364</v>
      </c>
      <c r="Z9" s="74" t="s">
        <v>1724</v>
      </c>
      <c r="AA9" s="10"/>
    </row>
    <row r="10" spans="1:27" x14ac:dyDescent="0.25">
      <c r="A10" s="58">
        <v>11</v>
      </c>
      <c r="B10" s="33" t="s">
        <v>428</v>
      </c>
      <c r="C10" s="34">
        <v>26323</v>
      </c>
      <c r="D10" s="35" t="s">
        <v>40</v>
      </c>
      <c r="E10" s="35" t="s">
        <v>129</v>
      </c>
      <c r="F10" s="35" t="s">
        <v>129</v>
      </c>
      <c r="G10" s="36" t="s">
        <v>43</v>
      </c>
      <c r="H10" s="35" t="s">
        <v>429</v>
      </c>
      <c r="I10" s="37" t="s">
        <v>430</v>
      </c>
      <c r="J10" s="37" t="s">
        <v>431</v>
      </c>
      <c r="K10" s="35" t="s">
        <v>1764</v>
      </c>
      <c r="L10" s="46" t="s">
        <v>1764</v>
      </c>
      <c r="M10" s="46" t="s">
        <v>1869</v>
      </c>
      <c r="N10" s="46" t="s">
        <v>60</v>
      </c>
      <c r="O10" s="46"/>
      <c r="P10" s="46" t="s">
        <v>430</v>
      </c>
      <c r="Q10" s="46" t="s">
        <v>2095</v>
      </c>
      <c r="R10" s="46">
        <v>9582917652</v>
      </c>
      <c r="S10" s="47">
        <v>46134</v>
      </c>
      <c r="T10" s="46" t="s">
        <v>1990</v>
      </c>
      <c r="U10" s="48" t="s">
        <v>129</v>
      </c>
      <c r="V10" s="48" t="s">
        <v>129</v>
      </c>
      <c r="W10" s="46" t="s">
        <v>2365</v>
      </c>
      <c r="X10" s="46" t="s">
        <v>2366</v>
      </c>
      <c r="Y10" s="46" t="s">
        <v>2676</v>
      </c>
      <c r="Z10" s="74" t="s">
        <v>429</v>
      </c>
      <c r="AA10" s="10"/>
    </row>
    <row r="11" spans="1:27" x14ac:dyDescent="0.25">
      <c r="A11" s="58">
        <v>12</v>
      </c>
      <c r="B11" s="33" t="s">
        <v>560</v>
      </c>
      <c r="C11" s="34">
        <v>26364</v>
      </c>
      <c r="D11" s="35" t="s">
        <v>40</v>
      </c>
      <c r="E11" s="35" t="s">
        <v>129</v>
      </c>
      <c r="F11" s="35" t="s">
        <v>129</v>
      </c>
      <c r="G11" s="36" t="s">
        <v>43</v>
      </c>
      <c r="H11" s="35" t="s">
        <v>561</v>
      </c>
      <c r="I11" s="37" t="s">
        <v>562</v>
      </c>
      <c r="J11" s="37" t="s">
        <v>562</v>
      </c>
      <c r="K11" s="35" t="s">
        <v>1774</v>
      </c>
      <c r="L11" s="46" t="s">
        <v>1774</v>
      </c>
      <c r="M11" s="46" t="s">
        <v>1869</v>
      </c>
      <c r="N11" s="46" t="s">
        <v>60</v>
      </c>
      <c r="O11" s="46"/>
      <c r="P11" s="46" t="s">
        <v>2030</v>
      </c>
      <c r="Q11" s="46" t="s">
        <v>2095</v>
      </c>
      <c r="R11" s="46">
        <v>9582917652</v>
      </c>
      <c r="S11" s="47">
        <v>46134</v>
      </c>
      <c r="T11" s="46" t="s">
        <v>1990</v>
      </c>
      <c r="U11" s="48" t="s">
        <v>129</v>
      </c>
      <c r="V11" s="48" t="s">
        <v>129</v>
      </c>
      <c r="W11" s="46" t="s">
        <v>2684</v>
      </c>
      <c r="X11" s="46" t="s">
        <v>2709</v>
      </c>
      <c r="Y11" s="46" t="s">
        <v>95</v>
      </c>
      <c r="Z11" s="74" t="s">
        <v>561</v>
      </c>
      <c r="AA11" s="10"/>
    </row>
    <row r="12" spans="1:27" x14ac:dyDescent="0.25">
      <c r="A12" s="58">
        <v>13</v>
      </c>
      <c r="B12" s="33" t="s">
        <v>403</v>
      </c>
      <c r="C12" s="34">
        <v>26490</v>
      </c>
      <c r="D12" s="35" t="s">
        <v>40</v>
      </c>
      <c r="E12" s="35" t="s">
        <v>129</v>
      </c>
      <c r="F12" s="35" t="s">
        <v>129</v>
      </c>
      <c r="G12" s="36" t="s">
        <v>43</v>
      </c>
      <c r="H12" s="35" t="s">
        <v>1949</v>
      </c>
      <c r="I12" s="37" t="s">
        <v>405</v>
      </c>
      <c r="J12" s="37" t="s">
        <v>405</v>
      </c>
      <c r="K12" s="35" t="s">
        <v>1972</v>
      </c>
      <c r="L12" s="46" t="s">
        <v>1972</v>
      </c>
      <c r="M12" s="46" t="s">
        <v>1869</v>
      </c>
      <c r="N12" s="46" t="s">
        <v>60</v>
      </c>
      <c r="O12" s="46"/>
      <c r="P12" s="46" t="s">
        <v>2280</v>
      </c>
      <c r="Q12" s="46" t="s">
        <v>2346</v>
      </c>
      <c r="R12" s="46">
        <v>9217935065</v>
      </c>
      <c r="S12" s="47">
        <v>46132</v>
      </c>
      <c r="T12" s="46" t="s">
        <v>1990</v>
      </c>
      <c r="U12" s="48" t="s">
        <v>129</v>
      </c>
      <c r="V12" s="48" t="s">
        <v>129</v>
      </c>
      <c r="W12" s="46" t="s">
        <v>2745</v>
      </c>
      <c r="X12" s="46" t="s">
        <v>2746</v>
      </c>
      <c r="Y12" s="46" t="s">
        <v>2747</v>
      </c>
      <c r="Z12" s="74" t="s">
        <v>1949</v>
      </c>
      <c r="AA12" s="10"/>
    </row>
    <row r="13" spans="1:27" x14ac:dyDescent="0.25">
      <c r="A13" s="58">
        <v>14</v>
      </c>
      <c r="B13" s="33" t="s">
        <v>60</v>
      </c>
      <c r="C13" s="34">
        <v>282016</v>
      </c>
      <c r="D13" s="35" t="s">
        <v>40</v>
      </c>
      <c r="E13" s="35" t="s">
        <v>129</v>
      </c>
      <c r="F13" s="35" t="s">
        <v>129</v>
      </c>
      <c r="G13" s="36" t="s">
        <v>43</v>
      </c>
      <c r="H13" s="35" t="s">
        <v>1953</v>
      </c>
      <c r="I13" s="37" t="s">
        <v>1649</v>
      </c>
      <c r="J13" s="37" t="s">
        <v>1649</v>
      </c>
      <c r="K13" s="35" t="s">
        <v>1880</v>
      </c>
      <c r="L13" s="46" t="s">
        <v>1880</v>
      </c>
      <c r="M13" s="46" t="s">
        <v>1869</v>
      </c>
      <c r="N13" s="46" t="s">
        <v>60</v>
      </c>
      <c r="O13" s="46"/>
      <c r="P13" s="46" t="s">
        <v>2056</v>
      </c>
      <c r="Q13" s="46" t="s">
        <v>2097</v>
      </c>
      <c r="R13" s="46">
        <v>9149204613</v>
      </c>
      <c r="S13" s="47">
        <v>46135</v>
      </c>
      <c r="T13" s="46" t="s">
        <v>1990</v>
      </c>
      <c r="U13" s="48" t="s">
        <v>129</v>
      </c>
      <c r="V13" s="48" t="s">
        <v>129</v>
      </c>
      <c r="W13" s="46" t="s">
        <v>2367</v>
      </c>
      <c r="X13" s="46" t="s">
        <v>2368</v>
      </c>
      <c r="Y13" s="46" t="s">
        <v>2799</v>
      </c>
      <c r="Z13" s="74" t="s">
        <v>1953</v>
      </c>
      <c r="AA13" s="10"/>
    </row>
    <row r="14" spans="1:27" x14ac:dyDescent="0.25">
      <c r="A14" s="58">
        <v>15</v>
      </c>
      <c r="B14" s="33" t="s">
        <v>128</v>
      </c>
      <c r="C14" s="34">
        <v>26166</v>
      </c>
      <c r="D14" s="35" t="s">
        <v>40</v>
      </c>
      <c r="E14" s="35" t="s">
        <v>129</v>
      </c>
      <c r="F14" s="35" t="s">
        <v>129</v>
      </c>
      <c r="G14" s="36" t="s">
        <v>43</v>
      </c>
      <c r="H14" s="35" t="s">
        <v>130</v>
      </c>
      <c r="I14" s="37" t="s">
        <v>131</v>
      </c>
      <c r="J14" s="37" t="s">
        <v>131</v>
      </c>
      <c r="K14" s="35" t="s">
        <v>132</v>
      </c>
      <c r="L14" s="46" t="s">
        <v>132</v>
      </c>
      <c r="M14" s="46" t="s">
        <v>1869</v>
      </c>
      <c r="N14" s="46" t="s">
        <v>60</v>
      </c>
      <c r="O14" s="46"/>
      <c r="P14" s="46" t="s">
        <v>1998</v>
      </c>
      <c r="Q14" s="46" t="s">
        <v>1994</v>
      </c>
      <c r="R14" s="46">
        <v>9810670823</v>
      </c>
      <c r="S14" s="47">
        <v>46134</v>
      </c>
      <c r="T14" s="46" t="s">
        <v>1990</v>
      </c>
      <c r="U14" s="48" t="s">
        <v>129</v>
      </c>
      <c r="V14" s="48" t="s">
        <v>129</v>
      </c>
      <c r="W14" s="46" t="s">
        <v>2748</v>
      </c>
      <c r="X14" s="46" t="s">
        <v>2749</v>
      </c>
      <c r="Y14" s="46" t="s">
        <v>2564</v>
      </c>
      <c r="Z14" s="74" t="s">
        <v>130</v>
      </c>
      <c r="AA14" s="10"/>
    </row>
    <row r="15" spans="1:27" x14ac:dyDescent="0.25">
      <c r="A15" s="58">
        <v>16</v>
      </c>
      <c r="B15" s="33" t="s">
        <v>60</v>
      </c>
      <c r="C15" s="34">
        <v>149914</v>
      </c>
      <c r="D15" s="35" t="s">
        <v>40</v>
      </c>
      <c r="E15" s="35" t="s">
        <v>129</v>
      </c>
      <c r="F15" s="35" t="s">
        <v>129</v>
      </c>
      <c r="G15" s="36" t="s">
        <v>43</v>
      </c>
      <c r="H15" s="35" t="s">
        <v>846</v>
      </c>
      <c r="I15" s="37" t="s">
        <v>1642</v>
      </c>
      <c r="J15" s="37" t="s">
        <v>1642</v>
      </c>
      <c r="K15" s="35" t="s">
        <v>1793</v>
      </c>
      <c r="L15" s="46" t="s">
        <v>1793</v>
      </c>
      <c r="M15" s="46" t="s">
        <v>1869</v>
      </c>
      <c r="N15" s="46" t="s">
        <v>60</v>
      </c>
      <c r="O15" s="46"/>
      <c r="P15" s="46" t="s">
        <v>2051</v>
      </c>
      <c r="Q15" s="46" t="s">
        <v>2090</v>
      </c>
      <c r="R15" s="46">
        <v>9354183359</v>
      </c>
      <c r="S15" s="47">
        <v>46126</v>
      </c>
      <c r="T15" s="46" t="s">
        <v>1990</v>
      </c>
      <c r="U15" s="48" t="s">
        <v>129</v>
      </c>
      <c r="V15" s="48" t="s">
        <v>129</v>
      </c>
      <c r="W15" s="46" t="s">
        <v>2369</v>
      </c>
      <c r="X15" s="46" t="s">
        <v>2685</v>
      </c>
      <c r="Y15" s="46" t="s">
        <v>2392</v>
      </c>
      <c r="Z15" s="74" t="s">
        <v>846</v>
      </c>
      <c r="AA15" s="10"/>
    </row>
    <row r="16" spans="1:27" x14ac:dyDescent="0.25">
      <c r="A16" s="58">
        <v>17</v>
      </c>
      <c r="B16" s="33" t="s">
        <v>609</v>
      </c>
      <c r="C16" s="34">
        <v>12698</v>
      </c>
      <c r="D16" s="35" t="s">
        <v>40</v>
      </c>
      <c r="E16" s="35" t="s">
        <v>129</v>
      </c>
      <c r="F16" s="35" t="s">
        <v>129</v>
      </c>
      <c r="G16" s="36" t="s">
        <v>43</v>
      </c>
      <c r="H16" s="35" t="s">
        <v>1699</v>
      </c>
      <c r="I16" s="37" t="s">
        <v>611</v>
      </c>
      <c r="J16" s="37" t="s">
        <v>611</v>
      </c>
      <c r="K16" s="35" t="s">
        <v>1779</v>
      </c>
      <c r="L16" s="46" t="s">
        <v>1779</v>
      </c>
      <c r="M16" s="46" t="s">
        <v>1869</v>
      </c>
      <c r="N16" s="46" t="s">
        <v>60</v>
      </c>
      <c r="O16" s="46"/>
      <c r="P16" s="46" t="s">
        <v>2035</v>
      </c>
      <c r="Q16" s="46" t="s">
        <v>2097</v>
      </c>
      <c r="R16" s="46">
        <v>9149204613</v>
      </c>
      <c r="S16" s="47">
        <v>46128</v>
      </c>
      <c r="T16" s="46" t="s">
        <v>1990</v>
      </c>
      <c r="U16" s="48" t="s">
        <v>129</v>
      </c>
      <c r="V16" s="48" t="s">
        <v>129</v>
      </c>
      <c r="W16" s="46" t="s">
        <v>2686</v>
      </c>
      <c r="X16" s="46" t="s">
        <v>2687</v>
      </c>
      <c r="Y16" s="46" t="s">
        <v>60</v>
      </c>
      <c r="Z16" s="74" t="s">
        <v>1699</v>
      </c>
      <c r="AA16" s="10"/>
    </row>
    <row r="17" spans="1:27" x14ac:dyDescent="0.25">
      <c r="A17" s="58">
        <v>18</v>
      </c>
      <c r="B17" s="33" t="s">
        <v>743</v>
      </c>
      <c r="C17" s="34">
        <v>54442</v>
      </c>
      <c r="D17" s="35" t="s">
        <v>40</v>
      </c>
      <c r="E17" s="35" t="s">
        <v>129</v>
      </c>
      <c r="F17" s="35" t="s">
        <v>129</v>
      </c>
      <c r="G17" s="36" t="s">
        <v>43</v>
      </c>
      <c r="H17" s="35" t="s">
        <v>1706</v>
      </c>
      <c r="I17" s="37" t="s">
        <v>1634</v>
      </c>
      <c r="J17" s="37" t="s">
        <v>1634</v>
      </c>
      <c r="K17" s="35" t="s">
        <v>1784</v>
      </c>
      <c r="L17" s="46" t="s">
        <v>1784</v>
      </c>
      <c r="M17" s="46" t="s">
        <v>1869</v>
      </c>
      <c r="N17" s="46" t="s">
        <v>60</v>
      </c>
      <c r="O17" s="46"/>
      <c r="P17" s="46" t="s">
        <v>2044</v>
      </c>
      <c r="Q17" s="46" t="s">
        <v>2090</v>
      </c>
      <c r="R17" s="46">
        <v>9354183359</v>
      </c>
      <c r="S17" s="47">
        <v>46129</v>
      </c>
      <c r="T17" s="46" t="s">
        <v>1990</v>
      </c>
      <c r="U17" s="48" t="s">
        <v>129</v>
      </c>
      <c r="V17" s="48" t="s">
        <v>129</v>
      </c>
      <c r="W17" s="46" t="s">
        <v>2688</v>
      </c>
      <c r="X17" s="46" t="s">
        <v>2536</v>
      </c>
      <c r="Y17" s="46" t="s">
        <v>60</v>
      </c>
      <c r="Z17" s="74" t="s">
        <v>1706</v>
      </c>
      <c r="AA17" s="10"/>
    </row>
    <row r="18" spans="1:27" x14ac:dyDescent="0.25">
      <c r="A18" s="58">
        <v>20</v>
      </c>
      <c r="B18" s="33" t="s">
        <v>1013</v>
      </c>
      <c r="C18" s="34">
        <v>28589</v>
      </c>
      <c r="D18" s="35" t="s">
        <v>40</v>
      </c>
      <c r="E18" s="35" t="s">
        <v>129</v>
      </c>
      <c r="F18" s="35" t="s">
        <v>129</v>
      </c>
      <c r="G18" s="36" t="s">
        <v>43</v>
      </c>
      <c r="H18" s="35" t="s">
        <v>1014</v>
      </c>
      <c r="I18" s="37" t="s">
        <v>1015</v>
      </c>
      <c r="J18" s="37" t="s">
        <v>1015</v>
      </c>
      <c r="K18" s="35" t="s">
        <v>1016</v>
      </c>
      <c r="L18" s="46" t="s">
        <v>1016</v>
      </c>
      <c r="M18" s="46" t="s">
        <v>1869</v>
      </c>
      <c r="N18" s="46" t="s">
        <v>60</v>
      </c>
      <c r="O18" s="46"/>
      <c r="P18" s="46" t="s">
        <v>2066</v>
      </c>
      <c r="Q18" s="46" t="s">
        <v>2090</v>
      </c>
      <c r="R18" s="46">
        <v>9354183359</v>
      </c>
      <c r="S18" s="47">
        <v>46129</v>
      </c>
      <c r="T18" s="46" t="s">
        <v>1990</v>
      </c>
      <c r="U18" s="48" t="s">
        <v>129</v>
      </c>
      <c r="V18" s="48" t="s">
        <v>129</v>
      </c>
      <c r="W18" s="46" t="s">
        <v>2372</v>
      </c>
      <c r="X18" s="46" t="s">
        <v>2710</v>
      </c>
      <c r="Y18" s="46" t="s">
        <v>143</v>
      </c>
      <c r="Z18" s="74" t="s">
        <v>1014</v>
      </c>
      <c r="AA18" s="10"/>
    </row>
    <row r="19" spans="1:27" x14ac:dyDescent="0.25">
      <c r="A19" s="58">
        <v>21</v>
      </c>
      <c r="B19" s="33" t="s">
        <v>1135</v>
      </c>
      <c r="C19" s="34">
        <v>45551</v>
      </c>
      <c r="D19" s="35" t="s">
        <v>40</v>
      </c>
      <c r="E19" s="35" t="s">
        <v>129</v>
      </c>
      <c r="F19" s="35" t="s">
        <v>129</v>
      </c>
      <c r="G19" s="36" t="s">
        <v>43</v>
      </c>
      <c r="H19" s="35" t="s">
        <v>1136</v>
      </c>
      <c r="I19" s="37" t="s">
        <v>1137</v>
      </c>
      <c r="J19" s="37" t="s">
        <v>1137</v>
      </c>
      <c r="K19" s="35" t="s">
        <v>1138</v>
      </c>
      <c r="L19" s="46" t="s">
        <v>1138</v>
      </c>
      <c r="M19" s="46" t="s">
        <v>1869</v>
      </c>
      <c r="N19" s="46" t="s">
        <v>60</v>
      </c>
      <c r="O19" s="46"/>
      <c r="P19" s="46" t="s">
        <v>2308</v>
      </c>
      <c r="Q19" s="46" t="s">
        <v>2346</v>
      </c>
      <c r="R19" s="46">
        <v>9217935065</v>
      </c>
      <c r="S19" s="47">
        <v>46122</v>
      </c>
      <c r="T19" s="46" t="s">
        <v>1990</v>
      </c>
      <c r="U19" s="48" t="s">
        <v>129</v>
      </c>
      <c r="V19" s="48" t="s">
        <v>129</v>
      </c>
      <c r="W19" s="46" t="s">
        <v>2373</v>
      </c>
      <c r="X19" s="46" t="s">
        <v>2374</v>
      </c>
      <c r="Y19" s="46" t="s">
        <v>60</v>
      </c>
      <c r="Z19" s="74" t="s">
        <v>1136</v>
      </c>
      <c r="AA19" s="10"/>
    </row>
    <row r="20" spans="1:27" x14ac:dyDescent="0.25">
      <c r="A20" s="58">
        <v>22</v>
      </c>
      <c r="B20" s="33" t="s">
        <v>550</v>
      </c>
      <c r="C20" s="34">
        <v>26294</v>
      </c>
      <c r="D20" s="35" t="s">
        <v>40</v>
      </c>
      <c r="E20" s="35" t="s">
        <v>129</v>
      </c>
      <c r="F20" s="35" t="s">
        <v>129</v>
      </c>
      <c r="G20" s="36" t="s">
        <v>43</v>
      </c>
      <c r="H20" s="35" t="s">
        <v>551</v>
      </c>
      <c r="I20" s="37" t="s">
        <v>552</v>
      </c>
      <c r="J20" s="37" t="s">
        <v>552</v>
      </c>
      <c r="K20" s="35" t="s">
        <v>1773</v>
      </c>
      <c r="L20" s="46" t="s">
        <v>1773</v>
      </c>
      <c r="M20" s="46" t="s">
        <v>1869</v>
      </c>
      <c r="N20" s="46" t="s">
        <v>60</v>
      </c>
      <c r="O20" s="46"/>
      <c r="P20" s="46" t="s">
        <v>2029</v>
      </c>
      <c r="Q20" s="46" t="s">
        <v>2346</v>
      </c>
      <c r="R20" s="46">
        <v>9217935065</v>
      </c>
      <c r="S20" s="47">
        <v>46120</v>
      </c>
      <c r="T20" s="46" t="s">
        <v>1990</v>
      </c>
      <c r="U20" s="48" t="s">
        <v>129</v>
      </c>
      <c r="V20" s="48" t="s">
        <v>129</v>
      </c>
      <c r="W20" s="46" t="s">
        <v>2375</v>
      </c>
      <c r="X20" s="46" t="s">
        <v>2376</v>
      </c>
      <c r="Y20" s="46" t="s">
        <v>402</v>
      </c>
      <c r="Z20" s="74" t="s">
        <v>551</v>
      </c>
      <c r="AA20" s="10"/>
    </row>
    <row r="21" spans="1:27" x14ac:dyDescent="0.25">
      <c r="A21" s="58">
        <v>23</v>
      </c>
      <c r="B21" s="33" t="s">
        <v>60</v>
      </c>
      <c r="C21" s="34">
        <v>317051</v>
      </c>
      <c r="D21" s="35" t="s">
        <v>40</v>
      </c>
      <c r="E21" s="35" t="s">
        <v>61</v>
      </c>
      <c r="F21" s="35" t="s">
        <v>2818</v>
      </c>
      <c r="G21" s="36" t="s">
        <v>43</v>
      </c>
      <c r="H21" s="35" t="s">
        <v>1719</v>
      </c>
      <c r="I21" s="37" t="s">
        <v>1652</v>
      </c>
      <c r="J21" s="37" t="s">
        <v>1652</v>
      </c>
      <c r="K21" s="35" t="s">
        <v>1803</v>
      </c>
      <c r="L21" s="46" t="s">
        <v>1803</v>
      </c>
      <c r="M21" s="46" t="s">
        <v>1869</v>
      </c>
      <c r="N21" s="46" t="s">
        <v>3419</v>
      </c>
      <c r="O21" s="46"/>
      <c r="P21" s="46" t="s">
        <v>2298</v>
      </c>
      <c r="Q21" s="46" t="s">
        <v>2097</v>
      </c>
      <c r="R21" s="46">
        <v>9149204613</v>
      </c>
      <c r="S21" s="47">
        <v>46126</v>
      </c>
      <c r="T21" s="46" t="s">
        <v>1990</v>
      </c>
      <c r="U21" s="48" t="s">
        <v>2818</v>
      </c>
      <c r="V21" s="48" t="s">
        <v>61</v>
      </c>
      <c r="W21" s="46" t="s">
        <v>2377</v>
      </c>
      <c r="X21" s="46" t="s">
        <v>2378</v>
      </c>
      <c r="Y21" s="46" t="s">
        <v>2392</v>
      </c>
      <c r="Z21" s="74" t="s">
        <v>1719</v>
      </c>
      <c r="AA21" s="10"/>
    </row>
    <row r="22" spans="1:27" x14ac:dyDescent="0.25">
      <c r="A22" s="58">
        <v>24</v>
      </c>
      <c r="B22" s="33" t="s">
        <v>60</v>
      </c>
      <c r="C22" s="34">
        <v>309009</v>
      </c>
      <c r="D22" s="35" t="s">
        <v>40</v>
      </c>
      <c r="E22" s="35" t="s">
        <v>61</v>
      </c>
      <c r="F22" s="35" t="s">
        <v>593</v>
      </c>
      <c r="G22" s="36" t="s">
        <v>43</v>
      </c>
      <c r="H22" s="35" t="s">
        <v>1725</v>
      </c>
      <c r="I22" s="37" t="s">
        <v>1659</v>
      </c>
      <c r="J22" s="37" t="s">
        <v>1659</v>
      </c>
      <c r="K22" s="35" t="s">
        <v>1810</v>
      </c>
      <c r="L22" s="46" t="s">
        <v>1810</v>
      </c>
      <c r="M22" s="46" t="s">
        <v>1869</v>
      </c>
      <c r="N22" s="46" t="s">
        <v>60</v>
      </c>
      <c r="O22" s="46"/>
      <c r="P22" s="46" t="s">
        <v>2061</v>
      </c>
      <c r="Q22" s="46" t="s">
        <v>2092</v>
      </c>
      <c r="R22" s="46">
        <v>7753851136</v>
      </c>
      <c r="S22" s="47">
        <v>46128</v>
      </c>
      <c r="T22" s="46" t="s">
        <v>1990</v>
      </c>
      <c r="U22" s="48" t="s">
        <v>593</v>
      </c>
      <c r="V22" s="48" t="s">
        <v>61</v>
      </c>
      <c r="W22" s="46" t="s">
        <v>2379</v>
      </c>
      <c r="X22" s="46" t="s">
        <v>2380</v>
      </c>
      <c r="Y22" s="46" t="s">
        <v>402</v>
      </c>
      <c r="Z22" s="74" t="s">
        <v>1725</v>
      </c>
      <c r="AA22" s="10"/>
    </row>
    <row r="23" spans="1:27" x14ac:dyDescent="0.25">
      <c r="A23" s="58">
        <v>25</v>
      </c>
      <c r="B23" s="33" t="s">
        <v>60</v>
      </c>
      <c r="C23" s="34">
        <v>348994</v>
      </c>
      <c r="D23" s="35" t="s">
        <v>40</v>
      </c>
      <c r="E23" s="35" t="s">
        <v>129</v>
      </c>
      <c r="F23" s="35" t="s">
        <v>129</v>
      </c>
      <c r="G23" s="36" t="s">
        <v>43</v>
      </c>
      <c r="H23" s="35" t="s">
        <v>1073</v>
      </c>
      <c r="I23" s="37" t="s">
        <v>1074</v>
      </c>
      <c r="J23" s="37" t="s">
        <v>1075</v>
      </c>
      <c r="K23" s="35" t="s">
        <v>1823</v>
      </c>
      <c r="L23" s="46" t="s">
        <v>1823</v>
      </c>
      <c r="M23" s="46" t="s">
        <v>1869</v>
      </c>
      <c r="N23" s="46" t="s">
        <v>60</v>
      </c>
      <c r="O23" s="46"/>
      <c r="P23" s="46" t="s">
        <v>2074</v>
      </c>
      <c r="Q23" s="46" t="s">
        <v>2098</v>
      </c>
      <c r="R23" s="46">
        <v>7460008081</v>
      </c>
      <c r="S23" s="47">
        <v>46119</v>
      </c>
      <c r="T23" s="46" t="s">
        <v>1990</v>
      </c>
      <c r="U23" s="48" t="s">
        <v>129</v>
      </c>
      <c r="V23" s="48" t="s">
        <v>129</v>
      </c>
      <c r="W23" s="46" t="s">
        <v>2381</v>
      </c>
      <c r="X23" s="46" t="s">
        <v>2382</v>
      </c>
      <c r="Y23" s="46" t="s">
        <v>60</v>
      </c>
      <c r="Z23" s="74" t="s">
        <v>1073</v>
      </c>
      <c r="AA23" s="10"/>
    </row>
    <row r="24" spans="1:27" x14ac:dyDescent="0.25">
      <c r="A24" s="58">
        <v>27</v>
      </c>
      <c r="B24" s="33" t="s">
        <v>60</v>
      </c>
      <c r="C24" s="34">
        <v>332001</v>
      </c>
      <c r="D24" s="35" t="s">
        <v>40</v>
      </c>
      <c r="E24" s="35" t="s">
        <v>96</v>
      </c>
      <c r="F24" s="35" t="s">
        <v>830</v>
      </c>
      <c r="G24" s="36" t="s">
        <v>43</v>
      </c>
      <c r="H24" s="35" t="s">
        <v>1710</v>
      </c>
      <c r="I24" s="37" t="s">
        <v>1641</v>
      </c>
      <c r="J24" s="37" t="s">
        <v>1641</v>
      </c>
      <c r="K24" s="35" t="s">
        <v>1791</v>
      </c>
      <c r="L24" s="46" t="s">
        <v>1791</v>
      </c>
      <c r="M24" s="46" t="s">
        <v>1869</v>
      </c>
      <c r="N24" s="46" t="s">
        <v>60</v>
      </c>
      <c r="O24" s="46"/>
      <c r="P24" s="46" t="s">
        <v>2050</v>
      </c>
      <c r="Q24" s="46" t="s">
        <v>2093</v>
      </c>
      <c r="R24" s="46">
        <v>9990034588</v>
      </c>
      <c r="S24" s="47">
        <v>46127</v>
      </c>
      <c r="T24" s="46" t="s">
        <v>1990</v>
      </c>
      <c r="U24" s="48" t="s">
        <v>830</v>
      </c>
      <c r="V24" s="48" t="s">
        <v>96</v>
      </c>
      <c r="W24" s="46" t="s">
        <v>60</v>
      </c>
      <c r="X24" s="46" t="s">
        <v>2689</v>
      </c>
      <c r="Y24" s="46" t="s">
        <v>2523</v>
      </c>
      <c r="Z24" s="74" t="s">
        <v>1710</v>
      </c>
      <c r="AA24" s="10"/>
    </row>
    <row r="25" spans="1:27" x14ac:dyDescent="0.25">
      <c r="A25" s="58">
        <v>29</v>
      </c>
      <c r="B25" s="33" t="s">
        <v>708</v>
      </c>
      <c r="C25" s="34">
        <v>12242</v>
      </c>
      <c r="D25" s="35" t="s">
        <v>40</v>
      </c>
      <c r="E25" s="35" t="s">
        <v>96</v>
      </c>
      <c r="F25" s="35" t="s">
        <v>709</v>
      </c>
      <c r="G25" s="36" t="s">
        <v>43</v>
      </c>
      <c r="H25" s="35" t="s">
        <v>1704</v>
      </c>
      <c r="I25" s="37" t="s">
        <v>1633</v>
      </c>
      <c r="J25" s="37" t="s">
        <v>1633</v>
      </c>
      <c r="K25" s="35" t="s">
        <v>1782</v>
      </c>
      <c r="L25" s="46" t="s">
        <v>1782</v>
      </c>
      <c r="M25" s="46" t="s">
        <v>1869</v>
      </c>
      <c r="N25" s="46" t="s">
        <v>60</v>
      </c>
      <c r="O25" s="46"/>
      <c r="P25" s="46" t="s">
        <v>2042</v>
      </c>
      <c r="Q25" s="46" t="s">
        <v>2098</v>
      </c>
      <c r="R25" s="46">
        <v>7460008081</v>
      </c>
      <c r="S25" s="47">
        <v>46121</v>
      </c>
      <c r="T25" s="46" t="s">
        <v>1990</v>
      </c>
      <c r="U25" s="48" t="s">
        <v>709</v>
      </c>
      <c r="V25" s="48" t="s">
        <v>96</v>
      </c>
      <c r="W25" s="46" t="s">
        <v>2750</v>
      </c>
      <c r="X25" s="46" t="s">
        <v>2751</v>
      </c>
      <c r="Y25" s="46" t="s">
        <v>2752</v>
      </c>
      <c r="Z25" s="74" t="s">
        <v>1704</v>
      </c>
      <c r="AA25" s="10"/>
    </row>
    <row r="26" spans="1:27" x14ac:dyDescent="0.25">
      <c r="A26" s="58">
        <v>30</v>
      </c>
      <c r="B26" s="33" t="s">
        <v>323</v>
      </c>
      <c r="C26" s="34">
        <v>26018</v>
      </c>
      <c r="D26" s="35" t="s">
        <v>103</v>
      </c>
      <c r="E26" s="35" t="s">
        <v>465</v>
      </c>
      <c r="F26" s="35" t="s">
        <v>801</v>
      </c>
      <c r="G26" s="36" t="s">
        <v>43</v>
      </c>
      <c r="H26" s="35" t="s">
        <v>324</v>
      </c>
      <c r="I26" s="37" t="s">
        <v>325</v>
      </c>
      <c r="J26" s="37" t="s">
        <v>325</v>
      </c>
      <c r="K26" s="35" t="s">
        <v>1857</v>
      </c>
      <c r="L26" s="46" t="s">
        <v>1857</v>
      </c>
      <c r="M26" s="46" t="s">
        <v>1869</v>
      </c>
      <c r="N26" s="46" t="s">
        <v>60</v>
      </c>
      <c r="O26" s="46"/>
      <c r="P26" s="46" t="s">
        <v>2277</v>
      </c>
      <c r="Q26" s="46" t="s">
        <v>2091</v>
      </c>
      <c r="R26" s="46">
        <v>9354241930</v>
      </c>
      <c r="S26" s="47">
        <v>46128</v>
      </c>
      <c r="T26" s="46" t="s">
        <v>1990</v>
      </c>
      <c r="U26" s="48" t="s">
        <v>801</v>
      </c>
      <c r="V26" s="48" t="s">
        <v>465</v>
      </c>
      <c r="W26" s="46" t="s">
        <v>2733</v>
      </c>
      <c r="X26" s="46" t="s">
        <v>2734</v>
      </c>
      <c r="Y26" s="46" t="s">
        <v>2680</v>
      </c>
      <c r="Z26" s="74" t="s">
        <v>324</v>
      </c>
      <c r="AA26" s="10"/>
    </row>
    <row r="27" spans="1:27" x14ac:dyDescent="0.25">
      <c r="A27" s="58">
        <v>31</v>
      </c>
      <c r="B27" s="33" t="s">
        <v>641</v>
      </c>
      <c r="C27" s="34">
        <v>26212</v>
      </c>
      <c r="D27" s="35" t="s">
        <v>103</v>
      </c>
      <c r="E27" s="35" t="s">
        <v>465</v>
      </c>
      <c r="F27" s="35" t="s">
        <v>801</v>
      </c>
      <c r="G27" s="36" t="s">
        <v>43</v>
      </c>
      <c r="H27" s="35" t="s">
        <v>1943</v>
      </c>
      <c r="I27" s="37" t="s">
        <v>643</v>
      </c>
      <c r="J27" s="37" t="s">
        <v>644</v>
      </c>
      <c r="K27" s="35" t="s">
        <v>645</v>
      </c>
      <c r="L27" s="46" t="s">
        <v>645</v>
      </c>
      <c r="M27" s="46" t="s">
        <v>1869</v>
      </c>
      <c r="N27" s="46" t="s">
        <v>60</v>
      </c>
      <c r="O27" s="46"/>
      <c r="P27" s="46" t="s">
        <v>2321</v>
      </c>
      <c r="Q27" s="46" t="s">
        <v>2091</v>
      </c>
      <c r="R27" s="46">
        <v>9354241930</v>
      </c>
      <c r="S27" s="47">
        <v>46128</v>
      </c>
      <c r="T27" s="46" t="s">
        <v>1990</v>
      </c>
      <c r="U27" s="48" t="s">
        <v>801</v>
      </c>
      <c r="V27" s="48" t="s">
        <v>465</v>
      </c>
      <c r="W27" s="46" t="s">
        <v>2385</v>
      </c>
      <c r="X27" s="46" t="s">
        <v>2711</v>
      </c>
      <c r="Y27" s="46" t="s">
        <v>2503</v>
      </c>
      <c r="Z27" s="74" t="s">
        <v>1943</v>
      </c>
      <c r="AA27" s="10"/>
    </row>
    <row r="28" spans="1:27" x14ac:dyDescent="0.25">
      <c r="A28" s="58">
        <v>32</v>
      </c>
      <c r="B28" s="33" t="s">
        <v>60</v>
      </c>
      <c r="C28" s="34">
        <v>67899</v>
      </c>
      <c r="D28" s="35" t="s">
        <v>103</v>
      </c>
      <c r="E28" s="35" t="s">
        <v>465</v>
      </c>
      <c r="F28" s="35" t="s">
        <v>801</v>
      </c>
      <c r="G28" s="36" t="s">
        <v>43</v>
      </c>
      <c r="H28" s="35" t="s">
        <v>802</v>
      </c>
      <c r="I28" s="37" t="s">
        <v>1638</v>
      </c>
      <c r="J28" s="37" t="s">
        <v>1638</v>
      </c>
      <c r="K28" s="35" t="s">
        <v>1892</v>
      </c>
      <c r="L28" s="46" t="s">
        <v>1892</v>
      </c>
      <c r="M28" s="46" t="s">
        <v>1869</v>
      </c>
      <c r="N28" s="46" t="s">
        <v>60</v>
      </c>
      <c r="O28" s="46"/>
      <c r="P28" s="46" t="s">
        <v>1638</v>
      </c>
      <c r="Q28" s="46" t="s">
        <v>2091</v>
      </c>
      <c r="R28" s="46">
        <v>9354241930</v>
      </c>
      <c r="S28" s="47">
        <v>46128</v>
      </c>
      <c r="T28" s="46" t="s">
        <v>1990</v>
      </c>
      <c r="U28" s="48" t="s">
        <v>801</v>
      </c>
      <c r="V28" s="48" t="s">
        <v>465</v>
      </c>
      <c r="W28" s="46" t="s">
        <v>2753</v>
      </c>
      <c r="X28" s="46" t="s">
        <v>2754</v>
      </c>
      <c r="Y28" s="46" t="s">
        <v>2677</v>
      </c>
      <c r="Z28" s="74" t="s">
        <v>802</v>
      </c>
      <c r="AA28" s="10"/>
    </row>
    <row r="29" spans="1:27" x14ac:dyDescent="0.25">
      <c r="A29" s="58">
        <v>34</v>
      </c>
      <c r="B29" s="33" t="s">
        <v>60</v>
      </c>
      <c r="C29" s="34">
        <v>310986</v>
      </c>
      <c r="D29" s="35" t="s">
        <v>40</v>
      </c>
      <c r="E29" s="35" t="s">
        <v>465</v>
      </c>
      <c r="F29" s="35" t="s">
        <v>466</v>
      </c>
      <c r="G29" s="36" t="s">
        <v>43</v>
      </c>
      <c r="H29" s="35" t="s">
        <v>1728</v>
      </c>
      <c r="I29" s="37" t="s">
        <v>1662</v>
      </c>
      <c r="J29" s="37" t="s">
        <v>1662</v>
      </c>
      <c r="K29" s="35" t="s">
        <v>1813</v>
      </c>
      <c r="L29" s="46" t="s">
        <v>1813</v>
      </c>
      <c r="M29" s="46" t="s">
        <v>1869</v>
      </c>
      <c r="N29" s="46" t="s">
        <v>60</v>
      </c>
      <c r="O29" s="46"/>
      <c r="P29" s="46" t="s">
        <v>1662</v>
      </c>
      <c r="Q29" s="46" t="s">
        <v>2091</v>
      </c>
      <c r="R29" s="46">
        <v>9354241930</v>
      </c>
      <c r="S29" s="47">
        <v>46130</v>
      </c>
      <c r="T29" s="46" t="s">
        <v>1990</v>
      </c>
      <c r="U29" s="48" t="s">
        <v>466</v>
      </c>
      <c r="V29" s="48" t="s">
        <v>465</v>
      </c>
      <c r="W29" s="46" t="s">
        <v>2386</v>
      </c>
      <c r="X29" s="46" t="s">
        <v>2387</v>
      </c>
      <c r="Y29" s="46" t="s">
        <v>427</v>
      </c>
      <c r="Z29" s="74" t="s">
        <v>1728</v>
      </c>
      <c r="AA29" s="10"/>
    </row>
    <row r="30" spans="1:27" x14ac:dyDescent="0.25">
      <c r="A30" s="58">
        <v>35</v>
      </c>
      <c r="B30" s="33" t="s">
        <v>60</v>
      </c>
      <c r="C30" s="34">
        <v>305020</v>
      </c>
      <c r="D30" s="35" t="s">
        <v>40</v>
      </c>
      <c r="E30" s="35" t="s">
        <v>837</v>
      </c>
      <c r="F30" s="35" t="s">
        <v>837</v>
      </c>
      <c r="G30" s="36" t="s">
        <v>43</v>
      </c>
      <c r="H30" s="35" t="s">
        <v>1718</v>
      </c>
      <c r="I30" s="37" t="s">
        <v>1651</v>
      </c>
      <c r="J30" s="37" t="s">
        <v>1651</v>
      </c>
      <c r="K30" s="35" t="s">
        <v>1802</v>
      </c>
      <c r="L30" s="46" t="s">
        <v>1802</v>
      </c>
      <c r="M30" s="46" t="s">
        <v>1869</v>
      </c>
      <c r="N30" s="46" t="s">
        <v>60</v>
      </c>
      <c r="O30" s="46"/>
      <c r="P30" s="46" t="s">
        <v>2297</v>
      </c>
      <c r="Q30" s="46" t="s">
        <v>2096</v>
      </c>
      <c r="R30" s="46">
        <v>7688959606</v>
      </c>
      <c r="S30" s="47">
        <v>46121</v>
      </c>
      <c r="T30" s="46" t="s">
        <v>1990</v>
      </c>
      <c r="U30" s="48" t="s">
        <v>837</v>
      </c>
      <c r="V30" s="48" t="s">
        <v>837</v>
      </c>
      <c r="W30" s="46" t="s">
        <v>2388</v>
      </c>
      <c r="X30" s="46" t="s">
        <v>2389</v>
      </c>
      <c r="Y30" s="46" t="s">
        <v>2390</v>
      </c>
      <c r="Z30" s="74" t="s">
        <v>1718</v>
      </c>
      <c r="AA30" s="10"/>
    </row>
    <row r="31" spans="1:27" x14ac:dyDescent="0.25">
      <c r="A31" s="58">
        <v>36</v>
      </c>
      <c r="B31" s="33" t="s">
        <v>60</v>
      </c>
      <c r="C31" s="34">
        <v>346995</v>
      </c>
      <c r="D31" s="35" t="s">
        <v>40</v>
      </c>
      <c r="E31" s="35" t="s">
        <v>129</v>
      </c>
      <c r="F31" s="35" t="s">
        <v>129</v>
      </c>
      <c r="G31" s="36" t="s">
        <v>43</v>
      </c>
      <c r="H31" s="35" t="s">
        <v>1960</v>
      </c>
      <c r="I31" s="37" t="s">
        <v>1907</v>
      </c>
      <c r="J31" s="37" t="s">
        <v>1907</v>
      </c>
      <c r="K31" s="35" t="s">
        <v>1961</v>
      </c>
      <c r="L31" s="46" t="s">
        <v>1961</v>
      </c>
      <c r="M31" s="46" t="s">
        <v>1869</v>
      </c>
      <c r="N31" s="46" t="s">
        <v>60</v>
      </c>
      <c r="O31" s="46"/>
      <c r="P31" s="46" t="s">
        <v>1907</v>
      </c>
      <c r="Q31" s="46" t="s">
        <v>2090</v>
      </c>
      <c r="R31" s="46">
        <v>9354183359</v>
      </c>
      <c r="S31" s="47">
        <v>46130</v>
      </c>
      <c r="T31" s="46" t="s">
        <v>1990</v>
      </c>
      <c r="U31" s="48" t="s">
        <v>129</v>
      </c>
      <c r="V31" s="48" t="s">
        <v>129</v>
      </c>
      <c r="W31" s="46" t="s">
        <v>60</v>
      </c>
      <c r="X31" s="46" t="s">
        <v>2524</v>
      </c>
      <c r="Y31" s="46" t="s">
        <v>143</v>
      </c>
      <c r="Z31" s="74" t="s">
        <v>1960</v>
      </c>
      <c r="AA31" s="10"/>
    </row>
    <row r="32" spans="1:27" x14ac:dyDescent="0.25">
      <c r="A32" s="58">
        <v>37</v>
      </c>
      <c r="B32" s="33" t="s">
        <v>60</v>
      </c>
      <c r="C32" s="34">
        <v>348998</v>
      </c>
      <c r="D32" s="35" t="s">
        <v>40</v>
      </c>
      <c r="E32" s="35" t="s">
        <v>129</v>
      </c>
      <c r="F32" s="35" t="s">
        <v>129</v>
      </c>
      <c r="G32" s="36" t="s">
        <v>43</v>
      </c>
      <c r="H32" s="35" t="s">
        <v>71</v>
      </c>
      <c r="I32" s="37" t="s">
        <v>72</v>
      </c>
      <c r="J32" s="37" t="s">
        <v>72</v>
      </c>
      <c r="K32" s="35" t="s">
        <v>1885</v>
      </c>
      <c r="L32" s="46" t="s">
        <v>1885</v>
      </c>
      <c r="M32" s="46" t="s">
        <v>1869</v>
      </c>
      <c r="N32" s="46" t="s">
        <v>60</v>
      </c>
      <c r="O32" s="46"/>
      <c r="P32" s="46" t="s">
        <v>2270</v>
      </c>
      <c r="Q32" s="46" t="s">
        <v>2346</v>
      </c>
      <c r="R32" s="46">
        <v>9217935065</v>
      </c>
      <c r="S32" s="47">
        <v>46123</v>
      </c>
      <c r="T32" s="46" t="s">
        <v>1990</v>
      </c>
      <c r="U32" s="48" t="s">
        <v>129</v>
      </c>
      <c r="V32" s="48" t="s">
        <v>129</v>
      </c>
      <c r="W32" s="46" t="s">
        <v>2391</v>
      </c>
      <c r="X32" s="46" t="s">
        <v>2690</v>
      </c>
      <c r="Y32" s="46" t="s">
        <v>2392</v>
      </c>
      <c r="Z32" s="74" t="s">
        <v>71</v>
      </c>
      <c r="AA32" s="10"/>
    </row>
    <row r="33" spans="1:27" x14ac:dyDescent="0.25">
      <c r="A33" s="58">
        <v>39</v>
      </c>
      <c r="B33" s="33" t="s">
        <v>60</v>
      </c>
      <c r="C33" s="34">
        <v>350002</v>
      </c>
      <c r="D33" s="35" t="s">
        <v>40</v>
      </c>
      <c r="E33" s="35" t="s">
        <v>129</v>
      </c>
      <c r="F33" s="35" t="s">
        <v>129</v>
      </c>
      <c r="G33" s="36" t="s">
        <v>43</v>
      </c>
      <c r="H33" s="35" t="s">
        <v>1737</v>
      </c>
      <c r="I33" s="37" t="s">
        <v>1090</v>
      </c>
      <c r="J33" s="37" t="s">
        <v>1090</v>
      </c>
      <c r="K33" s="35" t="s">
        <v>1824</v>
      </c>
      <c r="L33" s="46" t="s">
        <v>1824</v>
      </c>
      <c r="M33" s="46" t="s">
        <v>1869</v>
      </c>
      <c r="N33" s="46" t="s">
        <v>60</v>
      </c>
      <c r="O33" s="46"/>
      <c r="P33" s="46" t="s">
        <v>2076</v>
      </c>
      <c r="Q33" s="46" t="s">
        <v>2346</v>
      </c>
      <c r="R33" s="46">
        <v>9217935065</v>
      </c>
      <c r="S33" s="47">
        <v>46133</v>
      </c>
      <c r="T33" s="46" t="s">
        <v>1990</v>
      </c>
      <c r="U33" s="48" t="s">
        <v>129</v>
      </c>
      <c r="V33" s="48" t="s">
        <v>129</v>
      </c>
      <c r="W33" s="46" t="s">
        <v>2393</v>
      </c>
      <c r="X33" s="46" t="s">
        <v>2394</v>
      </c>
      <c r="Y33" s="46" t="s">
        <v>60</v>
      </c>
      <c r="Z33" s="74" t="s">
        <v>1737</v>
      </c>
      <c r="AA33" s="10"/>
    </row>
    <row r="34" spans="1:27" x14ac:dyDescent="0.25">
      <c r="A34" s="58">
        <v>40</v>
      </c>
      <c r="B34" s="33" t="s">
        <v>60</v>
      </c>
      <c r="C34" s="34">
        <v>347002</v>
      </c>
      <c r="D34" s="35" t="s">
        <v>103</v>
      </c>
      <c r="E34" s="35" t="s">
        <v>237</v>
      </c>
      <c r="F34" s="35" t="s">
        <v>238</v>
      </c>
      <c r="G34" s="36" t="s">
        <v>43</v>
      </c>
      <c r="H34" s="35" t="s">
        <v>239</v>
      </c>
      <c r="I34" s="37" t="s">
        <v>240</v>
      </c>
      <c r="J34" s="37" t="s">
        <v>240</v>
      </c>
      <c r="K34" s="35" t="s">
        <v>1760</v>
      </c>
      <c r="L34" s="46" t="s">
        <v>1760</v>
      </c>
      <c r="M34" s="46" t="s">
        <v>1869</v>
      </c>
      <c r="N34" s="46" t="s">
        <v>60</v>
      </c>
      <c r="O34" s="46"/>
      <c r="P34" s="46" t="s">
        <v>2274</v>
      </c>
      <c r="Q34" s="46" t="s">
        <v>2091</v>
      </c>
      <c r="R34" s="46">
        <v>9354241930</v>
      </c>
      <c r="S34" s="47">
        <v>46125</v>
      </c>
      <c r="T34" s="46" t="s">
        <v>1990</v>
      </c>
      <c r="U34" s="48" t="s">
        <v>238</v>
      </c>
      <c r="V34" s="48" t="s">
        <v>237</v>
      </c>
      <c r="W34" s="46" t="s">
        <v>60</v>
      </c>
      <c r="X34" s="46" t="s">
        <v>2525</v>
      </c>
      <c r="Y34" s="46" t="s">
        <v>322</v>
      </c>
      <c r="Z34" s="74" t="s">
        <v>239</v>
      </c>
      <c r="AA34" s="10"/>
    </row>
    <row r="35" spans="1:27" x14ac:dyDescent="0.25">
      <c r="A35" s="58">
        <v>41</v>
      </c>
      <c r="B35" s="33" t="s">
        <v>60</v>
      </c>
      <c r="C35" s="34">
        <v>351020</v>
      </c>
      <c r="D35" s="35" t="s">
        <v>103</v>
      </c>
      <c r="E35" s="35" t="s">
        <v>237</v>
      </c>
      <c r="F35" s="35" t="s">
        <v>238</v>
      </c>
      <c r="G35" s="36" t="s">
        <v>43</v>
      </c>
      <c r="H35" s="35" t="s">
        <v>1744</v>
      </c>
      <c r="I35" s="37" t="s">
        <v>1195</v>
      </c>
      <c r="J35" s="37" t="s">
        <v>1195</v>
      </c>
      <c r="K35" s="35" t="s">
        <v>1829</v>
      </c>
      <c r="L35" s="46" t="s">
        <v>1829</v>
      </c>
      <c r="M35" s="46" t="s">
        <v>1869</v>
      </c>
      <c r="N35" s="46" t="s">
        <v>60</v>
      </c>
      <c r="O35" s="46"/>
      <c r="P35" s="46" t="s">
        <v>2314</v>
      </c>
      <c r="Q35" s="46" t="s">
        <v>2091</v>
      </c>
      <c r="R35" s="46">
        <v>9354241930</v>
      </c>
      <c r="S35" s="47">
        <v>46125</v>
      </c>
      <c r="T35" s="46" t="s">
        <v>1990</v>
      </c>
      <c r="U35" s="48" t="s">
        <v>238</v>
      </c>
      <c r="V35" s="48" t="s">
        <v>237</v>
      </c>
      <c r="W35" s="46" t="s">
        <v>2395</v>
      </c>
      <c r="X35" s="46" t="s">
        <v>2396</v>
      </c>
      <c r="Y35" s="46" t="s">
        <v>95</v>
      </c>
      <c r="Z35" s="74" t="s">
        <v>1744</v>
      </c>
      <c r="AA35" s="10"/>
    </row>
    <row r="36" spans="1:27" x14ac:dyDescent="0.25">
      <c r="A36" s="58">
        <v>42</v>
      </c>
      <c r="B36" s="33" t="s">
        <v>60</v>
      </c>
      <c r="C36" s="34">
        <v>379994</v>
      </c>
      <c r="D36" s="35" t="s">
        <v>103</v>
      </c>
      <c r="E36" s="35" t="s">
        <v>237</v>
      </c>
      <c r="F36" s="35" t="s">
        <v>226</v>
      </c>
      <c r="G36" s="36" t="s">
        <v>43</v>
      </c>
      <c r="H36" s="35" t="s">
        <v>1236</v>
      </c>
      <c r="I36" s="37" t="s">
        <v>1237</v>
      </c>
      <c r="J36" s="37" t="s">
        <v>1237</v>
      </c>
      <c r="K36" s="35" t="s">
        <v>1238</v>
      </c>
      <c r="L36" s="46" t="s">
        <v>1238</v>
      </c>
      <c r="M36" s="46" t="s">
        <v>1869</v>
      </c>
      <c r="N36" s="46" t="s">
        <v>60</v>
      </c>
      <c r="O36" s="46"/>
      <c r="P36" s="46" t="s">
        <v>2317</v>
      </c>
      <c r="Q36" s="46" t="s">
        <v>2091</v>
      </c>
      <c r="R36" s="46">
        <v>9354241930</v>
      </c>
      <c r="S36" s="47">
        <v>46127</v>
      </c>
      <c r="T36" s="46" t="s">
        <v>1990</v>
      </c>
      <c r="U36" s="48" t="s">
        <v>1235</v>
      </c>
      <c r="V36" s="48" t="s">
        <v>237</v>
      </c>
      <c r="W36" s="46" t="s">
        <v>2397</v>
      </c>
      <c r="X36" s="46" t="s">
        <v>2398</v>
      </c>
      <c r="Y36" s="46" t="s">
        <v>2680</v>
      </c>
      <c r="Z36" s="74" t="s">
        <v>1236</v>
      </c>
      <c r="AA36" s="10"/>
    </row>
    <row r="37" spans="1:27" x14ac:dyDescent="0.25">
      <c r="A37" s="58">
        <v>43</v>
      </c>
      <c r="B37" s="33" t="s">
        <v>641</v>
      </c>
      <c r="C37" s="34">
        <v>26212</v>
      </c>
      <c r="D37" s="35" t="s">
        <v>103</v>
      </c>
      <c r="E37" s="35" t="s">
        <v>237</v>
      </c>
      <c r="F37" s="35" t="s">
        <v>226</v>
      </c>
      <c r="G37" s="36" t="s">
        <v>43</v>
      </c>
      <c r="H37" s="35" t="s">
        <v>1942</v>
      </c>
      <c r="I37" s="37" t="s">
        <v>643</v>
      </c>
      <c r="J37" s="37" t="s">
        <v>644</v>
      </c>
      <c r="K37" s="35" t="s">
        <v>1973</v>
      </c>
      <c r="L37" s="46" t="s">
        <v>1973</v>
      </c>
      <c r="M37" s="46" t="s">
        <v>1869</v>
      </c>
      <c r="N37" s="46" t="s">
        <v>60</v>
      </c>
      <c r="O37" s="46"/>
      <c r="P37" s="46" t="s">
        <v>2285</v>
      </c>
      <c r="Q37" s="46" t="s">
        <v>2094</v>
      </c>
      <c r="R37" s="46">
        <v>8287823681</v>
      </c>
      <c r="S37" s="47">
        <v>46134</v>
      </c>
      <c r="T37" s="46" t="s">
        <v>1990</v>
      </c>
      <c r="U37" s="48" t="s">
        <v>226</v>
      </c>
      <c r="V37" s="48" t="s">
        <v>237</v>
      </c>
      <c r="W37" s="46" t="s">
        <v>2385</v>
      </c>
      <c r="X37" s="46" t="s">
        <v>2711</v>
      </c>
      <c r="Y37" s="46" t="s">
        <v>2503</v>
      </c>
      <c r="Z37" s="74" t="s">
        <v>1942</v>
      </c>
      <c r="AA37" s="10"/>
    </row>
    <row r="38" spans="1:27" x14ac:dyDescent="0.25">
      <c r="A38" s="58">
        <v>45</v>
      </c>
      <c r="B38" s="33" t="s">
        <v>363</v>
      </c>
      <c r="C38" s="34">
        <v>26517</v>
      </c>
      <c r="D38" s="35" t="s">
        <v>40</v>
      </c>
      <c r="E38" s="35" t="s">
        <v>41</v>
      </c>
      <c r="F38" s="35" t="s">
        <v>992</v>
      </c>
      <c r="G38" s="36" t="s">
        <v>43</v>
      </c>
      <c r="H38" s="35" t="s">
        <v>1940</v>
      </c>
      <c r="I38" s="37" t="s">
        <v>365</v>
      </c>
      <c r="J38" s="37" t="s">
        <v>366</v>
      </c>
      <c r="K38" s="35" t="s">
        <v>1970</v>
      </c>
      <c r="L38" s="46" t="s">
        <v>1970</v>
      </c>
      <c r="M38" s="46" t="s">
        <v>1869</v>
      </c>
      <c r="N38" s="46" t="s">
        <v>60</v>
      </c>
      <c r="O38" s="46"/>
      <c r="P38" s="46" t="s">
        <v>2016</v>
      </c>
      <c r="Q38" s="46" t="s">
        <v>2095</v>
      </c>
      <c r="R38" s="46">
        <v>9582917652</v>
      </c>
      <c r="S38" s="47">
        <v>46125</v>
      </c>
      <c r="T38" s="46" t="s">
        <v>1990</v>
      </c>
      <c r="U38" s="48" t="s">
        <v>992</v>
      </c>
      <c r="V38" s="48" t="s">
        <v>41</v>
      </c>
      <c r="W38" s="46" t="s">
        <v>2399</v>
      </c>
      <c r="X38" s="46" t="s">
        <v>2400</v>
      </c>
      <c r="Y38" s="46" t="s">
        <v>95</v>
      </c>
      <c r="Z38" s="74" t="s">
        <v>1940</v>
      </c>
      <c r="AA38" s="10"/>
    </row>
    <row r="39" spans="1:27" x14ac:dyDescent="0.25">
      <c r="A39" s="58">
        <v>47</v>
      </c>
      <c r="B39" s="33" t="s">
        <v>60</v>
      </c>
      <c r="C39" s="34">
        <v>352010</v>
      </c>
      <c r="D39" s="35" t="s">
        <v>40</v>
      </c>
      <c r="E39" s="35" t="s">
        <v>41</v>
      </c>
      <c r="F39" s="35" t="s">
        <v>992</v>
      </c>
      <c r="G39" s="36" t="s">
        <v>43</v>
      </c>
      <c r="H39" s="35" t="s">
        <v>1125</v>
      </c>
      <c r="I39" s="37" t="s">
        <v>1126</v>
      </c>
      <c r="J39" s="37" t="s">
        <v>1126</v>
      </c>
      <c r="K39" s="35" t="s">
        <v>1827</v>
      </c>
      <c r="L39" s="46" t="s">
        <v>1827</v>
      </c>
      <c r="M39" s="46" t="s">
        <v>1869</v>
      </c>
      <c r="N39" s="46" t="s">
        <v>60</v>
      </c>
      <c r="O39" s="46"/>
      <c r="P39" s="46" t="s">
        <v>2079</v>
      </c>
      <c r="Q39" s="46" t="s">
        <v>2095</v>
      </c>
      <c r="R39" s="46">
        <v>9582917652</v>
      </c>
      <c r="S39" s="47">
        <v>46125</v>
      </c>
      <c r="T39" s="46" t="s">
        <v>1990</v>
      </c>
      <c r="U39" s="48" t="s">
        <v>992</v>
      </c>
      <c r="V39" s="48" t="s">
        <v>41</v>
      </c>
      <c r="W39" s="46" t="s">
        <v>60</v>
      </c>
      <c r="X39" s="46" t="s">
        <v>2526</v>
      </c>
      <c r="Y39" s="46" t="s">
        <v>79</v>
      </c>
      <c r="Z39" s="74" t="s">
        <v>1125</v>
      </c>
      <c r="AA39" s="10"/>
    </row>
    <row r="40" spans="1:27" x14ac:dyDescent="0.25">
      <c r="A40" s="58">
        <v>48</v>
      </c>
      <c r="B40" s="33" t="s">
        <v>60</v>
      </c>
      <c r="C40" s="34">
        <v>190972</v>
      </c>
      <c r="D40" s="35" t="s">
        <v>40</v>
      </c>
      <c r="E40" s="35" t="s">
        <v>41</v>
      </c>
      <c r="F40" s="35" t="s">
        <v>42</v>
      </c>
      <c r="G40" s="36" t="s">
        <v>43</v>
      </c>
      <c r="H40" s="35" t="s">
        <v>1716</v>
      </c>
      <c r="I40" s="37" t="s">
        <v>1647</v>
      </c>
      <c r="J40" s="37" t="s">
        <v>1647</v>
      </c>
      <c r="K40" s="35" t="s">
        <v>1799</v>
      </c>
      <c r="L40" s="46" t="s">
        <v>1799</v>
      </c>
      <c r="M40" s="46" t="s">
        <v>1869</v>
      </c>
      <c r="N40" s="46" t="s">
        <v>60</v>
      </c>
      <c r="O40" s="46"/>
      <c r="P40" s="46" t="s">
        <v>2055</v>
      </c>
      <c r="Q40" s="46" t="s">
        <v>2090</v>
      </c>
      <c r="R40" s="46">
        <v>9354183359</v>
      </c>
      <c r="S40" s="47">
        <v>46132</v>
      </c>
      <c r="T40" s="46" t="s">
        <v>1990</v>
      </c>
      <c r="U40" s="48" t="s">
        <v>42</v>
      </c>
      <c r="V40" s="48" t="s">
        <v>41</v>
      </c>
      <c r="W40" s="46" t="s">
        <v>2401</v>
      </c>
      <c r="X40" s="46" t="s">
        <v>2712</v>
      </c>
      <c r="Y40" s="46" t="s">
        <v>579</v>
      </c>
      <c r="Z40" s="74" t="s">
        <v>1716</v>
      </c>
      <c r="AA40" s="10"/>
    </row>
    <row r="41" spans="1:27" x14ac:dyDescent="0.25">
      <c r="A41" s="58">
        <v>49</v>
      </c>
      <c r="B41" s="33" t="s">
        <v>516</v>
      </c>
      <c r="C41" s="34">
        <v>53931</v>
      </c>
      <c r="D41" s="35" t="s">
        <v>40</v>
      </c>
      <c r="E41" s="35" t="s">
        <v>41</v>
      </c>
      <c r="F41" s="35" t="s">
        <v>42</v>
      </c>
      <c r="G41" s="36" t="s">
        <v>43</v>
      </c>
      <c r="H41" s="35" t="s">
        <v>517</v>
      </c>
      <c r="I41" s="37" t="s">
        <v>1626</v>
      </c>
      <c r="J41" s="37" t="s">
        <v>1626</v>
      </c>
      <c r="K41" s="35" t="s">
        <v>1769</v>
      </c>
      <c r="L41" s="46" t="s">
        <v>2024</v>
      </c>
      <c r="M41" s="46" t="s">
        <v>1869</v>
      </c>
      <c r="N41" s="46" t="s">
        <v>60</v>
      </c>
      <c r="O41" s="46"/>
      <c r="P41" s="46" t="s">
        <v>2025</v>
      </c>
      <c r="Q41" s="46" t="s">
        <v>2093</v>
      </c>
      <c r="R41" s="46">
        <v>9990034588</v>
      </c>
      <c r="S41" s="47">
        <v>46123</v>
      </c>
      <c r="T41" s="46" t="s">
        <v>1990</v>
      </c>
      <c r="U41" s="48" t="s">
        <v>42</v>
      </c>
      <c r="V41" s="48" t="s">
        <v>41</v>
      </c>
      <c r="W41" s="46" t="s">
        <v>2402</v>
      </c>
      <c r="X41" s="46" t="s">
        <v>2403</v>
      </c>
      <c r="Y41" s="46" t="s">
        <v>2792</v>
      </c>
      <c r="Z41" s="74" t="s">
        <v>517</v>
      </c>
      <c r="AA41" s="10"/>
    </row>
    <row r="42" spans="1:27" x14ac:dyDescent="0.25">
      <c r="A42" s="58">
        <v>50</v>
      </c>
      <c r="B42" s="33" t="s">
        <v>80</v>
      </c>
      <c r="C42" s="34">
        <v>26423</v>
      </c>
      <c r="D42" s="35" t="s">
        <v>40</v>
      </c>
      <c r="E42" s="35" t="s">
        <v>41</v>
      </c>
      <c r="F42" s="35" t="s">
        <v>42</v>
      </c>
      <c r="G42" s="36" t="s">
        <v>43</v>
      </c>
      <c r="H42" s="35" t="s">
        <v>81</v>
      </c>
      <c r="I42" s="37" t="s">
        <v>82</v>
      </c>
      <c r="J42" s="37" t="s">
        <v>82</v>
      </c>
      <c r="K42" s="35" t="s">
        <v>83</v>
      </c>
      <c r="L42" s="46" t="s">
        <v>83</v>
      </c>
      <c r="M42" s="46" t="s">
        <v>1869</v>
      </c>
      <c r="N42" s="46" t="s">
        <v>60</v>
      </c>
      <c r="O42" s="46"/>
      <c r="P42" s="46" t="s">
        <v>1995</v>
      </c>
      <c r="Q42" s="46" t="s">
        <v>2093</v>
      </c>
      <c r="R42" s="46">
        <v>9990034588</v>
      </c>
      <c r="S42" s="47">
        <v>46136</v>
      </c>
      <c r="T42" s="46" t="s">
        <v>1990</v>
      </c>
      <c r="U42" s="48" t="s">
        <v>42</v>
      </c>
      <c r="V42" s="48" t="s">
        <v>41</v>
      </c>
      <c r="W42" s="46" t="s">
        <v>2755</v>
      </c>
      <c r="X42" s="46" t="s">
        <v>2756</v>
      </c>
      <c r="Y42" s="46" t="s">
        <v>2404</v>
      </c>
      <c r="Z42" s="74" t="s">
        <v>81</v>
      </c>
      <c r="AA42" s="10"/>
    </row>
    <row r="43" spans="1:27" x14ac:dyDescent="0.25">
      <c r="A43" s="58">
        <v>51</v>
      </c>
      <c r="B43" s="33" t="s">
        <v>60</v>
      </c>
      <c r="C43" s="34">
        <v>310989</v>
      </c>
      <c r="D43" s="35" t="s">
        <v>40</v>
      </c>
      <c r="E43" s="35" t="s">
        <v>41</v>
      </c>
      <c r="F43" s="35" t="s">
        <v>42</v>
      </c>
      <c r="G43" s="36" t="s">
        <v>43</v>
      </c>
      <c r="H43" s="35" t="s">
        <v>1729</v>
      </c>
      <c r="I43" s="37" t="s">
        <v>1663</v>
      </c>
      <c r="J43" s="37" t="s">
        <v>1663</v>
      </c>
      <c r="K43" s="35" t="s">
        <v>1814</v>
      </c>
      <c r="L43" s="46" t="s">
        <v>1814</v>
      </c>
      <c r="M43" s="46" t="s">
        <v>1869</v>
      </c>
      <c r="N43" s="46" t="s">
        <v>60</v>
      </c>
      <c r="O43" s="46"/>
      <c r="P43" s="46" t="s">
        <v>2302</v>
      </c>
      <c r="Q43" s="46" t="s">
        <v>2095</v>
      </c>
      <c r="R43" s="46">
        <v>9582917652</v>
      </c>
      <c r="S43" s="47">
        <v>46130</v>
      </c>
      <c r="T43" s="46" t="s">
        <v>1990</v>
      </c>
      <c r="U43" s="48" t="s">
        <v>42</v>
      </c>
      <c r="V43" s="48" t="s">
        <v>41</v>
      </c>
      <c r="W43" s="46" t="s">
        <v>2405</v>
      </c>
      <c r="X43" s="46" t="s">
        <v>2406</v>
      </c>
      <c r="Y43" s="46" t="s">
        <v>2392</v>
      </c>
      <c r="Z43" s="74" t="s">
        <v>1729</v>
      </c>
      <c r="AA43" s="10"/>
    </row>
    <row r="44" spans="1:27" x14ac:dyDescent="0.25">
      <c r="A44" s="58">
        <v>52</v>
      </c>
      <c r="B44" s="33" t="s">
        <v>39</v>
      </c>
      <c r="C44" s="34">
        <v>54010</v>
      </c>
      <c r="D44" s="35" t="s">
        <v>40</v>
      </c>
      <c r="E44" s="35" t="s">
        <v>41</v>
      </c>
      <c r="F44" s="35" t="s">
        <v>42</v>
      </c>
      <c r="G44" s="36" t="s">
        <v>43</v>
      </c>
      <c r="H44" s="35" t="s">
        <v>44</v>
      </c>
      <c r="I44" s="37" t="s">
        <v>45</v>
      </c>
      <c r="J44" s="37" t="s">
        <v>45</v>
      </c>
      <c r="K44" s="35" t="s">
        <v>46</v>
      </c>
      <c r="L44" s="46" t="s">
        <v>46</v>
      </c>
      <c r="M44" s="46" t="s">
        <v>1869</v>
      </c>
      <c r="N44" s="46" t="s">
        <v>60</v>
      </c>
      <c r="O44" s="46"/>
      <c r="P44" s="46" t="s">
        <v>1991</v>
      </c>
      <c r="Q44" s="46" t="s">
        <v>2090</v>
      </c>
      <c r="R44" s="46">
        <v>9354183359</v>
      </c>
      <c r="S44" s="47">
        <v>46132</v>
      </c>
      <c r="T44" s="46" t="s">
        <v>1990</v>
      </c>
      <c r="U44" s="48" t="s">
        <v>42</v>
      </c>
      <c r="V44" s="48" t="s">
        <v>41</v>
      </c>
      <c r="W44" s="46" t="s">
        <v>2407</v>
      </c>
      <c r="X44" s="46" t="s">
        <v>2408</v>
      </c>
      <c r="Y44" s="46" t="s">
        <v>2801</v>
      </c>
      <c r="Z44" s="74" t="s">
        <v>44</v>
      </c>
      <c r="AA44" s="10"/>
    </row>
    <row r="45" spans="1:27" x14ac:dyDescent="0.25">
      <c r="A45" s="58">
        <v>53</v>
      </c>
      <c r="B45" s="33" t="s">
        <v>60</v>
      </c>
      <c r="C45" s="34">
        <v>313005</v>
      </c>
      <c r="D45" s="35" t="s">
        <v>40</v>
      </c>
      <c r="E45" s="35" t="s">
        <v>41</v>
      </c>
      <c r="F45" s="35" t="s">
        <v>1609</v>
      </c>
      <c r="G45" s="36" t="s">
        <v>43</v>
      </c>
      <c r="H45" s="35" t="s">
        <v>1691</v>
      </c>
      <c r="I45" s="37" t="s">
        <v>1623</v>
      </c>
      <c r="J45" s="37" t="s">
        <v>1623</v>
      </c>
      <c r="K45" s="35" t="s">
        <v>1756</v>
      </c>
      <c r="L45" s="46" t="s">
        <v>2354</v>
      </c>
      <c r="M45" s="46" t="s">
        <v>1869</v>
      </c>
      <c r="N45" s="46" t="s">
        <v>60</v>
      </c>
      <c r="O45" s="46"/>
      <c r="P45" s="46" t="s">
        <v>1623</v>
      </c>
      <c r="Q45" s="46" t="s">
        <v>2093</v>
      </c>
      <c r="R45" s="46">
        <v>9990034588</v>
      </c>
      <c r="S45" s="47">
        <v>46135</v>
      </c>
      <c r="T45" s="46" t="s">
        <v>1990</v>
      </c>
      <c r="U45" s="48" t="s">
        <v>96</v>
      </c>
      <c r="V45" s="48" t="s">
        <v>41</v>
      </c>
      <c r="W45" s="46" t="s">
        <v>2409</v>
      </c>
      <c r="X45" s="46" t="s">
        <v>2410</v>
      </c>
      <c r="Y45" s="46" t="s">
        <v>95</v>
      </c>
      <c r="Z45" s="74" t="s">
        <v>1691</v>
      </c>
      <c r="AA45" s="10"/>
    </row>
    <row r="46" spans="1:27" x14ac:dyDescent="0.25">
      <c r="A46" s="58">
        <v>54</v>
      </c>
      <c r="B46" s="33" t="s">
        <v>630</v>
      </c>
      <c r="C46" s="34">
        <v>24712</v>
      </c>
      <c r="D46" s="35" t="s">
        <v>40</v>
      </c>
      <c r="E46" s="35" t="s">
        <v>41</v>
      </c>
      <c r="F46" s="35" t="s">
        <v>631</v>
      </c>
      <c r="G46" s="36" t="s">
        <v>43</v>
      </c>
      <c r="H46" s="35" t="s">
        <v>632</v>
      </c>
      <c r="I46" s="37" t="s">
        <v>633</v>
      </c>
      <c r="J46" s="37" t="s">
        <v>633</v>
      </c>
      <c r="K46" s="35" t="s">
        <v>1888</v>
      </c>
      <c r="L46" s="46" t="s">
        <v>1888</v>
      </c>
      <c r="M46" s="46" t="s">
        <v>1869</v>
      </c>
      <c r="N46" s="46" t="s">
        <v>60</v>
      </c>
      <c r="O46" s="46"/>
      <c r="P46" s="46" t="s">
        <v>2037</v>
      </c>
      <c r="Q46" s="46" t="s">
        <v>2093</v>
      </c>
      <c r="R46" s="46">
        <v>9990034588</v>
      </c>
      <c r="S46" s="47">
        <v>46126</v>
      </c>
      <c r="T46" s="46" t="s">
        <v>1990</v>
      </c>
      <c r="U46" s="48" t="s">
        <v>631</v>
      </c>
      <c r="V46" s="48" t="s">
        <v>41</v>
      </c>
      <c r="W46" s="46" t="s">
        <v>2411</v>
      </c>
      <c r="X46" s="46" t="s">
        <v>2412</v>
      </c>
      <c r="Y46" s="46" t="s">
        <v>2757</v>
      </c>
      <c r="Z46" s="74" t="s">
        <v>632</v>
      </c>
      <c r="AA46" s="10"/>
    </row>
    <row r="47" spans="1:27" x14ac:dyDescent="0.25">
      <c r="A47" s="58">
        <v>56</v>
      </c>
      <c r="B47" s="33" t="s">
        <v>363</v>
      </c>
      <c r="C47" s="34">
        <v>26517</v>
      </c>
      <c r="D47" s="35" t="s">
        <v>40</v>
      </c>
      <c r="E47" s="35" t="s">
        <v>41</v>
      </c>
      <c r="F47" s="35" t="s">
        <v>156</v>
      </c>
      <c r="G47" s="36" t="s">
        <v>43</v>
      </c>
      <c r="H47" s="35" t="s">
        <v>1939</v>
      </c>
      <c r="I47" s="37" t="s">
        <v>365</v>
      </c>
      <c r="J47" s="37" t="s">
        <v>366</v>
      </c>
      <c r="K47" s="35" t="s">
        <v>1969</v>
      </c>
      <c r="L47" s="46" t="s">
        <v>1969</v>
      </c>
      <c r="M47" s="46" t="s">
        <v>1869</v>
      </c>
      <c r="N47" s="46" t="s">
        <v>60</v>
      </c>
      <c r="O47" s="46"/>
      <c r="P47" s="46" t="s">
        <v>2015</v>
      </c>
      <c r="Q47" s="46" t="s">
        <v>2095</v>
      </c>
      <c r="R47" s="46">
        <v>9582917652</v>
      </c>
      <c r="S47" s="47">
        <v>46127</v>
      </c>
      <c r="T47" s="46" t="s">
        <v>1990</v>
      </c>
      <c r="U47" s="48" t="s">
        <v>156</v>
      </c>
      <c r="V47" s="48" t="s">
        <v>41</v>
      </c>
      <c r="W47" s="46" t="s">
        <v>2399</v>
      </c>
      <c r="X47" s="46" t="s">
        <v>2400</v>
      </c>
      <c r="Y47" s="46" t="s">
        <v>95</v>
      </c>
      <c r="Z47" s="74" t="s">
        <v>1939</v>
      </c>
      <c r="AA47" s="10"/>
    </row>
    <row r="48" spans="1:27" x14ac:dyDescent="0.25">
      <c r="A48" s="58">
        <v>58</v>
      </c>
      <c r="B48" s="33" t="s">
        <v>948</v>
      </c>
      <c r="C48" s="34">
        <v>67902</v>
      </c>
      <c r="D48" s="35" t="s">
        <v>40</v>
      </c>
      <c r="E48" s="35" t="s">
        <v>41</v>
      </c>
      <c r="F48" s="35" t="s">
        <v>156</v>
      </c>
      <c r="G48" s="36" t="s">
        <v>43</v>
      </c>
      <c r="H48" s="35" t="s">
        <v>1722</v>
      </c>
      <c r="I48" s="37" t="s">
        <v>1656</v>
      </c>
      <c r="J48" s="37" t="s">
        <v>1656</v>
      </c>
      <c r="K48" s="35" t="s">
        <v>1807</v>
      </c>
      <c r="L48" s="46" t="s">
        <v>1807</v>
      </c>
      <c r="M48" s="46" t="s">
        <v>1869</v>
      </c>
      <c r="N48" s="46" t="s">
        <v>60</v>
      </c>
      <c r="O48" s="46"/>
      <c r="P48" s="46" t="s">
        <v>1656</v>
      </c>
      <c r="Q48" s="46" t="s">
        <v>2095</v>
      </c>
      <c r="R48" s="46">
        <v>9582917652</v>
      </c>
      <c r="S48" s="47">
        <v>46129</v>
      </c>
      <c r="T48" s="46" t="s">
        <v>1990</v>
      </c>
      <c r="U48" s="48" t="s">
        <v>156</v>
      </c>
      <c r="V48" s="48" t="s">
        <v>41</v>
      </c>
      <c r="W48" s="46" t="s">
        <v>2415</v>
      </c>
      <c r="X48" s="46" t="s">
        <v>2583</v>
      </c>
      <c r="Y48" s="46" t="s">
        <v>954</v>
      </c>
      <c r="Z48" s="74" t="s">
        <v>1722</v>
      </c>
      <c r="AA48" s="10"/>
    </row>
    <row r="49" spans="1:27" x14ac:dyDescent="0.25">
      <c r="A49" s="58">
        <v>59</v>
      </c>
      <c r="B49" s="33" t="s">
        <v>155</v>
      </c>
      <c r="C49" s="34">
        <v>24918</v>
      </c>
      <c r="D49" s="35" t="s">
        <v>40</v>
      </c>
      <c r="E49" s="35" t="s">
        <v>41</v>
      </c>
      <c r="F49" s="35" t="s">
        <v>156</v>
      </c>
      <c r="G49" s="36" t="s">
        <v>43</v>
      </c>
      <c r="H49" s="35" t="s">
        <v>157</v>
      </c>
      <c r="I49" s="37" t="s">
        <v>158</v>
      </c>
      <c r="J49" s="37" t="s">
        <v>159</v>
      </c>
      <c r="K49" s="35" t="s">
        <v>1758</v>
      </c>
      <c r="L49" s="46" t="s">
        <v>1758</v>
      </c>
      <c r="M49" s="46" t="s">
        <v>1869</v>
      </c>
      <c r="N49" s="46" t="s">
        <v>60</v>
      </c>
      <c r="O49" s="46"/>
      <c r="P49" s="46" t="s">
        <v>2000</v>
      </c>
      <c r="Q49" s="46" t="s">
        <v>2095</v>
      </c>
      <c r="R49" s="46">
        <v>9582917652</v>
      </c>
      <c r="S49" s="47">
        <v>46127</v>
      </c>
      <c r="T49" s="46" t="s">
        <v>1990</v>
      </c>
      <c r="U49" s="48" t="s">
        <v>156</v>
      </c>
      <c r="V49" s="48" t="s">
        <v>41</v>
      </c>
      <c r="W49" s="46" t="s">
        <v>2758</v>
      </c>
      <c r="X49" s="46" t="s">
        <v>2759</v>
      </c>
      <c r="Y49" s="46" t="s">
        <v>2760</v>
      </c>
      <c r="Z49" s="74" t="s">
        <v>157</v>
      </c>
      <c r="AA49" s="10"/>
    </row>
    <row r="50" spans="1:27" x14ac:dyDescent="0.25">
      <c r="A50" s="58">
        <v>60</v>
      </c>
      <c r="B50" s="33" t="s">
        <v>60</v>
      </c>
      <c r="C50" s="34">
        <v>406000</v>
      </c>
      <c r="D50" s="35" t="s">
        <v>40</v>
      </c>
      <c r="E50" s="35" t="s">
        <v>41</v>
      </c>
      <c r="F50" s="35" t="s">
        <v>156</v>
      </c>
      <c r="G50" s="36" t="s">
        <v>43</v>
      </c>
      <c r="H50" s="35" t="s">
        <v>1219</v>
      </c>
      <c r="I50" s="37" t="s">
        <v>1220</v>
      </c>
      <c r="J50" s="37" t="s">
        <v>1220</v>
      </c>
      <c r="K50" s="35" t="s">
        <v>1834</v>
      </c>
      <c r="L50" s="46" t="s">
        <v>1834</v>
      </c>
      <c r="M50" s="46" t="s">
        <v>1869</v>
      </c>
      <c r="N50" s="46" t="s">
        <v>60</v>
      </c>
      <c r="O50" s="46"/>
      <c r="P50" s="46" t="s">
        <v>2316</v>
      </c>
      <c r="Q50" s="46" t="s">
        <v>2090</v>
      </c>
      <c r="R50" s="46">
        <v>9354183359</v>
      </c>
      <c r="S50" s="47">
        <v>46135</v>
      </c>
      <c r="T50" s="46" t="s">
        <v>1990</v>
      </c>
      <c r="U50" s="48" t="s">
        <v>156</v>
      </c>
      <c r="V50" s="48" t="s">
        <v>41</v>
      </c>
      <c r="W50" s="46" t="s">
        <v>2416</v>
      </c>
      <c r="X50" s="46" t="s">
        <v>2417</v>
      </c>
      <c r="Y50" s="46" t="s">
        <v>579</v>
      </c>
      <c r="Z50" s="74" t="s">
        <v>1219</v>
      </c>
      <c r="AA50" s="10"/>
    </row>
    <row r="51" spans="1:27" x14ac:dyDescent="0.25">
      <c r="A51" s="58">
        <v>61</v>
      </c>
      <c r="B51" s="33" t="s">
        <v>363</v>
      </c>
      <c r="C51" s="34">
        <v>26517</v>
      </c>
      <c r="D51" s="35" t="s">
        <v>40</v>
      </c>
      <c r="E51" s="35" t="s">
        <v>41</v>
      </c>
      <c r="F51" s="35" t="s">
        <v>1603</v>
      </c>
      <c r="G51" s="36" t="s">
        <v>43</v>
      </c>
      <c r="H51" s="35" t="s">
        <v>1938</v>
      </c>
      <c r="I51" s="37" t="s">
        <v>365</v>
      </c>
      <c r="J51" s="37" t="s">
        <v>366</v>
      </c>
      <c r="K51" s="35" t="s">
        <v>1968</v>
      </c>
      <c r="L51" s="46" t="s">
        <v>1968</v>
      </c>
      <c r="M51" s="46" t="s">
        <v>1869</v>
      </c>
      <c r="N51" s="46" t="s">
        <v>60</v>
      </c>
      <c r="O51" s="46"/>
      <c r="P51" s="46" t="s">
        <v>2014</v>
      </c>
      <c r="Q51" s="46" t="s">
        <v>2095</v>
      </c>
      <c r="R51" s="46">
        <v>9582917652</v>
      </c>
      <c r="S51" s="47">
        <v>46123</v>
      </c>
      <c r="T51" s="46" t="s">
        <v>1990</v>
      </c>
      <c r="U51" s="48" t="s">
        <v>1603</v>
      </c>
      <c r="V51" s="48" t="s">
        <v>41</v>
      </c>
      <c r="W51" s="46" t="s">
        <v>2399</v>
      </c>
      <c r="X51" s="46" t="s">
        <v>2400</v>
      </c>
      <c r="Y51" s="46" t="s">
        <v>95</v>
      </c>
      <c r="Z51" s="74" t="s">
        <v>1938</v>
      </c>
      <c r="AA51" s="10"/>
    </row>
    <row r="52" spans="1:27" x14ac:dyDescent="0.25">
      <c r="A52" s="58">
        <v>62</v>
      </c>
      <c r="B52" s="33" t="s">
        <v>60</v>
      </c>
      <c r="C52" s="34">
        <v>310988</v>
      </c>
      <c r="D52" s="35" t="s">
        <v>40</v>
      </c>
      <c r="E52" s="35" t="s">
        <v>199</v>
      </c>
      <c r="F52" s="35" t="s">
        <v>452</v>
      </c>
      <c r="G52" s="36" t="s">
        <v>43</v>
      </c>
      <c r="H52" s="35" t="s">
        <v>533</v>
      </c>
      <c r="I52" s="37" t="s">
        <v>1627</v>
      </c>
      <c r="J52" s="37" t="s">
        <v>1627</v>
      </c>
      <c r="K52" s="35" t="s">
        <v>1771</v>
      </c>
      <c r="L52" s="46" t="s">
        <v>1771</v>
      </c>
      <c r="M52" s="46" t="s">
        <v>1869</v>
      </c>
      <c r="N52" s="46" t="s">
        <v>60</v>
      </c>
      <c r="O52" s="46"/>
      <c r="P52" s="46" t="s">
        <v>2027</v>
      </c>
      <c r="Q52" s="46" t="s">
        <v>2096</v>
      </c>
      <c r="R52" s="46">
        <v>7688959606</v>
      </c>
      <c r="S52" s="47">
        <v>46123</v>
      </c>
      <c r="T52" s="46" t="s">
        <v>1990</v>
      </c>
      <c r="U52" s="48" t="s">
        <v>452</v>
      </c>
      <c r="V52" s="48" t="s">
        <v>199</v>
      </c>
      <c r="W52" s="46" t="s">
        <v>2418</v>
      </c>
      <c r="X52" s="46" t="s">
        <v>2419</v>
      </c>
      <c r="Y52" s="46" t="s">
        <v>538</v>
      </c>
      <c r="Z52" s="74" t="s">
        <v>533</v>
      </c>
      <c r="AA52" s="10"/>
    </row>
    <row r="53" spans="1:27" x14ac:dyDescent="0.25">
      <c r="A53" s="58">
        <v>64</v>
      </c>
      <c r="B53" s="33" t="s">
        <v>334</v>
      </c>
      <c r="C53" s="34">
        <v>51542</v>
      </c>
      <c r="D53" s="35" t="s">
        <v>40</v>
      </c>
      <c r="E53" s="35" t="s">
        <v>199</v>
      </c>
      <c r="F53" s="35" t="s">
        <v>200</v>
      </c>
      <c r="G53" s="36" t="s">
        <v>43</v>
      </c>
      <c r="H53" s="35" t="s">
        <v>335</v>
      </c>
      <c r="I53" s="37" t="s">
        <v>1689</v>
      </c>
      <c r="J53" s="37" t="s">
        <v>1624</v>
      </c>
      <c r="K53" s="35" t="s">
        <v>1762</v>
      </c>
      <c r="L53" s="46" t="s">
        <v>1762</v>
      </c>
      <c r="M53" s="46" t="s">
        <v>1869</v>
      </c>
      <c r="N53" s="46" t="s">
        <v>60</v>
      </c>
      <c r="O53" s="46"/>
      <c r="P53" s="46" t="s">
        <v>2012</v>
      </c>
      <c r="Q53" s="46" t="s">
        <v>2096</v>
      </c>
      <c r="R53" s="46">
        <v>7688959606</v>
      </c>
      <c r="S53" s="47">
        <v>46119</v>
      </c>
      <c r="T53" s="46" t="s">
        <v>1990</v>
      </c>
      <c r="U53" s="48" t="s">
        <v>200</v>
      </c>
      <c r="V53" s="48" t="s">
        <v>199</v>
      </c>
      <c r="W53" s="46" t="s">
        <v>2761</v>
      </c>
      <c r="X53" s="46" t="s">
        <v>2762</v>
      </c>
      <c r="Y53" s="46" t="s">
        <v>2763</v>
      </c>
      <c r="Z53" s="74" t="s">
        <v>335</v>
      </c>
      <c r="AA53" s="10"/>
    </row>
    <row r="54" spans="1:27" x14ac:dyDescent="0.25">
      <c r="A54" s="58">
        <v>65</v>
      </c>
      <c r="B54" s="33" t="s">
        <v>198</v>
      </c>
      <c r="C54" s="34">
        <v>25659</v>
      </c>
      <c r="D54" s="35" t="s">
        <v>40</v>
      </c>
      <c r="E54" s="35" t="s">
        <v>199</v>
      </c>
      <c r="F54" s="35" t="s">
        <v>200</v>
      </c>
      <c r="G54" s="36" t="s">
        <v>43</v>
      </c>
      <c r="H54" s="35" t="s">
        <v>201</v>
      </c>
      <c r="I54" s="37" t="s">
        <v>202</v>
      </c>
      <c r="J54" s="37" t="s">
        <v>202</v>
      </c>
      <c r="K54" s="35" t="s">
        <v>203</v>
      </c>
      <c r="L54" s="46" t="s">
        <v>203</v>
      </c>
      <c r="M54" s="46" t="s">
        <v>1869</v>
      </c>
      <c r="N54" s="46" t="s">
        <v>60</v>
      </c>
      <c r="O54" s="46"/>
      <c r="P54" s="46" t="s">
        <v>2272</v>
      </c>
      <c r="Q54" s="46" t="s">
        <v>2096</v>
      </c>
      <c r="R54" s="46">
        <v>7688959606</v>
      </c>
      <c r="S54" s="47">
        <v>46119</v>
      </c>
      <c r="T54" s="46" t="s">
        <v>1990</v>
      </c>
      <c r="U54" s="48" t="s">
        <v>200</v>
      </c>
      <c r="V54" s="48" t="s">
        <v>199</v>
      </c>
      <c r="W54" s="46" t="s">
        <v>2422</v>
      </c>
      <c r="X54" s="46" t="s">
        <v>2423</v>
      </c>
      <c r="Y54" s="46" t="s">
        <v>579</v>
      </c>
      <c r="Z54" s="74" t="s">
        <v>201</v>
      </c>
      <c r="AA54" s="10"/>
    </row>
    <row r="55" spans="1:27" x14ac:dyDescent="0.25">
      <c r="A55" s="58">
        <v>67</v>
      </c>
      <c r="B55" s="33" t="s">
        <v>60</v>
      </c>
      <c r="C55" s="34">
        <v>365999</v>
      </c>
      <c r="D55" s="35" t="s">
        <v>40</v>
      </c>
      <c r="E55" s="35" t="s">
        <v>199</v>
      </c>
      <c r="F55" s="35" t="s">
        <v>214</v>
      </c>
      <c r="G55" s="36" t="s">
        <v>43</v>
      </c>
      <c r="H55" s="35" t="s">
        <v>1751</v>
      </c>
      <c r="I55" s="37" t="s">
        <v>1684</v>
      </c>
      <c r="J55" s="37" t="s">
        <v>1684</v>
      </c>
      <c r="K55" s="35" t="s">
        <v>1881</v>
      </c>
      <c r="L55" s="46" t="s">
        <v>1881</v>
      </c>
      <c r="M55" s="46" t="s">
        <v>1869</v>
      </c>
      <c r="N55" s="46" t="s">
        <v>60</v>
      </c>
      <c r="O55" s="46"/>
      <c r="P55" s="46" t="s">
        <v>2086</v>
      </c>
      <c r="Q55" s="46" t="s">
        <v>2096</v>
      </c>
      <c r="R55" s="46">
        <v>7688959606</v>
      </c>
      <c r="S55" s="47">
        <v>46128</v>
      </c>
      <c r="T55" s="46" t="s">
        <v>1990</v>
      </c>
      <c r="U55" s="48" t="s">
        <v>214</v>
      </c>
      <c r="V55" s="48" t="s">
        <v>199</v>
      </c>
      <c r="W55" s="46" t="s">
        <v>2424</v>
      </c>
      <c r="X55" s="46" t="s">
        <v>2425</v>
      </c>
      <c r="Y55" s="46" t="s">
        <v>2679</v>
      </c>
      <c r="Z55" s="74" t="s">
        <v>1751</v>
      </c>
      <c r="AA55" s="10"/>
    </row>
    <row r="56" spans="1:27" x14ac:dyDescent="0.25">
      <c r="A56" s="58">
        <v>68</v>
      </c>
      <c r="B56" s="33" t="s">
        <v>60</v>
      </c>
      <c r="C56" s="34">
        <v>351050</v>
      </c>
      <c r="D56" s="35" t="s">
        <v>40</v>
      </c>
      <c r="E56" s="35" t="s">
        <v>199</v>
      </c>
      <c r="F56" s="35" t="s">
        <v>214</v>
      </c>
      <c r="G56" s="36" t="s">
        <v>43</v>
      </c>
      <c r="H56" s="35" t="s">
        <v>1742</v>
      </c>
      <c r="I56" s="37" t="s">
        <v>1153</v>
      </c>
      <c r="J56" s="37" t="s">
        <v>1153</v>
      </c>
      <c r="K56" s="35" t="s">
        <v>1154</v>
      </c>
      <c r="L56" s="46" t="s">
        <v>1154</v>
      </c>
      <c r="M56" s="46" t="s">
        <v>1869</v>
      </c>
      <c r="N56" s="46" t="s">
        <v>60</v>
      </c>
      <c r="O56" s="46"/>
      <c r="P56" s="46" t="s">
        <v>2310</v>
      </c>
      <c r="Q56" s="46" t="s">
        <v>2092</v>
      </c>
      <c r="R56" s="46">
        <v>7753851136</v>
      </c>
      <c r="S56" s="47">
        <v>46134</v>
      </c>
      <c r="T56" s="46" t="s">
        <v>1990</v>
      </c>
      <c r="U56" s="48" t="s">
        <v>214</v>
      </c>
      <c r="V56" s="48" t="s">
        <v>199</v>
      </c>
      <c r="W56" s="46" t="s">
        <v>60</v>
      </c>
      <c r="X56" s="46" t="s">
        <v>2527</v>
      </c>
      <c r="Y56" s="46" t="s">
        <v>1042</v>
      </c>
      <c r="Z56" s="74" t="s">
        <v>1742</v>
      </c>
      <c r="AA56" s="10"/>
    </row>
    <row r="57" spans="1:27" x14ac:dyDescent="0.25">
      <c r="A57" s="58">
        <v>69</v>
      </c>
      <c r="B57" s="33" t="s">
        <v>60</v>
      </c>
      <c r="C57" s="34">
        <v>354991</v>
      </c>
      <c r="D57" s="35" t="s">
        <v>40</v>
      </c>
      <c r="E57" s="35" t="s">
        <v>199</v>
      </c>
      <c r="F57" s="35" t="s">
        <v>214</v>
      </c>
      <c r="G57" s="36" t="s">
        <v>43</v>
      </c>
      <c r="H57" s="35" t="s">
        <v>1707</v>
      </c>
      <c r="I57" s="37" t="s">
        <v>753</v>
      </c>
      <c r="J57" s="37" t="s">
        <v>753</v>
      </c>
      <c r="K57" s="35" t="s">
        <v>754</v>
      </c>
      <c r="L57" s="46" t="s">
        <v>754</v>
      </c>
      <c r="M57" s="46" t="s">
        <v>1869</v>
      </c>
      <c r="N57" s="46" t="s">
        <v>60</v>
      </c>
      <c r="O57" s="46"/>
      <c r="P57" s="46" t="s">
        <v>2045</v>
      </c>
      <c r="Q57" s="46" t="s">
        <v>2096</v>
      </c>
      <c r="R57" s="46">
        <v>7688959606</v>
      </c>
      <c r="S57" s="47">
        <v>46125</v>
      </c>
      <c r="T57" s="46" t="s">
        <v>1990</v>
      </c>
      <c r="U57" s="48" t="s">
        <v>214</v>
      </c>
      <c r="V57" s="48" t="s">
        <v>199</v>
      </c>
      <c r="W57" s="46" t="s">
        <v>60</v>
      </c>
      <c r="X57" s="46" t="s">
        <v>2528</v>
      </c>
      <c r="Y57" s="46" t="s">
        <v>60</v>
      </c>
      <c r="Z57" s="74" t="s">
        <v>1707</v>
      </c>
      <c r="AA57" s="10"/>
    </row>
    <row r="58" spans="1:27" x14ac:dyDescent="0.25">
      <c r="A58" s="58">
        <v>70</v>
      </c>
      <c r="B58" s="33" t="s">
        <v>245</v>
      </c>
      <c r="C58" s="34">
        <v>25785</v>
      </c>
      <c r="D58" s="35" t="s">
        <v>40</v>
      </c>
      <c r="E58" s="35" t="s">
        <v>199</v>
      </c>
      <c r="F58" s="35" t="s">
        <v>214</v>
      </c>
      <c r="G58" s="36" t="s">
        <v>43</v>
      </c>
      <c r="H58" s="35" t="s">
        <v>246</v>
      </c>
      <c r="I58" s="37" t="s">
        <v>247</v>
      </c>
      <c r="J58" s="37" t="s">
        <v>247</v>
      </c>
      <c r="K58" s="35" t="s">
        <v>248</v>
      </c>
      <c r="L58" s="46" t="s">
        <v>248</v>
      </c>
      <c r="M58" s="46" t="s">
        <v>1869</v>
      </c>
      <c r="N58" s="46" t="s">
        <v>60</v>
      </c>
      <c r="O58" s="46"/>
      <c r="P58" s="46" t="s">
        <v>2003</v>
      </c>
      <c r="Q58" s="46" t="s">
        <v>2096</v>
      </c>
      <c r="R58" s="46">
        <v>7688959606</v>
      </c>
      <c r="S58" s="47">
        <v>46125</v>
      </c>
      <c r="T58" s="46" t="s">
        <v>1990</v>
      </c>
      <c r="U58" s="48" t="s">
        <v>214</v>
      </c>
      <c r="V58" s="48" t="s">
        <v>199</v>
      </c>
      <c r="W58" s="46" t="s">
        <v>2426</v>
      </c>
      <c r="X58" s="46" t="s">
        <v>2427</v>
      </c>
      <c r="Y58" s="46" t="s">
        <v>579</v>
      </c>
      <c r="Z58" s="74" t="s">
        <v>246</v>
      </c>
      <c r="AA58" s="10"/>
    </row>
    <row r="59" spans="1:27" x14ac:dyDescent="0.25">
      <c r="A59" s="58">
        <v>71</v>
      </c>
      <c r="B59" s="33" t="s">
        <v>60</v>
      </c>
      <c r="C59" s="34">
        <v>332002</v>
      </c>
      <c r="D59" s="35" t="s">
        <v>40</v>
      </c>
      <c r="E59" s="35" t="s">
        <v>199</v>
      </c>
      <c r="F59" s="35" t="s">
        <v>214</v>
      </c>
      <c r="G59" s="36" t="s">
        <v>43</v>
      </c>
      <c r="H59" s="35" t="s">
        <v>1957</v>
      </c>
      <c r="I59" s="37" t="s">
        <v>1674</v>
      </c>
      <c r="J59" s="37" t="s">
        <v>1674</v>
      </c>
      <c r="K59" s="35" t="s">
        <v>1867</v>
      </c>
      <c r="L59" s="46" t="s">
        <v>1867</v>
      </c>
      <c r="M59" s="46" t="s">
        <v>1869</v>
      </c>
      <c r="N59" s="46" t="s">
        <v>60</v>
      </c>
      <c r="O59" s="46"/>
      <c r="P59" s="46" t="s">
        <v>2072</v>
      </c>
      <c r="Q59" s="46" t="s">
        <v>2096</v>
      </c>
      <c r="R59" s="46">
        <v>7688959606</v>
      </c>
      <c r="S59" s="47">
        <v>46134</v>
      </c>
      <c r="T59" s="46" t="s">
        <v>1990</v>
      </c>
      <c r="U59" s="48" t="s">
        <v>214</v>
      </c>
      <c r="V59" s="48" t="s">
        <v>199</v>
      </c>
      <c r="W59" s="46" t="s">
        <v>2428</v>
      </c>
      <c r="X59" s="46" t="s">
        <v>2713</v>
      </c>
      <c r="Y59" s="46" t="s">
        <v>2764</v>
      </c>
      <c r="Z59" s="74" t="s">
        <v>1957</v>
      </c>
      <c r="AA59" s="10"/>
    </row>
    <row r="60" spans="1:27" x14ac:dyDescent="0.25">
      <c r="A60" s="58">
        <v>72</v>
      </c>
      <c r="B60" s="33" t="s">
        <v>523</v>
      </c>
      <c r="C60" s="34">
        <v>45813</v>
      </c>
      <c r="D60" s="35" t="s">
        <v>40</v>
      </c>
      <c r="E60" s="35" t="s">
        <v>199</v>
      </c>
      <c r="F60" s="35" t="s">
        <v>214</v>
      </c>
      <c r="G60" s="36" t="s">
        <v>43</v>
      </c>
      <c r="H60" s="35" t="s">
        <v>524</v>
      </c>
      <c r="I60" s="37" t="s">
        <v>525</v>
      </c>
      <c r="J60" s="37" t="s">
        <v>525</v>
      </c>
      <c r="K60" s="35" t="s">
        <v>1770</v>
      </c>
      <c r="L60" s="46" t="s">
        <v>1770</v>
      </c>
      <c r="M60" s="46" t="s">
        <v>1869</v>
      </c>
      <c r="N60" s="46" t="s">
        <v>60</v>
      </c>
      <c r="O60" s="46"/>
      <c r="P60" s="46" t="s">
        <v>2026</v>
      </c>
      <c r="Q60" s="46" t="s">
        <v>2092</v>
      </c>
      <c r="R60" s="46">
        <v>7753851136</v>
      </c>
      <c r="S60" s="47">
        <v>46133</v>
      </c>
      <c r="T60" s="46" t="s">
        <v>1990</v>
      </c>
      <c r="U60" s="48" t="s">
        <v>214</v>
      </c>
      <c r="V60" s="48" t="s">
        <v>199</v>
      </c>
      <c r="W60" s="46" t="s">
        <v>2765</v>
      </c>
      <c r="X60" s="46" t="s">
        <v>2766</v>
      </c>
      <c r="Y60" s="46" t="s">
        <v>2802</v>
      </c>
      <c r="Z60" s="74" t="s">
        <v>524</v>
      </c>
      <c r="AA60" s="10"/>
    </row>
    <row r="61" spans="1:27" x14ac:dyDescent="0.25">
      <c r="A61" s="58">
        <v>73</v>
      </c>
      <c r="B61" s="33" t="s">
        <v>60</v>
      </c>
      <c r="C61" s="34">
        <v>317996</v>
      </c>
      <c r="D61" s="35" t="s">
        <v>40</v>
      </c>
      <c r="E61" s="35" t="s">
        <v>199</v>
      </c>
      <c r="F61" s="35" t="s">
        <v>214</v>
      </c>
      <c r="G61" s="36" t="s">
        <v>43</v>
      </c>
      <c r="H61" s="35" t="s">
        <v>1034</v>
      </c>
      <c r="I61" s="37" t="s">
        <v>1670</v>
      </c>
      <c r="J61" s="37" t="s">
        <v>1670</v>
      </c>
      <c r="K61" s="35" t="s">
        <v>1818</v>
      </c>
      <c r="L61" s="46" t="s">
        <v>1818</v>
      </c>
      <c r="M61" s="46" t="s">
        <v>1869</v>
      </c>
      <c r="N61" s="46" t="s">
        <v>3414</v>
      </c>
      <c r="O61" s="46"/>
      <c r="P61" s="46" t="s">
        <v>2068</v>
      </c>
      <c r="Q61" s="46" t="s">
        <v>2096</v>
      </c>
      <c r="R61" s="46">
        <v>7688959606</v>
      </c>
      <c r="S61" s="47">
        <v>46128</v>
      </c>
      <c r="T61" s="46" t="s">
        <v>1990</v>
      </c>
      <c r="U61" s="48" t="s">
        <v>214</v>
      </c>
      <c r="V61" s="48" t="s">
        <v>199</v>
      </c>
      <c r="W61" s="46" t="s">
        <v>2767</v>
      </c>
      <c r="X61" s="46" t="s">
        <v>2768</v>
      </c>
      <c r="Y61" s="46" t="s">
        <v>2803</v>
      </c>
      <c r="Z61" s="74" t="s">
        <v>1034</v>
      </c>
      <c r="AA61" s="10"/>
    </row>
    <row r="62" spans="1:27" x14ac:dyDescent="0.25">
      <c r="A62" s="58">
        <v>74</v>
      </c>
      <c r="B62" s="33" t="s">
        <v>60</v>
      </c>
      <c r="C62" s="34">
        <v>350992</v>
      </c>
      <c r="D62" s="35" t="s">
        <v>40</v>
      </c>
      <c r="E62" s="35" t="s">
        <v>199</v>
      </c>
      <c r="F62" s="35" t="s">
        <v>837</v>
      </c>
      <c r="G62" s="36" t="s">
        <v>43</v>
      </c>
      <c r="H62" s="35" t="s">
        <v>1714</v>
      </c>
      <c r="I62" s="37" t="s">
        <v>869</v>
      </c>
      <c r="J62" s="37" t="s">
        <v>869</v>
      </c>
      <c r="K62" s="35" t="s">
        <v>1797</v>
      </c>
      <c r="L62" s="46" t="s">
        <v>1797</v>
      </c>
      <c r="M62" s="46" t="s">
        <v>1869</v>
      </c>
      <c r="N62" s="46" t="s">
        <v>3419</v>
      </c>
      <c r="O62" s="46"/>
      <c r="P62" s="46" t="s">
        <v>2294</v>
      </c>
      <c r="Q62" s="46" t="s">
        <v>2096</v>
      </c>
      <c r="R62" s="46">
        <v>7688959606</v>
      </c>
      <c r="S62" s="47">
        <v>46122</v>
      </c>
      <c r="T62" s="46" t="s">
        <v>1990</v>
      </c>
      <c r="U62" s="48" t="s">
        <v>837</v>
      </c>
      <c r="V62" s="48" t="s">
        <v>199</v>
      </c>
      <c r="W62" s="46" t="s">
        <v>2429</v>
      </c>
      <c r="X62" s="46" t="s">
        <v>2430</v>
      </c>
      <c r="Y62" s="46" t="s">
        <v>2729</v>
      </c>
      <c r="Z62" s="74" t="s">
        <v>1714</v>
      </c>
      <c r="AA62" s="10"/>
    </row>
    <row r="63" spans="1:27" x14ac:dyDescent="0.25">
      <c r="A63" s="58">
        <v>75</v>
      </c>
      <c r="B63" s="33" t="s">
        <v>903</v>
      </c>
      <c r="C63" s="34">
        <v>25660</v>
      </c>
      <c r="D63" s="35" t="s">
        <v>40</v>
      </c>
      <c r="E63" s="35" t="s">
        <v>199</v>
      </c>
      <c r="F63" s="35" t="s">
        <v>837</v>
      </c>
      <c r="G63" s="36" t="s">
        <v>43</v>
      </c>
      <c r="H63" s="35" t="s">
        <v>904</v>
      </c>
      <c r="I63" s="37" t="s">
        <v>905</v>
      </c>
      <c r="J63" s="37" t="s">
        <v>905</v>
      </c>
      <c r="K63" s="35" t="s">
        <v>906</v>
      </c>
      <c r="L63" s="46" t="s">
        <v>906</v>
      </c>
      <c r="M63" s="46" t="s">
        <v>1869</v>
      </c>
      <c r="N63" s="46" t="s">
        <v>60</v>
      </c>
      <c r="O63" s="46"/>
      <c r="P63" s="46" t="s">
        <v>2058</v>
      </c>
      <c r="Q63" s="46" t="s">
        <v>2096</v>
      </c>
      <c r="R63" s="46">
        <v>7688959606</v>
      </c>
      <c r="S63" s="47">
        <v>46122</v>
      </c>
      <c r="T63" s="46" t="s">
        <v>1990</v>
      </c>
      <c r="U63" s="48" t="s">
        <v>837</v>
      </c>
      <c r="V63" s="48" t="s">
        <v>199</v>
      </c>
      <c r="W63" s="46" t="s">
        <v>2431</v>
      </c>
      <c r="X63" s="46" t="s">
        <v>2432</v>
      </c>
      <c r="Y63" s="46" t="s">
        <v>954</v>
      </c>
      <c r="Z63" s="74" t="s">
        <v>904</v>
      </c>
      <c r="AA63" s="10"/>
    </row>
    <row r="64" spans="1:27" x14ac:dyDescent="0.25">
      <c r="A64" s="58">
        <v>76</v>
      </c>
      <c r="B64" s="33" t="s">
        <v>1100</v>
      </c>
      <c r="C64" s="34">
        <v>12475</v>
      </c>
      <c r="D64" s="35" t="s">
        <v>40</v>
      </c>
      <c r="E64" s="35" t="s">
        <v>199</v>
      </c>
      <c r="F64" s="35" t="s">
        <v>837</v>
      </c>
      <c r="G64" s="36" t="s">
        <v>43</v>
      </c>
      <c r="H64" s="35" t="s">
        <v>1101</v>
      </c>
      <c r="I64" s="37" t="s">
        <v>1102</v>
      </c>
      <c r="J64" s="37" t="s">
        <v>1103</v>
      </c>
      <c r="K64" s="35" t="s">
        <v>1104</v>
      </c>
      <c r="L64" s="46" t="s">
        <v>1104</v>
      </c>
      <c r="M64" s="46" t="s">
        <v>1869</v>
      </c>
      <c r="N64" s="46" t="s">
        <v>60</v>
      </c>
      <c r="O64" s="46"/>
      <c r="P64" s="46" t="s">
        <v>2078</v>
      </c>
      <c r="Q64" s="46" t="s">
        <v>2096</v>
      </c>
      <c r="R64" s="46">
        <v>7688959606</v>
      </c>
      <c r="S64" s="47">
        <v>46120</v>
      </c>
      <c r="T64" s="46" t="s">
        <v>1990</v>
      </c>
      <c r="U64" s="48" t="s">
        <v>837</v>
      </c>
      <c r="V64" s="48" t="s">
        <v>199</v>
      </c>
      <c r="W64" s="46" t="s">
        <v>2433</v>
      </c>
      <c r="X64" s="46" t="s">
        <v>2434</v>
      </c>
      <c r="Y64" s="46" t="s">
        <v>2730</v>
      </c>
      <c r="Z64" s="74" t="s">
        <v>1101</v>
      </c>
      <c r="AA64" s="10"/>
    </row>
    <row r="65" spans="1:27" x14ac:dyDescent="0.25">
      <c r="A65" s="58">
        <v>77</v>
      </c>
      <c r="B65" s="33" t="s">
        <v>1173</v>
      </c>
      <c r="C65" s="34">
        <v>26470</v>
      </c>
      <c r="D65" s="35" t="s">
        <v>40</v>
      </c>
      <c r="E65" s="35" t="s">
        <v>199</v>
      </c>
      <c r="F65" s="35" t="s">
        <v>837</v>
      </c>
      <c r="G65" s="36" t="s">
        <v>43</v>
      </c>
      <c r="H65" s="35" t="s">
        <v>1174</v>
      </c>
      <c r="I65" s="37" t="s">
        <v>1175</v>
      </c>
      <c r="J65" s="37" t="s">
        <v>1176</v>
      </c>
      <c r="K65" s="35" t="s">
        <v>1177</v>
      </c>
      <c r="L65" s="46" t="s">
        <v>1177</v>
      </c>
      <c r="M65" s="46" t="s">
        <v>1869</v>
      </c>
      <c r="N65" s="46" t="s">
        <v>60</v>
      </c>
      <c r="O65" s="46"/>
      <c r="P65" s="46" t="s">
        <v>2080</v>
      </c>
      <c r="Q65" s="46" t="s">
        <v>2096</v>
      </c>
      <c r="R65" s="46">
        <v>7688959606</v>
      </c>
      <c r="S65" s="47">
        <v>46120</v>
      </c>
      <c r="T65" s="46" t="s">
        <v>1990</v>
      </c>
      <c r="U65" s="48" t="s">
        <v>837</v>
      </c>
      <c r="V65" s="48" t="s">
        <v>199</v>
      </c>
      <c r="W65" s="46" t="s">
        <v>2435</v>
      </c>
      <c r="X65" s="46" t="s">
        <v>2436</v>
      </c>
      <c r="Y65" s="46" t="s">
        <v>2804</v>
      </c>
      <c r="Z65" s="74" t="s">
        <v>1174</v>
      </c>
      <c r="AA65" s="10"/>
    </row>
    <row r="66" spans="1:27" x14ac:dyDescent="0.25">
      <c r="A66" s="58">
        <v>78</v>
      </c>
      <c r="B66" s="33" t="s">
        <v>60</v>
      </c>
      <c r="C66" s="34">
        <v>318996</v>
      </c>
      <c r="D66" s="35" t="s">
        <v>40</v>
      </c>
      <c r="E66" s="35" t="s">
        <v>199</v>
      </c>
      <c r="F66" s="35" t="s">
        <v>1047</v>
      </c>
      <c r="G66" s="36" t="s">
        <v>43</v>
      </c>
      <c r="H66" s="35" t="s">
        <v>1048</v>
      </c>
      <c r="I66" s="37" t="s">
        <v>1048</v>
      </c>
      <c r="J66" s="37" t="s">
        <v>1048</v>
      </c>
      <c r="K66" s="35" t="s">
        <v>1820</v>
      </c>
      <c r="L66" s="46" t="s">
        <v>1820</v>
      </c>
      <c r="M66" s="46" t="s">
        <v>1869</v>
      </c>
      <c r="N66" s="46" t="s">
        <v>60</v>
      </c>
      <c r="O66" s="46"/>
      <c r="P66" s="46" t="s">
        <v>2070</v>
      </c>
      <c r="Q66" s="46" t="s">
        <v>2096</v>
      </c>
      <c r="R66" s="46">
        <v>7688959606</v>
      </c>
      <c r="S66" s="47">
        <v>46118</v>
      </c>
      <c r="T66" s="46" t="s">
        <v>1990</v>
      </c>
      <c r="U66" s="48" t="s">
        <v>1047</v>
      </c>
      <c r="V66" s="48" t="s">
        <v>199</v>
      </c>
      <c r="W66" s="46" t="s">
        <v>60</v>
      </c>
      <c r="X66" s="46" t="s">
        <v>2529</v>
      </c>
      <c r="Y66" s="46" t="s">
        <v>2530</v>
      </c>
      <c r="Z66" s="74" t="s">
        <v>1048</v>
      </c>
      <c r="AA66" s="10"/>
    </row>
    <row r="67" spans="1:27" x14ac:dyDescent="0.25">
      <c r="A67" s="58">
        <v>79</v>
      </c>
      <c r="B67" s="33" t="s">
        <v>1003</v>
      </c>
      <c r="C67" s="34">
        <v>45635</v>
      </c>
      <c r="D67" s="35" t="s">
        <v>40</v>
      </c>
      <c r="E67" s="35" t="s">
        <v>199</v>
      </c>
      <c r="F67" s="35" t="s">
        <v>540</v>
      </c>
      <c r="G67" s="36" t="s">
        <v>43</v>
      </c>
      <c r="H67" s="35" t="s">
        <v>1284</v>
      </c>
      <c r="I67" s="37" t="s">
        <v>1667</v>
      </c>
      <c r="J67" s="37" t="s">
        <v>1667</v>
      </c>
      <c r="K67" s="35" t="s">
        <v>1005</v>
      </c>
      <c r="L67" s="46" t="s">
        <v>1005</v>
      </c>
      <c r="M67" s="46" t="s">
        <v>1869</v>
      </c>
      <c r="N67" s="46" t="s">
        <v>60</v>
      </c>
      <c r="O67" s="46"/>
      <c r="P67" s="46" t="s">
        <v>1667</v>
      </c>
      <c r="Q67" s="46" t="s">
        <v>2092</v>
      </c>
      <c r="R67" s="46">
        <v>7753851136</v>
      </c>
      <c r="S67" s="47">
        <v>46135</v>
      </c>
      <c r="T67" s="46" t="s">
        <v>1990</v>
      </c>
      <c r="U67" s="48" t="s">
        <v>540</v>
      </c>
      <c r="V67" s="48" t="s">
        <v>199</v>
      </c>
      <c r="W67" s="46" t="s">
        <v>2769</v>
      </c>
      <c r="X67" s="46" t="s">
        <v>2770</v>
      </c>
      <c r="Y67" s="46" t="s">
        <v>2771</v>
      </c>
      <c r="Z67" s="74" t="s">
        <v>1284</v>
      </c>
      <c r="AA67" s="10"/>
    </row>
    <row r="68" spans="1:27" x14ac:dyDescent="0.25">
      <c r="A68" s="58">
        <v>80</v>
      </c>
      <c r="B68" s="33" t="s">
        <v>301</v>
      </c>
      <c r="C68" s="34">
        <v>26225</v>
      </c>
      <c r="D68" s="35" t="s">
        <v>40</v>
      </c>
      <c r="E68" s="35" t="s">
        <v>61</v>
      </c>
      <c r="F68" s="35" t="s">
        <v>593</v>
      </c>
      <c r="G68" s="36" t="s">
        <v>43</v>
      </c>
      <c r="H68" s="35" t="s">
        <v>1935</v>
      </c>
      <c r="I68" s="37" t="s">
        <v>303</v>
      </c>
      <c r="J68" s="37" t="s">
        <v>303</v>
      </c>
      <c r="K68" s="35" t="s">
        <v>1965</v>
      </c>
      <c r="L68" s="46" t="s">
        <v>1965</v>
      </c>
      <c r="M68" s="46" t="s">
        <v>1869</v>
      </c>
      <c r="N68" s="46" t="s">
        <v>60</v>
      </c>
      <c r="O68" s="46"/>
      <c r="P68" s="46" t="s">
        <v>2276</v>
      </c>
      <c r="Q68" s="46" t="s">
        <v>2092</v>
      </c>
      <c r="R68" s="46">
        <v>7753851136</v>
      </c>
      <c r="S68" s="47">
        <v>46127</v>
      </c>
      <c r="T68" s="46" t="s">
        <v>1990</v>
      </c>
      <c r="U68" s="48" t="s">
        <v>593</v>
      </c>
      <c r="V68" s="48" t="s">
        <v>61</v>
      </c>
      <c r="W68" s="46" t="s">
        <v>2772</v>
      </c>
      <c r="X68" s="46" t="s">
        <v>2773</v>
      </c>
      <c r="Y68" s="46" t="s">
        <v>2774</v>
      </c>
      <c r="Z68" s="74" t="s">
        <v>1935</v>
      </c>
      <c r="AA68" s="10"/>
    </row>
    <row r="69" spans="1:27" x14ac:dyDescent="0.25">
      <c r="A69" s="58">
        <v>81</v>
      </c>
      <c r="B69" s="33" t="s">
        <v>60</v>
      </c>
      <c r="C69" s="34">
        <v>282016</v>
      </c>
      <c r="D69" s="35" t="s">
        <v>40</v>
      </c>
      <c r="E69" s="35" t="s">
        <v>61</v>
      </c>
      <c r="F69" s="35" t="s">
        <v>889</v>
      </c>
      <c r="G69" s="36" t="s">
        <v>43</v>
      </c>
      <c r="H69" s="35" t="s">
        <v>1952</v>
      </c>
      <c r="I69" s="37" t="s">
        <v>1649</v>
      </c>
      <c r="J69" s="37" t="s">
        <v>1649</v>
      </c>
      <c r="K69" s="35" t="s">
        <v>1800</v>
      </c>
      <c r="L69" s="46" t="s">
        <v>1800</v>
      </c>
      <c r="M69" s="46" t="s">
        <v>1869</v>
      </c>
      <c r="N69" s="46" t="s">
        <v>60</v>
      </c>
      <c r="O69" s="46"/>
      <c r="P69" s="46" t="s">
        <v>2296</v>
      </c>
      <c r="Q69" s="46" t="s">
        <v>2092</v>
      </c>
      <c r="R69" s="46">
        <v>7753851136</v>
      </c>
      <c r="S69" s="47">
        <v>46122</v>
      </c>
      <c r="T69" s="46" t="s">
        <v>1990</v>
      </c>
      <c r="U69" s="48" t="s">
        <v>889</v>
      </c>
      <c r="V69" s="48" t="s">
        <v>61</v>
      </c>
      <c r="W69" s="46" t="s">
        <v>2367</v>
      </c>
      <c r="X69" s="46" t="s">
        <v>2368</v>
      </c>
      <c r="Y69" s="46" t="s">
        <v>2799</v>
      </c>
      <c r="Z69" s="74" t="s">
        <v>1952</v>
      </c>
      <c r="AA69" s="10"/>
    </row>
    <row r="70" spans="1:27" x14ac:dyDescent="0.25">
      <c r="A70" s="58">
        <v>82</v>
      </c>
      <c r="B70" s="33" t="s">
        <v>60</v>
      </c>
      <c r="C70" s="34">
        <v>347001</v>
      </c>
      <c r="D70" s="35" t="s">
        <v>40</v>
      </c>
      <c r="E70" s="35" t="s">
        <v>61</v>
      </c>
      <c r="F70" s="35" t="s">
        <v>1113</v>
      </c>
      <c r="G70" s="36" t="s">
        <v>43</v>
      </c>
      <c r="H70" s="35" t="s">
        <v>1677</v>
      </c>
      <c r="I70" s="37" t="s">
        <v>1677</v>
      </c>
      <c r="J70" s="37" t="s">
        <v>1677</v>
      </c>
      <c r="K70" s="35" t="s">
        <v>1826</v>
      </c>
      <c r="L70" s="46" t="s">
        <v>1826</v>
      </c>
      <c r="M70" s="46" t="s">
        <v>1869</v>
      </c>
      <c r="N70" s="46" t="s">
        <v>60</v>
      </c>
      <c r="O70" s="46"/>
      <c r="P70" s="46" t="s">
        <v>2306</v>
      </c>
      <c r="Q70" s="46" t="s">
        <v>2092</v>
      </c>
      <c r="R70" s="46">
        <v>7753851136</v>
      </c>
      <c r="S70" s="47">
        <v>46119</v>
      </c>
      <c r="T70" s="46" t="s">
        <v>1990</v>
      </c>
      <c r="U70" s="48" t="s">
        <v>1113</v>
      </c>
      <c r="V70" s="48" t="s">
        <v>61</v>
      </c>
      <c r="W70" s="46" t="s">
        <v>60</v>
      </c>
      <c r="X70" s="46" t="s">
        <v>2527</v>
      </c>
      <c r="Y70" s="46" t="s">
        <v>143</v>
      </c>
      <c r="Z70" s="74" t="s">
        <v>1677</v>
      </c>
      <c r="AA70" s="10"/>
    </row>
    <row r="71" spans="1:27" x14ac:dyDescent="0.25">
      <c r="A71" s="58">
        <v>83</v>
      </c>
      <c r="B71" s="33" t="s">
        <v>60</v>
      </c>
      <c r="C71" s="34">
        <v>377996</v>
      </c>
      <c r="D71" s="35" t="s">
        <v>40</v>
      </c>
      <c r="E71" s="35" t="s">
        <v>96</v>
      </c>
      <c r="F71" s="35" t="s">
        <v>1024</v>
      </c>
      <c r="G71" s="36" t="s">
        <v>43</v>
      </c>
      <c r="H71" s="35" t="s">
        <v>1204</v>
      </c>
      <c r="I71" s="37" t="s">
        <v>1680</v>
      </c>
      <c r="J71" s="37" t="s">
        <v>1680</v>
      </c>
      <c r="K71" s="35" t="s">
        <v>1831</v>
      </c>
      <c r="L71" s="46" t="s">
        <v>1831</v>
      </c>
      <c r="M71" s="46" t="s">
        <v>1869</v>
      </c>
      <c r="N71" s="46" t="s">
        <v>60</v>
      </c>
      <c r="O71" s="46"/>
      <c r="P71" s="46" t="s">
        <v>2315</v>
      </c>
      <c r="Q71" s="46" t="s">
        <v>2346</v>
      </c>
      <c r="R71" s="46">
        <v>9217935065</v>
      </c>
      <c r="S71" s="47">
        <v>46134</v>
      </c>
      <c r="T71" s="46" t="s">
        <v>1990</v>
      </c>
      <c r="U71" s="48" t="s">
        <v>96</v>
      </c>
      <c r="V71" s="48" t="s">
        <v>61</v>
      </c>
      <c r="W71" s="46" t="s">
        <v>60</v>
      </c>
      <c r="X71" s="46" t="s">
        <v>2531</v>
      </c>
      <c r="Y71" s="46" t="s">
        <v>143</v>
      </c>
      <c r="Z71" s="74" t="s">
        <v>1204</v>
      </c>
      <c r="AA71" s="10"/>
    </row>
    <row r="72" spans="1:27" x14ac:dyDescent="0.25">
      <c r="A72" s="58">
        <v>84</v>
      </c>
      <c r="B72" s="33" t="s">
        <v>301</v>
      </c>
      <c r="C72" s="34">
        <v>26225</v>
      </c>
      <c r="D72" s="35" t="s">
        <v>40</v>
      </c>
      <c r="E72" s="35" t="s">
        <v>61</v>
      </c>
      <c r="F72" s="35" t="s">
        <v>270</v>
      </c>
      <c r="G72" s="36" t="s">
        <v>43</v>
      </c>
      <c r="H72" s="35" t="s">
        <v>1933</v>
      </c>
      <c r="I72" s="37" t="s">
        <v>303</v>
      </c>
      <c r="J72" s="37" t="s">
        <v>303</v>
      </c>
      <c r="K72" s="35" t="s">
        <v>1854</v>
      </c>
      <c r="L72" s="46" t="s">
        <v>1854</v>
      </c>
      <c r="M72" s="46" t="s">
        <v>1869</v>
      </c>
      <c r="N72" s="46" t="s">
        <v>3416</v>
      </c>
      <c r="O72" s="46"/>
      <c r="P72" s="46" t="s">
        <v>2275</v>
      </c>
      <c r="Q72" s="46" t="s">
        <v>2092</v>
      </c>
      <c r="R72" s="46">
        <v>7753851136</v>
      </c>
      <c r="S72" s="47">
        <v>46123</v>
      </c>
      <c r="T72" s="46" t="s">
        <v>1990</v>
      </c>
      <c r="U72" s="48" t="s">
        <v>270</v>
      </c>
      <c r="V72" s="48" t="s">
        <v>61</v>
      </c>
      <c r="W72" s="46" t="s">
        <v>2772</v>
      </c>
      <c r="X72" s="46" t="s">
        <v>2773</v>
      </c>
      <c r="Y72" s="46" t="s">
        <v>2774</v>
      </c>
      <c r="Z72" s="74" t="s">
        <v>1933</v>
      </c>
      <c r="AA72" s="10"/>
    </row>
    <row r="73" spans="1:27" x14ac:dyDescent="0.25">
      <c r="A73" s="58">
        <v>85</v>
      </c>
      <c r="B73" s="33" t="s">
        <v>269</v>
      </c>
      <c r="C73" s="34">
        <v>12290</v>
      </c>
      <c r="D73" s="35" t="s">
        <v>40</v>
      </c>
      <c r="E73" s="35" t="s">
        <v>61</v>
      </c>
      <c r="F73" s="35" t="s">
        <v>270</v>
      </c>
      <c r="G73" s="36" t="s">
        <v>43</v>
      </c>
      <c r="H73" s="35" t="s">
        <v>271</v>
      </c>
      <c r="I73" s="37" t="s">
        <v>272</v>
      </c>
      <c r="J73" s="37" t="s">
        <v>272</v>
      </c>
      <c r="K73" s="35" t="s">
        <v>1761</v>
      </c>
      <c r="L73" s="46" t="s">
        <v>1761</v>
      </c>
      <c r="M73" s="46" t="s">
        <v>1869</v>
      </c>
      <c r="N73" s="46" t="s">
        <v>3419</v>
      </c>
      <c r="O73" s="46"/>
      <c r="P73" s="46" t="s">
        <v>2005</v>
      </c>
      <c r="Q73" s="46" t="s">
        <v>2092</v>
      </c>
      <c r="R73" s="46">
        <v>7753851136</v>
      </c>
      <c r="S73" s="47">
        <v>46123</v>
      </c>
      <c r="T73" s="46" t="s">
        <v>1990</v>
      </c>
      <c r="U73" s="48" t="s">
        <v>270</v>
      </c>
      <c r="V73" s="48" t="s">
        <v>61</v>
      </c>
      <c r="W73" s="46" t="s">
        <v>2437</v>
      </c>
      <c r="X73" s="46" t="s">
        <v>2438</v>
      </c>
      <c r="Y73" s="46" t="s">
        <v>143</v>
      </c>
      <c r="Z73" s="74" t="s">
        <v>271</v>
      </c>
      <c r="AA73" s="10"/>
    </row>
    <row r="74" spans="1:27" x14ac:dyDescent="0.25">
      <c r="A74" s="58">
        <v>86</v>
      </c>
      <c r="B74" s="33" t="s">
        <v>301</v>
      </c>
      <c r="C74" s="34">
        <v>26225</v>
      </c>
      <c r="D74" s="35" t="s">
        <v>40</v>
      </c>
      <c r="E74" s="35" t="s">
        <v>61</v>
      </c>
      <c r="F74" s="35" t="s">
        <v>62</v>
      </c>
      <c r="G74" s="36" t="s">
        <v>43</v>
      </c>
      <c r="H74" s="35" t="s">
        <v>1934</v>
      </c>
      <c r="I74" s="37" t="s">
        <v>303</v>
      </c>
      <c r="J74" s="37" t="s">
        <v>303</v>
      </c>
      <c r="K74" s="35" t="s">
        <v>1964</v>
      </c>
      <c r="L74" s="46" t="s">
        <v>1964</v>
      </c>
      <c r="M74" s="46" t="s">
        <v>1869</v>
      </c>
      <c r="N74" s="46" t="s">
        <v>3418</v>
      </c>
      <c r="O74" s="46"/>
      <c r="P74" s="46" t="s">
        <v>2009</v>
      </c>
      <c r="Q74" s="46" t="s">
        <v>1994</v>
      </c>
      <c r="R74" s="46">
        <v>9810670823</v>
      </c>
      <c r="S74" s="47">
        <v>46126</v>
      </c>
      <c r="T74" s="46" t="s">
        <v>1990</v>
      </c>
      <c r="U74" s="48" t="s">
        <v>62</v>
      </c>
      <c r="V74" s="48" t="s">
        <v>61</v>
      </c>
      <c r="W74" s="46" t="s">
        <v>2772</v>
      </c>
      <c r="X74" s="46" t="s">
        <v>2773</v>
      </c>
      <c r="Y74" s="46" t="s">
        <v>2774</v>
      </c>
      <c r="Z74" s="74" t="s">
        <v>1934</v>
      </c>
      <c r="AA74" s="10"/>
    </row>
    <row r="75" spans="1:27" x14ac:dyDescent="0.25">
      <c r="A75" s="58">
        <v>87</v>
      </c>
      <c r="B75" s="33" t="s">
        <v>676</v>
      </c>
      <c r="C75" s="34">
        <v>53909</v>
      </c>
      <c r="D75" s="35" t="s">
        <v>40</v>
      </c>
      <c r="E75" s="35" t="s">
        <v>61</v>
      </c>
      <c r="F75" s="35" t="s">
        <v>62</v>
      </c>
      <c r="G75" s="36" t="s">
        <v>43</v>
      </c>
      <c r="H75" s="35" t="s">
        <v>1701</v>
      </c>
      <c r="I75" s="37" t="s">
        <v>1631</v>
      </c>
      <c r="J75" s="37" t="s">
        <v>1631</v>
      </c>
      <c r="K75" s="35" t="s">
        <v>1780</v>
      </c>
      <c r="L75" s="46" t="s">
        <v>1780</v>
      </c>
      <c r="M75" s="46" t="s">
        <v>1869</v>
      </c>
      <c r="N75" s="46" t="s">
        <v>3415</v>
      </c>
      <c r="O75" s="46"/>
      <c r="P75" s="46" t="s">
        <v>2039</v>
      </c>
      <c r="Q75" s="46" t="s">
        <v>1994</v>
      </c>
      <c r="R75" s="46">
        <v>9810670823</v>
      </c>
      <c r="S75" s="47">
        <v>46127</v>
      </c>
      <c r="T75" s="46" t="s">
        <v>1990</v>
      </c>
      <c r="U75" s="48" t="s">
        <v>62</v>
      </c>
      <c r="V75" s="48" t="s">
        <v>61</v>
      </c>
      <c r="W75" s="46" t="s">
        <v>2439</v>
      </c>
      <c r="X75" s="46" t="s">
        <v>2440</v>
      </c>
      <c r="Y75" s="46" t="s">
        <v>143</v>
      </c>
      <c r="Z75" s="74" t="s">
        <v>1701</v>
      </c>
      <c r="AA75" s="10"/>
    </row>
    <row r="76" spans="1:27" x14ac:dyDescent="0.25">
      <c r="A76" s="58">
        <v>88</v>
      </c>
      <c r="B76" s="33" t="s">
        <v>692</v>
      </c>
      <c r="C76" s="34">
        <v>65900</v>
      </c>
      <c r="D76" s="35" t="s">
        <v>40</v>
      </c>
      <c r="E76" s="35" t="s">
        <v>61</v>
      </c>
      <c r="F76" s="35" t="s">
        <v>62</v>
      </c>
      <c r="G76" s="36" t="s">
        <v>43</v>
      </c>
      <c r="H76" s="35" t="s">
        <v>1703</v>
      </c>
      <c r="I76" s="37" t="s">
        <v>1632</v>
      </c>
      <c r="J76" s="37" t="s">
        <v>1632</v>
      </c>
      <c r="K76" s="35" t="s">
        <v>1781</v>
      </c>
      <c r="L76" s="46" t="s">
        <v>1781</v>
      </c>
      <c r="M76" s="46" t="s">
        <v>1869</v>
      </c>
      <c r="N76" s="46" t="s">
        <v>60</v>
      </c>
      <c r="O76" s="46"/>
      <c r="P76" s="46" t="s">
        <v>2040</v>
      </c>
      <c r="Q76" s="46" t="s">
        <v>1994</v>
      </c>
      <c r="R76" s="46">
        <v>9810670823</v>
      </c>
      <c r="S76" s="47">
        <v>46127</v>
      </c>
      <c r="T76" s="46" t="s">
        <v>1990</v>
      </c>
      <c r="U76" s="48" t="s">
        <v>62</v>
      </c>
      <c r="V76" s="48" t="s">
        <v>61</v>
      </c>
      <c r="W76" s="46" t="s">
        <v>2805</v>
      </c>
      <c r="X76" s="46" t="s">
        <v>2806</v>
      </c>
      <c r="Y76" s="46" t="s">
        <v>2364</v>
      </c>
      <c r="Z76" s="74" t="s">
        <v>1703</v>
      </c>
      <c r="AA76" s="10"/>
    </row>
    <row r="77" spans="1:27" x14ac:dyDescent="0.25">
      <c r="A77" s="58">
        <v>89</v>
      </c>
      <c r="B77" s="33" t="s">
        <v>60</v>
      </c>
      <c r="C77" s="34">
        <v>368002</v>
      </c>
      <c r="D77" s="35" t="s">
        <v>40</v>
      </c>
      <c r="E77" s="35" t="s">
        <v>61</v>
      </c>
      <c r="F77" s="35" t="s">
        <v>62</v>
      </c>
      <c r="G77" s="36" t="s">
        <v>43</v>
      </c>
      <c r="H77" s="35" t="s">
        <v>1747</v>
      </c>
      <c r="I77" s="37" t="s">
        <v>1682</v>
      </c>
      <c r="J77" s="37" t="s">
        <v>1682</v>
      </c>
      <c r="K77" s="35" t="s">
        <v>1833</v>
      </c>
      <c r="L77" s="46" t="s">
        <v>1833</v>
      </c>
      <c r="M77" s="46" t="s">
        <v>1869</v>
      </c>
      <c r="N77" s="46" t="s">
        <v>60</v>
      </c>
      <c r="O77" s="46"/>
      <c r="P77" s="46" t="s">
        <v>2083</v>
      </c>
      <c r="Q77" s="46" t="s">
        <v>1994</v>
      </c>
      <c r="R77" s="46">
        <v>9810670823</v>
      </c>
      <c r="S77" s="47">
        <v>46132</v>
      </c>
      <c r="T77" s="46" t="s">
        <v>1990</v>
      </c>
      <c r="U77" s="48" t="s">
        <v>62</v>
      </c>
      <c r="V77" s="48" t="s">
        <v>61</v>
      </c>
      <c r="W77" s="46" t="s">
        <v>60</v>
      </c>
      <c r="X77" s="46" t="s">
        <v>2532</v>
      </c>
      <c r="Y77" s="46" t="s">
        <v>2533</v>
      </c>
      <c r="Z77" s="74" t="s">
        <v>1747</v>
      </c>
      <c r="AA77" s="10"/>
    </row>
    <row r="78" spans="1:27" x14ac:dyDescent="0.25">
      <c r="A78" s="58">
        <v>90</v>
      </c>
      <c r="B78" s="33" t="s">
        <v>698</v>
      </c>
      <c r="C78" s="34">
        <v>12185</v>
      </c>
      <c r="D78" s="35" t="s">
        <v>40</v>
      </c>
      <c r="E78" s="35" t="s">
        <v>61</v>
      </c>
      <c r="F78" s="35" t="s">
        <v>62</v>
      </c>
      <c r="G78" s="36" t="s">
        <v>43</v>
      </c>
      <c r="H78" s="35" t="s">
        <v>699</v>
      </c>
      <c r="I78" s="37" t="s">
        <v>700</v>
      </c>
      <c r="J78" s="37" t="s">
        <v>701</v>
      </c>
      <c r="K78" s="35" t="s">
        <v>702</v>
      </c>
      <c r="L78" s="46" t="s">
        <v>702</v>
      </c>
      <c r="M78" s="46" t="s">
        <v>1869</v>
      </c>
      <c r="N78" s="46" t="s">
        <v>60</v>
      </c>
      <c r="O78" s="46"/>
      <c r="P78" s="46" t="s">
        <v>2041</v>
      </c>
      <c r="Q78" s="46" t="s">
        <v>1994</v>
      </c>
      <c r="R78" s="46">
        <v>9810670823</v>
      </c>
      <c r="S78" s="47">
        <v>46130</v>
      </c>
      <c r="T78" s="46" t="s">
        <v>1990</v>
      </c>
      <c r="U78" s="48" t="s">
        <v>62</v>
      </c>
      <c r="V78" s="48" t="s">
        <v>61</v>
      </c>
      <c r="W78" s="46" t="s">
        <v>2775</v>
      </c>
      <c r="X78" s="46" t="s">
        <v>2776</v>
      </c>
      <c r="Y78" s="46" t="s">
        <v>60</v>
      </c>
      <c r="Z78" s="74" t="s">
        <v>699</v>
      </c>
      <c r="AA78" s="10"/>
    </row>
    <row r="79" spans="1:27" x14ac:dyDescent="0.25">
      <c r="A79" s="58">
        <v>91</v>
      </c>
      <c r="B79" s="33" t="s">
        <v>60</v>
      </c>
      <c r="C79" s="34">
        <v>354992</v>
      </c>
      <c r="D79" s="35" t="s">
        <v>40</v>
      </c>
      <c r="E79" s="35" t="s">
        <v>61</v>
      </c>
      <c r="F79" s="35" t="s">
        <v>62</v>
      </c>
      <c r="G79" s="36" t="s">
        <v>43</v>
      </c>
      <c r="H79" s="35" t="s">
        <v>1745</v>
      </c>
      <c r="I79" s="37" t="s">
        <v>1200</v>
      </c>
      <c r="J79" s="37" t="s">
        <v>1200</v>
      </c>
      <c r="K79" s="35" t="s">
        <v>1830</v>
      </c>
      <c r="L79" s="46" t="s">
        <v>1830</v>
      </c>
      <c r="M79" s="46" t="s">
        <v>1869</v>
      </c>
      <c r="N79" s="46" t="s">
        <v>60</v>
      </c>
      <c r="O79" s="46"/>
      <c r="P79" s="46" t="s">
        <v>2081</v>
      </c>
      <c r="Q79" s="46" t="s">
        <v>1994</v>
      </c>
      <c r="R79" s="46">
        <v>9810670823</v>
      </c>
      <c r="S79" s="47">
        <v>46125</v>
      </c>
      <c r="T79" s="46" t="s">
        <v>1990</v>
      </c>
      <c r="U79" s="48" t="s">
        <v>62</v>
      </c>
      <c r="V79" s="48" t="s">
        <v>61</v>
      </c>
      <c r="W79" s="46" t="s">
        <v>2441</v>
      </c>
      <c r="X79" s="46" t="s">
        <v>2714</v>
      </c>
      <c r="Y79" s="46" t="s">
        <v>143</v>
      </c>
      <c r="Z79" s="74" t="s">
        <v>1745</v>
      </c>
      <c r="AA79" s="10"/>
    </row>
    <row r="80" spans="1:27" x14ac:dyDescent="0.25">
      <c r="A80" s="58">
        <v>92</v>
      </c>
      <c r="B80" s="33" t="s">
        <v>60</v>
      </c>
      <c r="C80" s="34">
        <v>332002</v>
      </c>
      <c r="D80" s="35" t="s">
        <v>40</v>
      </c>
      <c r="E80" s="35" t="s">
        <v>61</v>
      </c>
      <c r="F80" s="35" t="s">
        <v>1601</v>
      </c>
      <c r="G80" s="36" t="s">
        <v>43</v>
      </c>
      <c r="H80" s="35" t="s">
        <v>1956</v>
      </c>
      <c r="I80" s="37" t="s">
        <v>1674</v>
      </c>
      <c r="J80" s="37" t="s">
        <v>1674</v>
      </c>
      <c r="K80" s="35" t="s">
        <v>1822</v>
      </c>
      <c r="L80" s="46" t="s">
        <v>3700</v>
      </c>
      <c r="M80" s="46" t="s">
        <v>1869</v>
      </c>
      <c r="N80" s="46" t="s">
        <v>60</v>
      </c>
      <c r="O80" s="46"/>
      <c r="P80" s="46" t="s">
        <v>1674</v>
      </c>
      <c r="Q80" s="46" t="s">
        <v>2092</v>
      </c>
      <c r="R80" s="46">
        <v>7753851136</v>
      </c>
      <c r="S80" s="47">
        <v>46129</v>
      </c>
      <c r="T80" s="46" t="s">
        <v>1990</v>
      </c>
      <c r="U80" s="48" t="s">
        <v>1601</v>
      </c>
      <c r="V80" s="48" t="s">
        <v>61</v>
      </c>
      <c r="W80" s="46" t="s">
        <v>2428</v>
      </c>
      <c r="X80" s="46" t="s">
        <v>2713</v>
      </c>
      <c r="Y80" s="46" t="s">
        <v>2764</v>
      </c>
      <c r="Z80" s="74" t="s">
        <v>1956</v>
      </c>
      <c r="AA80" s="10"/>
    </row>
    <row r="81" spans="1:27" x14ac:dyDescent="0.25">
      <c r="A81" s="58">
        <v>93</v>
      </c>
      <c r="B81" s="33" t="s">
        <v>1846</v>
      </c>
      <c r="C81" s="34">
        <v>281992</v>
      </c>
      <c r="D81" s="35" t="s">
        <v>40</v>
      </c>
      <c r="E81" s="35" t="s">
        <v>61</v>
      </c>
      <c r="F81" s="35" t="s">
        <v>593</v>
      </c>
      <c r="G81" s="36" t="s">
        <v>43</v>
      </c>
      <c r="H81" s="35" t="s">
        <v>1712</v>
      </c>
      <c r="I81" s="37" t="s">
        <v>1644</v>
      </c>
      <c r="J81" s="37" t="s">
        <v>1644</v>
      </c>
      <c r="K81" s="35" t="s">
        <v>1795</v>
      </c>
      <c r="L81" s="46" t="s">
        <v>1795</v>
      </c>
      <c r="M81" s="46" t="s">
        <v>1869</v>
      </c>
      <c r="N81" s="46" t="s">
        <v>60</v>
      </c>
      <c r="O81" s="46"/>
      <c r="P81" s="46" t="s">
        <v>2052</v>
      </c>
      <c r="Q81" s="46" t="s">
        <v>2092</v>
      </c>
      <c r="R81" s="46">
        <v>7753851136</v>
      </c>
      <c r="S81" s="47">
        <v>46128</v>
      </c>
      <c r="T81" s="46" t="s">
        <v>1990</v>
      </c>
      <c r="U81" s="48" t="s">
        <v>856</v>
      </c>
      <c r="V81" s="48" t="s">
        <v>61</v>
      </c>
      <c r="W81" s="46" t="s">
        <v>2442</v>
      </c>
      <c r="X81" s="46" t="s">
        <v>2443</v>
      </c>
      <c r="Y81" s="46" t="s">
        <v>2364</v>
      </c>
      <c r="Z81" s="74" t="s">
        <v>1712</v>
      </c>
      <c r="AA81" s="10"/>
    </row>
    <row r="82" spans="1:27" x14ac:dyDescent="0.25">
      <c r="A82" s="58">
        <v>94</v>
      </c>
      <c r="B82" s="33" t="s">
        <v>413</v>
      </c>
      <c r="C82" s="34">
        <v>26568</v>
      </c>
      <c r="D82" s="35" t="s">
        <v>40</v>
      </c>
      <c r="E82" s="35" t="s">
        <v>968</v>
      </c>
      <c r="F82" s="35" t="s">
        <v>414</v>
      </c>
      <c r="G82" s="36" t="s">
        <v>43</v>
      </c>
      <c r="H82" s="35" t="s">
        <v>1695</v>
      </c>
      <c r="I82" s="37" t="s">
        <v>416</v>
      </c>
      <c r="J82" s="37" t="s">
        <v>417</v>
      </c>
      <c r="K82" s="35" t="s">
        <v>418</v>
      </c>
      <c r="L82" s="46" t="s">
        <v>418</v>
      </c>
      <c r="M82" s="46" t="s">
        <v>1869</v>
      </c>
      <c r="N82" s="46" t="s">
        <v>3419</v>
      </c>
      <c r="O82" s="46"/>
      <c r="P82" s="46" t="s">
        <v>2281</v>
      </c>
      <c r="Q82" s="46" t="s">
        <v>2091</v>
      </c>
      <c r="R82" s="46">
        <v>9354241930</v>
      </c>
      <c r="S82" s="47">
        <v>46137</v>
      </c>
      <c r="T82" s="46" t="s">
        <v>1990</v>
      </c>
      <c r="U82" s="48" t="s">
        <v>414</v>
      </c>
      <c r="V82" s="48" t="s">
        <v>61</v>
      </c>
      <c r="W82" s="46" t="s">
        <v>2444</v>
      </c>
      <c r="X82" s="46" t="s">
        <v>2445</v>
      </c>
      <c r="Y82" s="46" t="s">
        <v>427</v>
      </c>
      <c r="Z82" s="74" t="s">
        <v>1695</v>
      </c>
      <c r="AA82" s="10"/>
    </row>
    <row r="83" spans="1:27" x14ac:dyDescent="0.25">
      <c r="A83" s="58">
        <v>95</v>
      </c>
      <c r="B83" s="33" t="s">
        <v>60</v>
      </c>
      <c r="C83" s="34">
        <v>345011</v>
      </c>
      <c r="D83" s="35" t="s">
        <v>40</v>
      </c>
      <c r="E83" s="35" t="s">
        <v>61</v>
      </c>
      <c r="F83" s="35" t="s">
        <v>986</v>
      </c>
      <c r="G83" s="36" t="s">
        <v>43</v>
      </c>
      <c r="H83" s="35" t="s">
        <v>1067</v>
      </c>
      <c r="I83" s="37" t="s">
        <v>1675</v>
      </c>
      <c r="J83" s="37" t="s">
        <v>1675</v>
      </c>
      <c r="K83" s="35" t="s">
        <v>1978</v>
      </c>
      <c r="L83" s="46" t="s">
        <v>1978</v>
      </c>
      <c r="M83" s="46" t="s">
        <v>1869</v>
      </c>
      <c r="N83" s="46" t="s">
        <v>60</v>
      </c>
      <c r="O83" s="46"/>
      <c r="P83" s="46" t="s">
        <v>2073</v>
      </c>
      <c r="Q83" s="46" t="s">
        <v>2092</v>
      </c>
      <c r="R83" s="46">
        <v>7753851136</v>
      </c>
      <c r="S83" s="47">
        <v>46120</v>
      </c>
      <c r="T83" s="46" t="s">
        <v>1990</v>
      </c>
      <c r="U83" s="48" t="s">
        <v>986</v>
      </c>
      <c r="V83" s="48" t="s">
        <v>61</v>
      </c>
      <c r="W83" s="46" t="s">
        <v>60</v>
      </c>
      <c r="X83" s="46" t="s">
        <v>2534</v>
      </c>
      <c r="Y83" s="46" t="s">
        <v>2535</v>
      </c>
      <c r="Z83" s="74" t="s">
        <v>1067</v>
      </c>
      <c r="AA83" s="10"/>
    </row>
    <row r="84" spans="1:27" x14ac:dyDescent="0.25">
      <c r="A84" s="58">
        <v>96</v>
      </c>
      <c r="B84" s="33" t="s">
        <v>60</v>
      </c>
      <c r="C84" s="34">
        <v>323996</v>
      </c>
      <c r="D84" s="35" t="s">
        <v>40</v>
      </c>
      <c r="E84" s="35" t="s">
        <v>938</v>
      </c>
      <c r="F84" s="35" t="s">
        <v>385</v>
      </c>
      <c r="G84" s="36" t="s">
        <v>43</v>
      </c>
      <c r="H84" s="35" t="s">
        <v>1694</v>
      </c>
      <c r="I84" s="37" t="s">
        <v>1625</v>
      </c>
      <c r="J84" s="37" t="s">
        <v>1625</v>
      </c>
      <c r="K84" s="35" t="s">
        <v>1763</v>
      </c>
      <c r="L84" s="46" t="s">
        <v>1763</v>
      </c>
      <c r="M84" s="46" t="s">
        <v>1869</v>
      </c>
      <c r="N84" s="46" t="s">
        <v>60</v>
      </c>
      <c r="O84" s="46"/>
      <c r="P84" s="46" t="s">
        <v>2017</v>
      </c>
      <c r="Q84" s="46" t="s">
        <v>2097</v>
      </c>
      <c r="R84" s="46">
        <v>9149204613</v>
      </c>
      <c r="S84" s="47">
        <v>46133</v>
      </c>
      <c r="T84" s="46" t="s">
        <v>1990</v>
      </c>
      <c r="U84" s="48" t="s">
        <v>385</v>
      </c>
      <c r="V84" s="48" t="s">
        <v>938</v>
      </c>
      <c r="W84" s="46" t="s">
        <v>60</v>
      </c>
      <c r="X84" s="46" t="s">
        <v>2536</v>
      </c>
      <c r="Y84" s="46" t="s">
        <v>60</v>
      </c>
      <c r="Z84" s="74" t="s">
        <v>1694</v>
      </c>
      <c r="AA84" s="10"/>
    </row>
    <row r="85" spans="1:27" x14ac:dyDescent="0.25">
      <c r="A85" s="58">
        <v>97</v>
      </c>
      <c r="B85" s="33" t="s">
        <v>782</v>
      </c>
      <c r="C85" s="34">
        <v>54117</v>
      </c>
      <c r="D85" s="35" t="s">
        <v>40</v>
      </c>
      <c r="E85" s="35" t="s">
        <v>938</v>
      </c>
      <c r="F85" s="35" t="s">
        <v>385</v>
      </c>
      <c r="G85" s="36" t="s">
        <v>43</v>
      </c>
      <c r="H85" s="35" t="s">
        <v>783</v>
      </c>
      <c r="I85" s="37" t="s">
        <v>784</v>
      </c>
      <c r="J85" s="37" t="s">
        <v>784</v>
      </c>
      <c r="K85" s="35" t="s">
        <v>785</v>
      </c>
      <c r="L85" s="46" t="s">
        <v>785</v>
      </c>
      <c r="M85" s="46" t="s">
        <v>1869</v>
      </c>
      <c r="N85" s="46" t="s">
        <v>60</v>
      </c>
      <c r="O85" s="46"/>
      <c r="P85" s="46" t="s">
        <v>2047</v>
      </c>
      <c r="Q85" s="46" t="s">
        <v>2097</v>
      </c>
      <c r="R85" s="46">
        <v>9149204613</v>
      </c>
      <c r="S85" s="47">
        <v>46133</v>
      </c>
      <c r="T85" s="46" t="s">
        <v>1990</v>
      </c>
      <c r="U85" s="48" t="s">
        <v>385</v>
      </c>
      <c r="V85" s="48" t="s">
        <v>938</v>
      </c>
      <c r="W85" s="46" t="s">
        <v>2446</v>
      </c>
      <c r="X85" s="46" t="s">
        <v>2447</v>
      </c>
      <c r="Y85" s="46" t="s">
        <v>2777</v>
      </c>
      <c r="Z85" s="74" t="s">
        <v>783</v>
      </c>
      <c r="AA85" s="10"/>
    </row>
    <row r="86" spans="1:27" x14ac:dyDescent="0.25">
      <c r="A86" s="58">
        <v>98</v>
      </c>
      <c r="B86" s="33" t="s">
        <v>808</v>
      </c>
      <c r="C86" s="34">
        <v>54662</v>
      </c>
      <c r="D86" s="35" t="s">
        <v>40</v>
      </c>
      <c r="E86" s="35" t="s">
        <v>938</v>
      </c>
      <c r="F86" s="35" t="s">
        <v>385</v>
      </c>
      <c r="G86" s="36" t="s">
        <v>43</v>
      </c>
      <c r="H86" s="35" t="s">
        <v>809</v>
      </c>
      <c r="I86" s="37" t="s">
        <v>810</v>
      </c>
      <c r="J86" s="37" t="s">
        <v>810</v>
      </c>
      <c r="K86" s="35" t="s">
        <v>811</v>
      </c>
      <c r="L86" s="46" t="s">
        <v>811</v>
      </c>
      <c r="M86" s="46" t="s">
        <v>1869</v>
      </c>
      <c r="N86" s="46" t="s">
        <v>60</v>
      </c>
      <c r="O86" s="46"/>
      <c r="P86" s="46" t="s">
        <v>2049</v>
      </c>
      <c r="Q86" s="46" t="s">
        <v>2097</v>
      </c>
      <c r="R86" s="46">
        <v>9149204613</v>
      </c>
      <c r="S86" s="47">
        <v>46133</v>
      </c>
      <c r="T86" s="46" t="s">
        <v>1990</v>
      </c>
      <c r="U86" s="48" t="s">
        <v>385</v>
      </c>
      <c r="V86" s="48" t="s">
        <v>938</v>
      </c>
      <c r="W86" s="46" t="s">
        <v>2448</v>
      </c>
      <c r="X86" s="46" t="s">
        <v>2449</v>
      </c>
      <c r="Y86" s="46" t="s">
        <v>402</v>
      </c>
      <c r="Z86" s="74" t="s">
        <v>809</v>
      </c>
      <c r="AA86" s="10"/>
    </row>
    <row r="87" spans="1:27" x14ac:dyDescent="0.25">
      <c r="A87" s="58">
        <v>99</v>
      </c>
      <c r="B87" s="33" t="s">
        <v>653</v>
      </c>
      <c r="C87" s="34">
        <v>12552</v>
      </c>
      <c r="D87" s="35" t="s">
        <v>40</v>
      </c>
      <c r="E87" s="35" t="s">
        <v>61</v>
      </c>
      <c r="F87" s="35" t="s">
        <v>654</v>
      </c>
      <c r="G87" s="36" t="s">
        <v>43</v>
      </c>
      <c r="H87" s="35" t="s">
        <v>1700</v>
      </c>
      <c r="I87" s="37" t="s">
        <v>656</v>
      </c>
      <c r="J87" s="37" t="s">
        <v>657</v>
      </c>
      <c r="K87" s="35" t="s">
        <v>658</v>
      </c>
      <c r="L87" s="46" t="s">
        <v>658</v>
      </c>
      <c r="M87" s="46" t="s">
        <v>1869</v>
      </c>
      <c r="N87" s="46" t="s">
        <v>60</v>
      </c>
      <c r="O87" s="46"/>
      <c r="P87" s="46" t="s">
        <v>2038</v>
      </c>
      <c r="Q87" s="46" t="s">
        <v>2097</v>
      </c>
      <c r="R87" s="46">
        <v>9149204613</v>
      </c>
      <c r="S87" s="47">
        <v>46130</v>
      </c>
      <c r="T87" s="46" t="s">
        <v>1990</v>
      </c>
      <c r="U87" s="48" t="s">
        <v>654</v>
      </c>
      <c r="V87" s="48" t="s">
        <v>61</v>
      </c>
      <c r="W87" s="46" t="s">
        <v>2450</v>
      </c>
      <c r="X87" s="46" t="s">
        <v>2451</v>
      </c>
      <c r="Y87" s="46" t="s">
        <v>2778</v>
      </c>
      <c r="Z87" s="74" t="s">
        <v>1700</v>
      </c>
      <c r="AA87" s="10"/>
    </row>
    <row r="88" spans="1:27" x14ac:dyDescent="0.25">
      <c r="A88" s="58">
        <v>100</v>
      </c>
      <c r="B88" s="33" t="s">
        <v>1182</v>
      </c>
      <c r="C88" s="34">
        <v>26218</v>
      </c>
      <c r="D88" s="35" t="s">
        <v>103</v>
      </c>
      <c r="E88" s="35" t="s">
        <v>104</v>
      </c>
      <c r="F88" s="35" t="s">
        <v>1183</v>
      </c>
      <c r="G88" s="36" t="s">
        <v>43</v>
      </c>
      <c r="H88" s="35" t="s">
        <v>1184</v>
      </c>
      <c r="I88" s="37" t="s">
        <v>1185</v>
      </c>
      <c r="J88" s="37" t="s">
        <v>1185</v>
      </c>
      <c r="K88" s="35" t="s">
        <v>1186</v>
      </c>
      <c r="L88" s="46" t="s">
        <v>1186</v>
      </c>
      <c r="M88" s="46" t="s">
        <v>1869</v>
      </c>
      <c r="N88" s="46" t="s">
        <v>60</v>
      </c>
      <c r="O88" s="46"/>
      <c r="P88" s="46" t="s">
        <v>2313</v>
      </c>
      <c r="Q88" s="46" t="s">
        <v>2094</v>
      </c>
      <c r="R88" s="46">
        <v>8287823681</v>
      </c>
      <c r="S88" s="47">
        <v>46121</v>
      </c>
      <c r="T88" s="46" t="s">
        <v>1990</v>
      </c>
      <c r="U88" s="48" t="s">
        <v>1183</v>
      </c>
      <c r="V88" s="48" t="s">
        <v>104</v>
      </c>
      <c r="W88" s="46" t="s">
        <v>2452</v>
      </c>
      <c r="X88" s="46" t="s">
        <v>2453</v>
      </c>
      <c r="Y88" s="46" t="s">
        <v>2454</v>
      </c>
      <c r="Z88" s="74" t="s">
        <v>1184</v>
      </c>
      <c r="AA88" s="10"/>
    </row>
    <row r="89" spans="1:27" x14ac:dyDescent="0.25">
      <c r="A89" s="58">
        <v>101</v>
      </c>
      <c r="B89" s="33" t="s">
        <v>311</v>
      </c>
      <c r="C89" s="34">
        <v>25557</v>
      </c>
      <c r="D89" s="35" t="s">
        <v>103</v>
      </c>
      <c r="E89" s="35" t="s">
        <v>104</v>
      </c>
      <c r="F89" s="35" t="s">
        <v>105</v>
      </c>
      <c r="G89" s="36" t="s">
        <v>43</v>
      </c>
      <c r="H89" s="35" t="s">
        <v>1936</v>
      </c>
      <c r="I89" s="37" t="s">
        <v>313</v>
      </c>
      <c r="J89" s="37" t="s">
        <v>314</v>
      </c>
      <c r="K89" s="35" t="s">
        <v>1911</v>
      </c>
      <c r="L89" s="46" t="s">
        <v>1883</v>
      </c>
      <c r="M89" s="46" t="s">
        <v>1869</v>
      </c>
      <c r="N89" s="46" t="s">
        <v>60</v>
      </c>
      <c r="O89" s="46"/>
      <c r="P89" s="46" t="s">
        <v>2010</v>
      </c>
      <c r="Q89" s="46" t="s">
        <v>2091</v>
      </c>
      <c r="R89" s="46">
        <v>9354241930</v>
      </c>
      <c r="S89" s="47">
        <v>46121</v>
      </c>
      <c r="T89" s="46" t="s">
        <v>1990</v>
      </c>
      <c r="U89" s="48" t="s">
        <v>105</v>
      </c>
      <c r="V89" s="48" t="s">
        <v>104</v>
      </c>
      <c r="W89" s="46" t="s">
        <v>2738</v>
      </c>
      <c r="X89" s="46" t="s">
        <v>2739</v>
      </c>
      <c r="Y89" s="46" t="s">
        <v>2468</v>
      </c>
      <c r="Z89" s="74" t="s">
        <v>1936</v>
      </c>
      <c r="AA89" s="10"/>
    </row>
    <row r="90" spans="1:27" x14ac:dyDescent="0.25">
      <c r="A90" s="58">
        <v>102</v>
      </c>
      <c r="B90" s="33">
        <v>83886</v>
      </c>
      <c r="C90" s="34">
        <v>83886</v>
      </c>
      <c r="D90" s="35" t="s">
        <v>103</v>
      </c>
      <c r="E90" s="35" t="s">
        <v>104</v>
      </c>
      <c r="F90" s="35" t="s">
        <v>105</v>
      </c>
      <c r="G90" s="36" t="s">
        <v>43</v>
      </c>
      <c r="H90" s="35" t="s">
        <v>1639</v>
      </c>
      <c r="I90" s="37" t="s">
        <v>1639</v>
      </c>
      <c r="J90" s="37" t="s">
        <v>1639</v>
      </c>
      <c r="K90" s="35" t="s">
        <v>1789</v>
      </c>
      <c r="L90" s="46" t="s">
        <v>1789</v>
      </c>
      <c r="M90" s="46" t="s">
        <v>1869</v>
      </c>
      <c r="N90" s="46" t="s">
        <v>60</v>
      </c>
      <c r="O90" s="46"/>
      <c r="P90" s="46" t="s">
        <v>2291</v>
      </c>
      <c r="Q90" s="46" t="s">
        <v>2091</v>
      </c>
      <c r="R90" s="46">
        <v>9354241930</v>
      </c>
      <c r="S90" s="47">
        <v>46120</v>
      </c>
      <c r="T90" s="46" t="s">
        <v>1990</v>
      </c>
      <c r="U90" s="48" t="s">
        <v>105</v>
      </c>
      <c r="V90" s="48" t="s">
        <v>104</v>
      </c>
      <c r="W90" s="46" t="s">
        <v>2455</v>
      </c>
      <c r="X90" s="46" t="s">
        <v>2456</v>
      </c>
      <c r="Y90" s="46" t="s">
        <v>2807</v>
      </c>
      <c r="Z90" s="74" t="s">
        <v>1639</v>
      </c>
      <c r="AA90" s="10"/>
    </row>
    <row r="91" spans="1:27" x14ac:dyDescent="0.25">
      <c r="A91" s="58">
        <v>103</v>
      </c>
      <c r="B91" s="33" t="s">
        <v>259</v>
      </c>
      <c r="C91" s="34">
        <v>25877</v>
      </c>
      <c r="D91" s="35" t="s">
        <v>103</v>
      </c>
      <c r="E91" s="35" t="s">
        <v>104</v>
      </c>
      <c r="F91" s="35" t="s">
        <v>105</v>
      </c>
      <c r="G91" s="36" t="s">
        <v>43</v>
      </c>
      <c r="H91" s="35" t="s">
        <v>260</v>
      </c>
      <c r="I91" s="37" t="s">
        <v>261</v>
      </c>
      <c r="J91" s="37" t="s">
        <v>261</v>
      </c>
      <c r="K91" s="35" t="s">
        <v>262</v>
      </c>
      <c r="L91" s="46" t="s">
        <v>262</v>
      </c>
      <c r="M91" s="46" t="s">
        <v>1869</v>
      </c>
      <c r="N91" s="46" t="s">
        <v>60</v>
      </c>
      <c r="O91" s="46"/>
      <c r="P91" s="46" t="s">
        <v>2004</v>
      </c>
      <c r="Q91" s="46" t="s">
        <v>2091</v>
      </c>
      <c r="R91" s="46">
        <v>9354241930</v>
      </c>
      <c r="S91" s="47">
        <v>46119</v>
      </c>
      <c r="T91" s="46" t="s">
        <v>1990</v>
      </c>
      <c r="U91" s="48" t="s">
        <v>105</v>
      </c>
      <c r="V91" s="48" t="s">
        <v>104</v>
      </c>
      <c r="W91" s="46" t="s">
        <v>2457</v>
      </c>
      <c r="X91" s="46" t="s">
        <v>2458</v>
      </c>
      <c r="Y91" s="46" t="s">
        <v>579</v>
      </c>
      <c r="Z91" s="74" t="s">
        <v>260</v>
      </c>
      <c r="AA91" s="10"/>
    </row>
    <row r="92" spans="1:27" x14ac:dyDescent="0.25">
      <c r="A92" s="58">
        <v>105</v>
      </c>
      <c r="B92" s="33" t="s">
        <v>1843</v>
      </c>
      <c r="C92" s="34">
        <v>303020</v>
      </c>
      <c r="D92" s="35" t="s">
        <v>103</v>
      </c>
      <c r="E92" s="35" t="s">
        <v>104</v>
      </c>
      <c r="F92" s="35" t="s">
        <v>105</v>
      </c>
      <c r="G92" s="36" t="s">
        <v>43</v>
      </c>
      <c r="H92" s="35" t="s">
        <v>1697</v>
      </c>
      <c r="I92" s="37" t="s">
        <v>1628</v>
      </c>
      <c r="J92" s="37" t="s">
        <v>1628</v>
      </c>
      <c r="K92" s="35" t="s">
        <v>1775</v>
      </c>
      <c r="L92" s="46" t="s">
        <v>1879</v>
      </c>
      <c r="M92" s="46" t="s">
        <v>1869</v>
      </c>
      <c r="N92" s="46" t="s">
        <v>60</v>
      </c>
      <c r="O92" s="46"/>
      <c r="P92" s="46" t="s">
        <v>2283</v>
      </c>
      <c r="Q92" s="46" t="s">
        <v>2094</v>
      </c>
      <c r="R92" s="46">
        <v>8287823681</v>
      </c>
      <c r="S92" s="47">
        <v>46132</v>
      </c>
      <c r="T92" s="46" t="s">
        <v>1990</v>
      </c>
      <c r="U92" s="48" t="s">
        <v>105</v>
      </c>
      <c r="V92" s="48" t="s">
        <v>104</v>
      </c>
      <c r="W92" s="46" t="s">
        <v>2459</v>
      </c>
      <c r="X92" s="46" t="s">
        <v>2715</v>
      </c>
      <c r="Y92" s="46" t="s">
        <v>322</v>
      </c>
      <c r="Z92" s="74" t="s">
        <v>1697</v>
      </c>
      <c r="AA92" s="10"/>
    </row>
    <row r="93" spans="1:27" x14ac:dyDescent="0.25">
      <c r="A93" s="58">
        <v>106</v>
      </c>
      <c r="B93" s="33" t="s">
        <v>641</v>
      </c>
      <c r="C93" s="34">
        <v>26212</v>
      </c>
      <c r="D93" s="35" t="s">
        <v>103</v>
      </c>
      <c r="E93" s="35" t="s">
        <v>104</v>
      </c>
      <c r="F93" s="35" t="s">
        <v>105</v>
      </c>
      <c r="G93" s="36" t="s">
        <v>43</v>
      </c>
      <c r="H93" s="35" t="s">
        <v>1941</v>
      </c>
      <c r="I93" s="37" t="s">
        <v>643</v>
      </c>
      <c r="J93" s="37" t="s">
        <v>644</v>
      </c>
      <c r="K93" s="35" t="s">
        <v>1862</v>
      </c>
      <c r="L93" s="46" t="s">
        <v>1862</v>
      </c>
      <c r="M93" s="46" t="s">
        <v>1869</v>
      </c>
      <c r="N93" s="46" t="s">
        <v>3417</v>
      </c>
      <c r="O93" s="46"/>
      <c r="P93" s="46" t="s">
        <v>2284</v>
      </c>
      <c r="Q93" s="46" t="s">
        <v>2091</v>
      </c>
      <c r="R93" s="46">
        <v>9354241930</v>
      </c>
      <c r="S93" s="47">
        <v>46122</v>
      </c>
      <c r="T93" s="46" t="s">
        <v>1990</v>
      </c>
      <c r="U93" s="48" t="s">
        <v>105</v>
      </c>
      <c r="V93" s="48" t="s">
        <v>104</v>
      </c>
      <c r="W93" s="46" t="s">
        <v>2385</v>
      </c>
      <c r="X93" s="46" t="s">
        <v>2711</v>
      </c>
      <c r="Y93" s="46" t="s">
        <v>2503</v>
      </c>
      <c r="Z93" s="74" t="s">
        <v>1941</v>
      </c>
      <c r="AA93" s="10"/>
    </row>
    <row r="94" spans="1:27" x14ac:dyDescent="0.25">
      <c r="A94" s="58">
        <v>107</v>
      </c>
      <c r="B94" s="33" t="s">
        <v>1845</v>
      </c>
      <c r="C94" s="34">
        <v>168962</v>
      </c>
      <c r="D94" s="35" t="s">
        <v>103</v>
      </c>
      <c r="E94" s="35" t="s">
        <v>104</v>
      </c>
      <c r="F94" s="35" t="s">
        <v>105</v>
      </c>
      <c r="G94" s="36" t="s">
        <v>43</v>
      </c>
      <c r="H94" s="35" t="s">
        <v>1711</v>
      </c>
      <c r="I94" s="37" t="s">
        <v>1643</v>
      </c>
      <c r="J94" s="37" t="s">
        <v>1643</v>
      </c>
      <c r="K94" s="35" t="s">
        <v>1794</v>
      </c>
      <c r="L94" s="46" t="s">
        <v>1794</v>
      </c>
      <c r="M94" s="46" t="s">
        <v>1869</v>
      </c>
      <c r="N94" s="46" t="s">
        <v>60</v>
      </c>
      <c r="O94" s="46"/>
      <c r="P94" s="46" t="s">
        <v>2293</v>
      </c>
      <c r="Q94" s="46" t="s">
        <v>2091</v>
      </c>
      <c r="R94" s="46">
        <v>9354241930</v>
      </c>
      <c r="S94" s="47">
        <v>46120</v>
      </c>
      <c r="T94" s="46" t="s">
        <v>1990</v>
      </c>
      <c r="U94" s="48" t="s">
        <v>105</v>
      </c>
      <c r="V94" s="48" t="s">
        <v>104</v>
      </c>
      <c r="W94" s="46" t="s">
        <v>2460</v>
      </c>
      <c r="X94" s="46" t="s">
        <v>2461</v>
      </c>
      <c r="Y94" s="46" t="s">
        <v>2538</v>
      </c>
      <c r="Z94" s="74" t="s">
        <v>1711</v>
      </c>
      <c r="AA94" s="10"/>
    </row>
    <row r="95" spans="1:27" x14ac:dyDescent="0.25">
      <c r="A95" s="58">
        <v>108</v>
      </c>
      <c r="B95" s="33" t="s">
        <v>60</v>
      </c>
      <c r="C95" s="34">
        <v>374994</v>
      </c>
      <c r="D95" s="35" t="s">
        <v>103</v>
      </c>
      <c r="E95" s="35" t="s">
        <v>104</v>
      </c>
      <c r="F95" s="35" t="s">
        <v>105</v>
      </c>
      <c r="G95" s="36" t="s">
        <v>43</v>
      </c>
      <c r="H95" s="35" t="s">
        <v>1748</v>
      </c>
      <c r="I95" s="37" t="s">
        <v>1226</v>
      </c>
      <c r="J95" s="37" t="s">
        <v>1226</v>
      </c>
      <c r="K95" s="35" t="s">
        <v>1835</v>
      </c>
      <c r="L95" s="46" t="s">
        <v>1835</v>
      </c>
      <c r="M95" s="46" t="s">
        <v>1869</v>
      </c>
      <c r="N95" s="46" t="s">
        <v>60</v>
      </c>
      <c r="O95" s="46"/>
      <c r="P95" s="46" t="s">
        <v>2084</v>
      </c>
      <c r="Q95" s="46" t="s">
        <v>2091</v>
      </c>
      <c r="R95" s="46">
        <v>9354241930</v>
      </c>
      <c r="S95" s="47">
        <v>46124</v>
      </c>
      <c r="T95" s="46" t="s">
        <v>1990</v>
      </c>
      <c r="U95" s="48" t="s">
        <v>105</v>
      </c>
      <c r="V95" s="48" t="s">
        <v>104</v>
      </c>
      <c r="W95" s="46" t="s">
        <v>2462</v>
      </c>
      <c r="X95" s="46" t="s">
        <v>2463</v>
      </c>
      <c r="Y95" s="46" t="s">
        <v>579</v>
      </c>
      <c r="Z95" s="74" t="s">
        <v>1748</v>
      </c>
      <c r="AA95" s="10"/>
    </row>
    <row r="96" spans="1:27" x14ac:dyDescent="0.25">
      <c r="A96" s="58">
        <v>109</v>
      </c>
      <c r="B96" s="33" t="s">
        <v>102</v>
      </c>
      <c r="C96" s="34">
        <v>26452</v>
      </c>
      <c r="D96" s="35" t="s">
        <v>103</v>
      </c>
      <c r="E96" s="35" t="s">
        <v>104</v>
      </c>
      <c r="F96" s="35" t="s">
        <v>105</v>
      </c>
      <c r="G96" s="36" t="s">
        <v>43</v>
      </c>
      <c r="H96" s="35" t="s">
        <v>106</v>
      </c>
      <c r="I96" s="37" t="s">
        <v>107</v>
      </c>
      <c r="J96" s="37" t="s">
        <v>107</v>
      </c>
      <c r="K96" s="35" t="s">
        <v>1757</v>
      </c>
      <c r="L96" s="46" t="s">
        <v>1757</v>
      </c>
      <c r="M96" s="46" t="s">
        <v>1869</v>
      </c>
      <c r="N96" s="46" t="s">
        <v>60</v>
      </c>
      <c r="O96" s="46"/>
      <c r="P96" s="46" t="s">
        <v>1996</v>
      </c>
      <c r="Q96" s="46" t="s">
        <v>2094</v>
      </c>
      <c r="R96" s="46">
        <v>8287823681</v>
      </c>
      <c r="S96" s="47">
        <v>46123</v>
      </c>
      <c r="T96" s="46" t="s">
        <v>1990</v>
      </c>
      <c r="U96" s="48" t="s">
        <v>105</v>
      </c>
      <c r="V96" s="48" t="s">
        <v>104</v>
      </c>
      <c r="W96" s="46" t="s">
        <v>2464</v>
      </c>
      <c r="X96" s="46" t="s">
        <v>2465</v>
      </c>
      <c r="Y96" s="46" t="s">
        <v>2677</v>
      </c>
      <c r="Z96" s="74" t="s">
        <v>106</v>
      </c>
      <c r="AA96" s="10"/>
    </row>
    <row r="97" spans="1:27" x14ac:dyDescent="0.25">
      <c r="A97" s="58">
        <v>110</v>
      </c>
      <c r="B97" s="33" t="s">
        <v>792</v>
      </c>
      <c r="C97" s="34">
        <v>53595</v>
      </c>
      <c r="D97" s="35" t="s">
        <v>103</v>
      </c>
      <c r="E97" s="35" t="s">
        <v>104</v>
      </c>
      <c r="F97" s="35" t="s">
        <v>793</v>
      </c>
      <c r="G97" s="36" t="s">
        <v>43</v>
      </c>
      <c r="H97" s="35" t="s">
        <v>794</v>
      </c>
      <c r="I97" s="37" t="s">
        <v>1637</v>
      </c>
      <c r="J97" s="37" t="s">
        <v>1637</v>
      </c>
      <c r="K97" s="35" t="s">
        <v>1788</v>
      </c>
      <c r="L97" s="46" t="s">
        <v>1788</v>
      </c>
      <c r="M97" s="46" t="s">
        <v>1869</v>
      </c>
      <c r="N97" s="46" t="s">
        <v>60</v>
      </c>
      <c r="O97" s="46"/>
      <c r="P97" s="46" t="s">
        <v>2290</v>
      </c>
      <c r="Q97" s="46" t="s">
        <v>2094</v>
      </c>
      <c r="R97" s="46">
        <v>8287823681</v>
      </c>
      <c r="S97" s="47" t="s">
        <v>2048</v>
      </c>
      <c r="T97" s="46" t="s">
        <v>1990</v>
      </c>
      <c r="U97" s="48" t="s">
        <v>793</v>
      </c>
      <c r="V97" s="48" t="s">
        <v>104</v>
      </c>
      <c r="W97" s="46" t="s">
        <v>2466</v>
      </c>
      <c r="X97" s="46" t="s">
        <v>2467</v>
      </c>
      <c r="Y97" s="46" t="s">
        <v>2468</v>
      </c>
      <c r="Z97" s="74" t="s">
        <v>794</v>
      </c>
      <c r="AA97" s="10"/>
    </row>
    <row r="98" spans="1:27" x14ac:dyDescent="0.25">
      <c r="A98" s="58">
        <v>111</v>
      </c>
      <c r="B98" s="33" t="s">
        <v>60</v>
      </c>
      <c r="C98" s="34">
        <v>351036</v>
      </c>
      <c r="D98" s="35" t="s">
        <v>103</v>
      </c>
      <c r="E98" s="35" t="s">
        <v>104</v>
      </c>
      <c r="F98" s="35" t="s">
        <v>1144</v>
      </c>
      <c r="G98" s="36" t="s">
        <v>43</v>
      </c>
      <c r="H98" s="35" t="s">
        <v>1741</v>
      </c>
      <c r="I98" s="37" t="s">
        <v>1146</v>
      </c>
      <c r="J98" s="37" t="s">
        <v>1146</v>
      </c>
      <c r="K98" s="35" t="s">
        <v>1147</v>
      </c>
      <c r="L98" s="46" t="s">
        <v>1147</v>
      </c>
      <c r="M98" s="46" t="s">
        <v>1869</v>
      </c>
      <c r="N98" s="46" t="s">
        <v>60</v>
      </c>
      <c r="O98" s="46"/>
      <c r="P98" s="46" t="s">
        <v>2309</v>
      </c>
      <c r="Q98" s="46" t="s">
        <v>2094</v>
      </c>
      <c r="R98" s="46">
        <v>8287823681</v>
      </c>
      <c r="S98" s="47">
        <v>46120</v>
      </c>
      <c r="T98" s="46" t="s">
        <v>1990</v>
      </c>
      <c r="U98" s="48" t="s">
        <v>1144</v>
      </c>
      <c r="V98" s="48" t="s">
        <v>104</v>
      </c>
      <c r="W98" s="46" t="s">
        <v>60</v>
      </c>
      <c r="X98" s="46" t="s">
        <v>2537</v>
      </c>
      <c r="Y98" s="46" t="s">
        <v>2538</v>
      </c>
      <c r="Z98" s="74" t="s">
        <v>1741</v>
      </c>
      <c r="AA98" s="10"/>
    </row>
    <row r="99" spans="1:27" x14ac:dyDescent="0.25">
      <c r="A99" s="58">
        <v>112</v>
      </c>
      <c r="B99" s="33" t="s">
        <v>1275</v>
      </c>
      <c r="C99" s="34">
        <v>26219</v>
      </c>
      <c r="D99" s="35" t="s">
        <v>103</v>
      </c>
      <c r="E99" s="35" t="s">
        <v>968</v>
      </c>
      <c r="F99" s="35" t="s">
        <v>414</v>
      </c>
      <c r="G99" s="36" t="s">
        <v>352</v>
      </c>
      <c r="H99" s="35" t="s">
        <v>1950</v>
      </c>
      <c r="I99" s="37" t="s">
        <v>1277</v>
      </c>
      <c r="J99" s="37" t="s">
        <v>1277</v>
      </c>
      <c r="K99" s="35" t="s">
        <v>1882</v>
      </c>
      <c r="L99" s="46" t="s">
        <v>1882</v>
      </c>
      <c r="M99" s="46" t="s">
        <v>1869</v>
      </c>
      <c r="N99" s="46" t="s">
        <v>60</v>
      </c>
      <c r="O99" s="46"/>
      <c r="P99" s="46" t="s">
        <v>2089</v>
      </c>
      <c r="Q99" s="46" t="s">
        <v>2091</v>
      </c>
      <c r="R99" s="46">
        <v>9354241930</v>
      </c>
      <c r="S99" s="47">
        <v>46133</v>
      </c>
      <c r="T99" s="46" t="s">
        <v>1990</v>
      </c>
      <c r="U99" s="48" t="s">
        <v>414</v>
      </c>
      <c r="V99" s="48" t="s">
        <v>968</v>
      </c>
      <c r="W99" s="46" t="s">
        <v>2691</v>
      </c>
      <c r="X99" s="46" t="s">
        <v>2692</v>
      </c>
      <c r="Y99" s="46" t="s">
        <v>2779</v>
      </c>
      <c r="Z99" s="74" t="s">
        <v>1950</v>
      </c>
      <c r="AA99" s="10"/>
    </row>
    <row r="100" spans="1:27" x14ac:dyDescent="0.25">
      <c r="A100" s="58">
        <v>113</v>
      </c>
      <c r="B100" s="33" t="s">
        <v>773</v>
      </c>
      <c r="C100" s="34">
        <v>54359</v>
      </c>
      <c r="D100" s="35" t="s">
        <v>103</v>
      </c>
      <c r="E100" s="35" t="s">
        <v>968</v>
      </c>
      <c r="F100" s="35" t="s">
        <v>414</v>
      </c>
      <c r="G100" s="36" t="s">
        <v>352</v>
      </c>
      <c r="H100" s="35" t="s">
        <v>774</v>
      </c>
      <c r="I100" s="37" t="s">
        <v>1636</v>
      </c>
      <c r="J100" s="37" t="s">
        <v>1636</v>
      </c>
      <c r="K100" s="35" t="s">
        <v>1974</v>
      </c>
      <c r="L100" s="46" t="s">
        <v>1974</v>
      </c>
      <c r="M100" s="46" t="s">
        <v>1869</v>
      </c>
      <c r="N100" s="46" t="s">
        <v>60</v>
      </c>
      <c r="O100" s="46"/>
      <c r="P100" s="46" t="s">
        <v>2289</v>
      </c>
      <c r="Q100" s="46" t="s">
        <v>2091</v>
      </c>
      <c r="R100" s="46">
        <v>9354241930</v>
      </c>
      <c r="S100" s="47">
        <v>46133</v>
      </c>
      <c r="T100" s="46" t="s">
        <v>1990</v>
      </c>
      <c r="U100" s="48" t="s">
        <v>414</v>
      </c>
      <c r="V100" s="48" t="s">
        <v>968</v>
      </c>
      <c r="W100" s="46" t="s">
        <v>2469</v>
      </c>
      <c r="X100" s="46" t="s">
        <v>2716</v>
      </c>
      <c r="Y100" s="46" t="s">
        <v>95</v>
      </c>
      <c r="Z100" s="74" t="s">
        <v>774</v>
      </c>
      <c r="AA100" s="10"/>
    </row>
    <row r="101" spans="1:27" x14ac:dyDescent="0.25">
      <c r="A101" s="58">
        <v>114</v>
      </c>
      <c r="B101" s="33" t="s">
        <v>391</v>
      </c>
      <c r="C101" s="34">
        <v>26111</v>
      </c>
      <c r="D101" s="35" t="s">
        <v>40</v>
      </c>
      <c r="E101" s="35" t="s">
        <v>129</v>
      </c>
      <c r="F101" s="35" t="s">
        <v>129</v>
      </c>
      <c r="G101" s="36" t="s">
        <v>352</v>
      </c>
      <c r="H101" s="35" t="s">
        <v>1955</v>
      </c>
      <c r="I101" s="37" t="s">
        <v>393</v>
      </c>
      <c r="J101" s="37" t="s">
        <v>394</v>
      </c>
      <c r="K101" s="35" t="s">
        <v>1923</v>
      </c>
      <c r="L101" s="46" t="s">
        <v>1923</v>
      </c>
      <c r="M101" s="46" t="s">
        <v>1869</v>
      </c>
      <c r="N101" s="46" t="s">
        <v>60</v>
      </c>
      <c r="O101" s="46"/>
      <c r="P101" s="46" t="s">
        <v>2279</v>
      </c>
      <c r="Q101" s="46" t="s">
        <v>2346</v>
      </c>
      <c r="R101" s="46">
        <v>9217935065</v>
      </c>
      <c r="S101" s="47">
        <v>46135</v>
      </c>
      <c r="T101" s="46" t="s">
        <v>1990</v>
      </c>
      <c r="U101" s="48" t="s">
        <v>129</v>
      </c>
      <c r="V101" s="48" t="s">
        <v>129</v>
      </c>
      <c r="W101" s="46" t="s">
        <v>2470</v>
      </c>
      <c r="X101" s="46" t="s">
        <v>2471</v>
      </c>
      <c r="Y101" s="46" t="s">
        <v>402</v>
      </c>
      <c r="Z101" s="74" t="s">
        <v>1955</v>
      </c>
      <c r="AA101" s="10"/>
    </row>
    <row r="102" spans="1:27" x14ac:dyDescent="0.25">
      <c r="A102" s="58">
        <v>115</v>
      </c>
      <c r="B102" s="33" t="s">
        <v>391</v>
      </c>
      <c r="C102" s="34">
        <v>26111</v>
      </c>
      <c r="D102" s="35" t="s">
        <v>40</v>
      </c>
      <c r="E102" s="35" t="s">
        <v>129</v>
      </c>
      <c r="F102" s="35" t="s">
        <v>129</v>
      </c>
      <c r="G102" s="36" t="s">
        <v>352</v>
      </c>
      <c r="H102" s="35" t="s">
        <v>1954</v>
      </c>
      <c r="I102" s="37" t="s">
        <v>393</v>
      </c>
      <c r="J102" s="37" t="s">
        <v>394</v>
      </c>
      <c r="K102" s="35" t="s">
        <v>1924</v>
      </c>
      <c r="L102" s="46" t="s">
        <v>1924</v>
      </c>
      <c r="M102" s="46" t="s">
        <v>1869</v>
      </c>
      <c r="N102" s="46" t="s">
        <v>60</v>
      </c>
      <c r="O102" s="46"/>
      <c r="P102" s="46" t="s">
        <v>2018</v>
      </c>
      <c r="Q102" s="46" t="s">
        <v>2346</v>
      </c>
      <c r="R102" s="46">
        <v>9217935065</v>
      </c>
      <c r="S102" s="47">
        <v>46134</v>
      </c>
      <c r="T102" s="46" t="s">
        <v>1990</v>
      </c>
      <c r="U102" s="48" t="s">
        <v>129</v>
      </c>
      <c r="V102" s="48" t="s">
        <v>129</v>
      </c>
      <c r="W102" s="46" t="s">
        <v>2470</v>
      </c>
      <c r="X102" s="46" t="s">
        <v>2471</v>
      </c>
      <c r="Y102" s="46" t="s">
        <v>402</v>
      </c>
      <c r="Z102" s="74" t="s">
        <v>1954</v>
      </c>
      <c r="AA102" s="10"/>
    </row>
    <row r="103" spans="1:27" x14ac:dyDescent="0.25">
      <c r="A103" s="58">
        <v>116</v>
      </c>
      <c r="B103" s="33" t="s">
        <v>485</v>
      </c>
      <c r="C103" s="34">
        <v>26478</v>
      </c>
      <c r="D103" s="35" t="s">
        <v>40</v>
      </c>
      <c r="E103" s="35" t="s">
        <v>129</v>
      </c>
      <c r="F103" s="35" t="s">
        <v>129</v>
      </c>
      <c r="G103" s="36" t="s">
        <v>352</v>
      </c>
      <c r="H103" s="35" t="s">
        <v>1696</v>
      </c>
      <c r="I103" s="37" t="s">
        <v>487</v>
      </c>
      <c r="J103" s="37" t="s">
        <v>488</v>
      </c>
      <c r="K103" s="35" t="s">
        <v>1767</v>
      </c>
      <c r="L103" s="46" t="s">
        <v>1767</v>
      </c>
      <c r="M103" s="46" t="s">
        <v>1869</v>
      </c>
      <c r="N103" s="46" t="s">
        <v>60</v>
      </c>
      <c r="O103" s="46"/>
      <c r="P103" s="46" t="s">
        <v>2022</v>
      </c>
      <c r="Q103" s="46" t="s">
        <v>2090</v>
      </c>
      <c r="R103" s="46">
        <v>9354183359</v>
      </c>
      <c r="S103" s="47">
        <v>45763</v>
      </c>
      <c r="T103" s="46" t="s">
        <v>1990</v>
      </c>
      <c r="U103" s="48" t="s">
        <v>129</v>
      </c>
      <c r="V103" s="48" t="s">
        <v>129</v>
      </c>
      <c r="W103" s="46" t="s">
        <v>2472</v>
      </c>
      <c r="X103" s="46" t="s">
        <v>2473</v>
      </c>
      <c r="Y103" s="46" t="s">
        <v>2808</v>
      </c>
      <c r="Z103" s="74" t="s">
        <v>1696</v>
      </c>
      <c r="AA103" s="10"/>
    </row>
    <row r="104" spans="1:27" x14ac:dyDescent="0.25">
      <c r="A104" s="58">
        <v>117</v>
      </c>
      <c r="B104" s="33" t="s">
        <v>496</v>
      </c>
      <c r="C104" s="34">
        <v>26232</v>
      </c>
      <c r="D104" s="35" t="s">
        <v>40</v>
      </c>
      <c r="E104" s="35" t="s">
        <v>129</v>
      </c>
      <c r="F104" s="35" t="s">
        <v>129</v>
      </c>
      <c r="G104" s="36" t="s">
        <v>352</v>
      </c>
      <c r="H104" s="35" t="s">
        <v>497</v>
      </c>
      <c r="I104" s="37" t="s">
        <v>498</v>
      </c>
      <c r="J104" s="37" t="s">
        <v>498</v>
      </c>
      <c r="K104" s="35" t="s">
        <v>1894</v>
      </c>
      <c r="L104" s="46" t="s">
        <v>1894</v>
      </c>
      <c r="M104" s="46" t="s">
        <v>1869</v>
      </c>
      <c r="N104" s="46" t="s">
        <v>60</v>
      </c>
      <c r="O104" s="46"/>
      <c r="P104" s="46" t="s">
        <v>2023</v>
      </c>
      <c r="Q104" s="46" t="s">
        <v>2091</v>
      </c>
      <c r="R104" s="46">
        <v>9354241930</v>
      </c>
      <c r="S104" s="47">
        <v>46118</v>
      </c>
      <c r="T104" s="46" t="s">
        <v>1990</v>
      </c>
      <c r="U104" s="48" t="s">
        <v>129</v>
      </c>
      <c r="V104" s="48" t="s">
        <v>129</v>
      </c>
      <c r="W104" s="46" t="s">
        <v>2693</v>
      </c>
      <c r="X104" s="46" t="s">
        <v>2694</v>
      </c>
      <c r="Y104" s="46" t="s">
        <v>2780</v>
      </c>
      <c r="Z104" s="74" t="s">
        <v>497</v>
      </c>
      <c r="AA104" s="10"/>
    </row>
    <row r="105" spans="1:27" x14ac:dyDescent="0.25">
      <c r="A105" s="58">
        <v>119</v>
      </c>
      <c r="B105" s="33" t="s">
        <v>60</v>
      </c>
      <c r="C105" s="34">
        <v>185979</v>
      </c>
      <c r="D105" s="35" t="s">
        <v>40</v>
      </c>
      <c r="E105" s="35" t="s">
        <v>129</v>
      </c>
      <c r="F105" s="35" t="s">
        <v>129</v>
      </c>
      <c r="G105" s="36" t="s">
        <v>352</v>
      </c>
      <c r="H105" s="35" t="s">
        <v>1755</v>
      </c>
      <c r="I105" s="37" t="s">
        <v>1688</v>
      </c>
      <c r="J105" s="37" t="s">
        <v>1688</v>
      </c>
      <c r="K105" s="35" t="s">
        <v>1841</v>
      </c>
      <c r="L105" s="46" t="s">
        <v>1841</v>
      </c>
      <c r="M105" s="46" t="s">
        <v>1869</v>
      </c>
      <c r="N105" s="46" t="s">
        <v>60</v>
      </c>
      <c r="O105" s="46"/>
      <c r="P105" s="46" t="s">
        <v>2088</v>
      </c>
      <c r="Q105" s="46" t="s">
        <v>2098</v>
      </c>
      <c r="R105" s="46">
        <v>7460008081</v>
      </c>
      <c r="S105" s="47">
        <v>46120</v>
      </c>
      <c r="T105" s="46" t="s">
        <v>1990</v>
      </c>
      <c r="U105" s="48" t="s">
        <v>129</v>
      </c>
      <c r="V105" s="48" t="s">
        <v>129</v>
      </c>
      <c r="W105" s="46" t="s">
        <v>2474</v>
      </c>
      <c r="X105" s="46" t="s">
        <v>2717</v>
      </c>
      <c r="Y105" s="46" t="s">
        <v>579</v>
      </c>
      <c r="Z105" s="74" t="s">
        <v>1755</v>
      </c>
      <c r="AA105" s="10"/>
    </row>
    <row r="106" spans="1:27" x14ac:dyDescent="0.25">
      <c r="A106" s="58">
        <v>120</v>
      </c>
      <c r="B106" s="33" t="s">
        <v>60</v>
      </c>
      <c r="C106" s="34">
        <v>71934</v>
      </c>
      <c r="D106" s="35" t="s">
        <v>40</v>
      </c>
      <c r="E106" s="35" t="s">
        <v>129</v>
      </c>
      <c r="F106" s="35" t="s">
        <v>129</v>
      </c>
      <c r="G106" s="36" t="s">
        <v>352</v>
      </c>
      <c r="H106" s="35" t="s">
        <v>1754</v>
      </c>
      <c r="I106" s="37" t="s">
        <v>1687</v>
      </c>
      <c r="J106" s="37" t="s">
        <v>1687</v>
      </c>
      <c r="K106" s="35" t="s">
        <v>1840</v>
      </c>
      <c r="L106" s="46" t="s">
        <v>1840</v>
      </c>
      <c r="M106" s="46" t="s">
        <v>1869</v>
      </c>
      <c r="N106" s="46" t="s">
        <v>60</v>
      </c>
      <c r="O106" s="46"/>
      <c r="P106" s="46" t="s">
        <v>2320</v>
      </c>
      <c r="Q106" s="46" t="s">
        <v>2346</v>
      </c>
      <c r="R106" s="46">
        <v>9217935065</v>
      </c>
      <c r="S106" s="47">
        <v>46119</v>
      </c>
      <c r="T106" s="46" t="s">
        <v>1990</v>
      </c>
      <c r="U106" s="48" t="s">
        <v>129</v>
      </c>
      <c r="V106" s="48" t="s">
        <v>129</v>
      </c>
      <c r="W106" s="46" t="s">
        <v>2475</v>
      </c>
      <c r="X106" s="46" t="s">
        <v>2476</v>
      </c>
      <c r="Y106" s="46" t="s">
        <v>579</v>
      </c>
      <c r="Z106" s="74" t="s">
        <v>1754</v>
      </c>
      <c r="AA106" s="10"/>
    </row>
    <row r="107" spans="1:27" x14ac:dyDescent="0.25">
      <c r="A107" s="58">
        <v>121</v>
      </c>
      <c r="B107" s="33" t="s">
        <v>60</v>
      </c>
      <c r="C107" s="34">
        <v>355991</v>
      </c>
      <c r="D107" s="35" t="s">
        <v>40</v>
      </c>
      <c r="E107" s="35" t="s">
        <v>129</v>
      </c>
      <c r="F107" s="35" t="s">
        <v>129</v>
      </c>
      <c r="G107" s="36" t="s">
        <v>352</v>
      </c>
      <c r="H107" s="35" t="s">
        <v>1743</v>
      </c>
      <c r="I107" s="37" t="s">
        <v>1679</v>
      </c>
      <c r="J107" s="37" t="s">
        <v>1679</v>
      </c>
      <c r="K107" s="35" t="s">
        <v>1159</v>
      </c>
      <c r="L107" s="46" t="s">
        <v>1159</v>
      </c>
      <c r="M107" s="46" t="s">
        <v>1869</v>
      </c>
      <c r="N107" s="46" t="s">
        <v>60</v>
      </c>
      <c r="O107" s="46"/>
      <c r="P107" s="46" t="s">
        <v>2311</v>
      </c>
      <c r="Q107" s="46" t="s">
        <v>2346</v>
      </c>
      <c r="R107" s="46">
        <v>9217935065</v>
      </c>
      <c r="S107" s="47">
        <v>46118</v>
      </c>
      <c r="T107" s="46" t="s">
        <v>1990</v>
      </c>
      <c r="U107" s="48" t="s">
        <v>129</v>
      </c>
      <c r="V107" s="48" t="s">
        <v>129</v>
      </c>
      <c r="W107" s="46" t="s">
        <v>2477</v>
      </c>
      <c r="X107" s="46" t="s">
        <v>2478</v>
      </c>
      <c r="Y107" s="46" t="s">
        <v>60</v>
      </c>
      <c r="Z107" s="74" t="s">
        <v>1743</v>
      </c>
      <c r="AA107" s="10"/>
    </row>
    <row r="108" spans="1:27" x14ac:dyDescent="0.25">
      <c r="A108" s="58">
        <v>122</v>
      </c>
      <c r="B108" s="33" t="s">
        <v>60</v>
      </c>
      <c r="C108" s="34">
        <v>317007</v>
      </c>
      <c r="D108" s="35" t="s">
        <v>40</v>
      </c>
      <c r="E108" s="35" t="s">
        <v>129</v>
      </c>
      <c r="F108" s="35" t="s">
        <v>129</v>
      </c>
      <c r="G108" s="36" t="s">
        <v>352</v>
      </c>
      <c r="H108" s="35" t="s">
        <v>1753</v>
      </c>
      <c r="I108" s="37" t="s">
        <v>1686</v>
      </c>
      <c r="J108" s="37" t="s">
        <v>1686</v>
      </c>
      <c r="K108" s="35" t="s">
        <v>1839</v>
      </c>
      <c r="L108" s="46" t="s">
        <v>1839</v>
      </c>
      <c r="M108" s="46" t="s">
        <v>1869</v>
      </c>
      <c r="N108" s="46" t="s">
        <v>60</v>
      </c>
      <c r="O108" s="46"/>
      <c r="P108" s="46" t="s">
        <v>2319</v>
      </c>
      <c r="Q108" s="46" t="s">
        <v>2346</v>
      </c>
      <c r="R108" s="46">
        <v>9217935065</v>
      </c>
      <c r="S108" s="47">
        <v>46122</v>
      </c>
      <c r="T108" s="46" t="s">
        <v>1990</v>
      </c>
      <c r="U108" s="48" t="s">
        <v>129</v>
      </c>
      <c r="V108" s="48" t="s">
        <v>129</v>
      </c>
      <c r="W108" s="46" t="s">
        <v>2479</v>
      </c>
      <c r="X108" s="46" t="s">
        <v>2480</v>
      </c>
      <c r="Y108" s="46" t="s">
        <v>60</v>
      </c>
      <c r="Z108" s="74" t="s">
        <v>1753</v>
      </c>
      <c r="AA108" s="10"/>
    </row>
    <row r="109" spans="1:27" x14ac:dyDescent="0.25">
      <c r="A109" s="58">
        <v>123</v>
      </c>
      <c r="B109" s="33" t="s">
        <v>1850</v>
      </c>
      <c r="C109" s="34">
        <v>118900</v>
      </c>
      <c r="D109" s="35" t="s">
        <v>40</v>
      </c>
      <c r="E109" s="35" t="s">
        <v>129</v>
      </c>
      <c r="F109" s="35" t="s">
        <v>129</v>
      </c>
      <c r="G109" s="36" t="s">
        <v>352</v>
      </c>
      <c r="H109" s="35" t="s">
        <v>1734</v>
      </c>
      <c r="I109" s="37" t="s">
        <v>1669</v>
      </c>
      <c r="J109" s="37" t="s">
        <v>1669</v>
      </c>
      <c r="K109" s="35" t="s">
        <v>1898</v>
      </c>
      <c r="L109" s="46" t="s">
        <v>1898</v>
      </c>
      <c r="M109" s="46" t="s">
        <v>1869</v>
      </c>
      <c r="N109" s="46" t="s">
        <v>60</v>
      </c>
      <c r="O109" s="46"/>
      <c r="P109" s="46" t="s">
        <v>2067</v>
      </c>
      <c r="Q109" s="46" t="s">
        <v>2346</v>
      </c>
      <c r="R109" s="46">
        <v>9217935065</v>
      </c>
      <c r="S109" s="47">
        <v>46120</v>
      </c>
      <c r="T109" s="46" t="s">
        <v>1990</v>
      </c>
      <c r="U109" s="48" t="s">
        <v>129</v>
      </c>
      <c r="V109" s="48" t="s">
        <v>96</v>
      </c>
      <c r="W109" s="46" t="s">
        <v>2481</v>
      </c>
      <c r="X109" s="46" t="s">
        <v>2482</v>
      </c>
      <c r="Y109" s="46" t="s">
        <v>60</v>
      </c>
      <c r="Z109" s="74" t="s">
        <v>1734</v>
      </c>
      <c r="AA109" s="10"/>
    </row>
    <row r="110" spans="1:27" x14ac:dyDescent="0.25">
      <c r="A110" s="58">
        <v>125</v>
      </c>
      <c r="B110" s="33" t="s">
        <v>572</v>
      </c>
      <c r="C110" s="34">
        <v>45746</v>
      </c>
      <c r="D110" s="35" t="s">
        <v>40</v>
      </c>
      <c r="E110" s="35" t="s">
        <v>96</v>
      </c>
      <c r="F110" s="35" t="s">
        <v>573</v>
      </c>
      <c r="G110" s="36" t="s">
        <v>352</v>
      </c>
      <c r="H110" s="35" t="s">
        <v>574</v>
      </c>
      <c r="I110" s="37" t="s">
        <v>575</v>
      </c>
      <c r="J110" s="37" t="s">
        <v>575</v>
      </c>
      <c r="K110" s="35" t="s">
        <v>1896</v>
      </c>
      <c r="L110" s="46" t="s">
        <v>1896</v>
      </c>
      <c r="M110" s="46" t="s">
        <v>1869</v>
      </c>
      <c r="N110" s="46" t="s">
        <v>60</v>
      </c>
      <c r="O110" s="46"/>
      <c r="P110" s="46" t="s">
        <v>2031</v>
      </c>
      <c r="Q110" s="46" t="s">
        <v>2098</v>
      </c>
      <c r="R110" s="46">
        <v>7460008081</v>
      </c>
      <c r="S110" s="47">
        <v>46123</v>
      </c>
      <c r="T110" s="46" t="s">
        <v>1990</v>
      </c>
      <c r="U110" s="48" t="s">
        <v>573</v>
      </c>
      <c r="V110" s="48" t="s">
        <v>96</v>
      </c>
      <c r="W110" s="46" t="s">
        <v>2483</v>
      </c>
      <c r="X110" s="46" t="s">
        <v>2484</v>
      </c>
      <c r="Y110" s="46" t="s">
        <v>2781</v>
      </c>
      <c r="Z110" s="74" t="s">
        <v>574</v>
      </c>
      <c r="AA110" s="10"/>
    </row>
    <row r="111" spans="1:27" x14ac:dyDescent="0.25">
      <c r="A111" s="58">
        <v>127</v>
      </c>
      <c r="B111" s="33" t="s">
        <v>350</v>
      </c>
      <c r="C111" s="34">
        <v>26458</v>
      </c>
      <c r="D111" s="35" t="s">
        <v>40</v>
      </c>
      <c r="E111" s="35" t="s">
        <v>351</v>
      </c>
      <c r="F111" s="35" t="s">
        <v>351</v>
      </c>
      <c r="G111" s="36" t="s">
        <v>352</v>
      </c>
      <c r="H111" s="35" t="s">
        <v>1693</v>
      </c>
      <c r="I111" s="37" t="s">
        <v>354</v>
      </c>
      <c r="J111" s="37" t="s">
        <v>354</v>
      </c>
      <c r="K111" s="35" t="s">
        <v>355</v>
      </c>
      <c r="L111" s="46" t="s">
        <v>355</v>
      </c>
      <c r="M111" s="46" t="s">
        <v>1869</v>
      </c>
      <c r="N111" s="46" t="s">
        <v>60</v>
      </c>
      <c r="O111" s="46"/>
      <c r="P111" s="46" t="s">
        <v>2013</v>
      </c>
      <c r="Q111" s="46" t="s">
        <v>2090</v>
      </c>
      <c r="R111" s="46">
        <v>9354183359</v>
      </c>
      <c r="S111" s="47">
        <v>46136</v>
      </c>
      <c r="T111" s="46" t="s">
        <v>1990</v>
      </c>
      <c r="U111" s="48" t="s">
        <v>351</v>
      </c>
      <c r="V111" s="48" t="s">
        <v>351</v>
      </c>
      <c r="W111" s="46" t="s">
        <v>2485</v>
      </c>
      <c r="X111" s="46" t="s">
        <v>2486</v>
      </c>
      <c r="Y111" s="46" t="s">
        <v>2782</v>
      </c>
      <c r="Z111" s="74" t="s">
        <v>1693</v>
      </c>
      <c r="AA111" s="10"/>
    </row>
    <row r="112" spans="1:27" x14ac:dyDescent="0.25">
      <c r="A112" s="58">
        <v>128</v>
      </c>
      <c r="B112" s="33" t="s">
        <v>464</v>
      </c>
      <c r="C112" s="34">
        <v>26177</v>
      </c>
      <c r="D112" s="35" t="s">
        <v>40</v>
      </c>
      <c r="E112" s="35" t="s">
        <v>465</v>
      </c>
      <c r="F112" s="35" t="s">
        <v>466</v>
      </c>
      <c r="G112" s="36" t="s">
        <v>352</v>
      </c>
      <c r="H112" s="35" t="s">
        <v>467</v>
      </c>
      <c r="I112" s="37" t="s">
        <v>468</v>
      </c>
      <c r="J112" s="37" t="s">
        <v>469</v>
      </c>
      <c r="K112" s="35" t="s">
        <v>1766</v>
      </c>
      <c r="L112" s="46" t="s">
        <v>1766</v>
      </c>
      <c r="M112" s="46" t="s">
        <v>1869</v>
      </c>
      <c r="N112" s="46" t="s">
        <v>60</v>
      </c>
      <c r="O112" s="46"/>
      <c r="P112" s="46" t="s">
        <v>2021</v>
      </c>
      <c r="Q112" s="46" t="s">
        <v>2091</v>
      </c>
      <c r="R112" s="46">
        <v>9354241930</v>
      </c>
      <c r="S112" s="47">
        <v>46130</v>
      </c>
      <c r="T112" s="46" t="s">
        <v>1990</v>
      </c>
      <c r="U112" s="48" t="s">
        <v>466</v>
      </c>
      <c r="V112" s="48" t="s">
        <v>465</v>
      </c>
      <c r="W112" s="46" t="s">
        <v>2487</v>
      </c>
      <c r="X112" s="46" t="s">
        <v>2718</v>
      </c>
      <c r="Y112" s="46" t="s">
        <v>95</v>
      </c>
      <c r="Z112" s="74" t="s">
        <v>467</v>
      </c>
      <c r="AA112" s="10"/>
    </row>
    <row r="113" spans="1:27" x14ac:dyDescent="0.25">
      <c r="A113" s="58">
        <v>129</v>
      </c>
      <c r="B113" s="33" t="s">
        <v>991</v>
      </c>
      <c r="C113" s="34">
        <v>131909</v>
      </c>
      <c r="D113" s="35" t="s">
        <v>40</v>
      </c>
      <c r="E113" s="35" t="s">
        <v>41</v>
      </c>
      <c r="F113" s="35" t="s">
        <v>992</v>
      </c>
      <c r="G113" s="36" t="s">
        <v>352</v>
      </c>
      <c r="H113" s="35" t="s">
        <v>1731</v>
      </c>
      <c r="I113" s="37" t="s">
        <v>1665</v>
      </c>
      <c r="J113" s="37" t="s">
        <v>1665</v>
      </c>
      <c r="K113" s="35" t="s">
        <v>1816</v>
      </c>
      <c r="L113" s="46" t="s">
        <v>1816</v>
      </c>
      <c r="M113" s="46" t="s">
        <v>1869</v>
      </c>
      <c r="N113" s="46" t="s">
        <v>60</v>
      </c>
      <c r="O113" s="46"/>
      <c r="P113" s="46" t="s">
        <v>2064</v>
      </c>
      <c r="Q113" s="46" t="s">
        <v>2093</v>
      </c>
      <c r="R113" s="46">
        <v>9990034588</v>
      </c>
      <c r="S113" s="47">
        <v>46125</v>
      </c>
      <c r="T113" s="46" t="s">
        <v>1990</v>
      </c>
      <c r="U113" s="48" t="s">
        <v>992</v>
      </c>
      <c r="V113" s="48" t="s">
        <v>41</v>
      </c>
      <c r="W113" s="46" t="s">
        <v>2488</v>
      </c>
      <c r="X113" s="46" t="s">
        <v>2489</v>
      </c>
      <c r="Y113" s="46" t="s">
        <v>954</v>
      </c>
      <c r="Z113" s="74" t="s">
        <v>1731</v>
      </c>
      <c r="AA113" s="10"/>
    </row>
    <row r="114" spans="1:27" x14ac:dyDescent="0.25">
      <c r="A114" s="58">
        <v>131</v>
      </c>
      <c r="B114" s="33" t="s">
        <v>758</v>
      </c>
      <c r="C114" s="34">
        <v>55833</v>
      </c>
      <c r="D114" s="35" t="s">
        <v>40</v>
      </c>
      <c r="E114" s="35" t="s">
        <v>41</v>
      </c>
      <c r="F114" s="35" t="s">
        <v>42</v>
      </c>
      <c r="G114" s="36" t="s">
        <v>352</v>
      </c>
      <c r="H114" s="35" t="s">
        <v>759</v>
      </c>
      <c r="I114" s="37" t="s">
        <v>760</v>
      </c>
      <c r="J114" s="37" t="s">
        <v>760</v>
      </c>
      <c r="K114" s="35" t="s">
        <v>1890</v>
      </c>
      <c r="L114" s="46" t="s">
        <v>1890</v>
      </c>
      <c r="M114" s="46" t="s">
        <v>1869</v>
      </c>
      <c r="N114" s="46" t="s">
        <v>60</v>
      </c>
      <c r="O114" s="46"/>
      <c r="P114" s="46" t="s">
        <v>2046</v>
      </c>
      <c r="Q114" s="46" t="s">
        <v>2093</v>
      </c>
      <c r="R114" s="46">
        <v>9990034588</v>
      </c>
      <c r="S114" s="47">
        <v>46134</v>
      </c>
      <c r="T114" s="46" t="s">
        <v>1990</v>
      </c>
      <c r="U114" s="48" t="s">
        <v>42</v>
      </c>
      <c r="V114" s="48" t="s">
        <v>41</v>
      </c>
      <c r="W114" s="46" t="s">
        <v>2490</v>
      </c>
      <c r="X114" s="46" t="s">
        <v>2584</v>
      </c>
      <c r="Y114" s="46" t="s">
        <v>95</v>
      </c>
      <c r="Z114" s="74" t="s">
        <v>759</v>
      </c>
      <c r="AA114" s="10"/>
    </row>
    <row r="115" spans="1:27" x14ac:dyDescent="0.25">
      <c r="A115" s="58">
        <v>132</v>
      </c>
      <c r="B115" s="33" t="s">
        <v>619</v>
      </c>
      <c r="C115" s="34">
        <v>26119</v>
      </c>
      <c r="D115" s="35" t="s">
        <v>40</v>
      </c>
      <c r="E115" s="35" t="s">
        <v>41</v>
      </c>
      <c r="F115" s="35" t="s">
        <v>42</v>
      </c>
      <c r="G115" s="36" t="s">
        <v>352</v>
      </c>
      <c r="H115" s="35" t="s">
        <v>620</v>
      </c>
      <c r="I115" s="37" t="s">
        <v>621</v>
      </c>
      <c r="J115" s="37" t="s">
        <v>621</v>
      </c>
      <c r="K115" s="35" t="s">
        <v>622</v>
      </c>
      <c r="L115" s="46" t="s">
        <v>622</v>
      </c>
      <c r="M115" s="46" t="s">
        <v>1869</v>
      </c>
      <c r="N115" s="46" t="s">
        <v>60</v>
      </c>
      <c r="O115" s="46"/>
      <c r="P115" s="46" t="s">
        <v>2036</v>
      </c>
      <c r="Q115" s="46" t="s">
        <v>2090</v>
      </c>
      <c r="R115" s="46">
        <v>9354183359</v>
      </c>
      <c r="S115" s="47">
        <v>46133</v>
      </c>
      <c r="T115" s="46" t="s">
        <v>1990</v>
      </c>
      <c r="U115" s="48" t="s">
        <v>42</v>
      </c>
      <c r="V115" s="48" t="s">
        <v>41</v>
      </c>
      <c r="W115" s="46" t="s">
        <v>2783</v>
      </c>
      <c r="X115" s="46" t="s">
        <v>2784</v>
      </c>
      <c r="Y115" s="46" t="s">
        <v>2809</v>
      </c>
      <c r="Z115" s="74" t="s">
        <v>620</v>
      </c>
      <c r="AA115" s="10"/>
    </row>
    <row r="116" spans="1:27" x14ac:dyDescent="0.25">
      <c r="A116" s="58">
        <v>133</v>
      </c>
      <c r="B116" s="33" t="s">
        <v>1079</v>
      </c>
      <c r="C116" s="34">
        <v>26376</v>
      </c>
      <c r="D116" s="35" t="s">
        <v>40</v>
      </c>
      <c r="E116" s="35" t="s">
        <v>199</v>
      </c>
      <c r="F116" s="35" t="s">
        <v>214</v>
      </c>
      <c r="G116" s="36" t="s">
        <v>352</v>
      </c>
      <c r="H116" s="35" t="s">
        <v>1080</v>
      </c>
      <c r="I116" s="37" t="s">
        <v>1081</v>
      </c>
      <c r="J116" s="37" t="s">
        <v>1081</v>
      </c>
      <c r="K116" s="35" t="s">
        <v>1082</v>
      </c>
      <c r="L116" s="46" t="s">
        <v>1082</v>
      </c>
      <c r="M116" s="46" t="s">
        <v>1869</v>
      </c>
      <c r="N116" s="46" t="s">
        <v>60</v>
      </c>
      <c r="O116" s="46"/>
      <c r="P116" s="46" t="s">
        <v>2075</v>
      </c>
      <c r="Q116" s="46" t="s">
        <v>2092</v>
      </c>
      <c r="R116" s="46">
        <v>7753851136</v>
      </c>
      <c r="S116" s="47">
        <v>46133</v>
      </c>
      <c r="T116" s="46" t="s">
        <v>1990</v>
      </c>
      <c r="U116" s="48" t="s">
        <v>214</v>
      </c>
      <c r="V116" s="48" t="s">
        <v>199</v>
      </c>
      <c r="W116" s="46" t="s">
        <v>2491</v>
      </c>
      <c r="X116" s="46" t="s">
        <v>2492</v>
      </c>
      <c r="Y116" s="46" t="s">
        <v>579</v>
      </c>
      <c r="Z116" s="74" t="s">
        <v>1080</v>
      </c>
      <c r="AA116" s="10"/>
    </row>
    <row r="117" spans="1:27" x14ac:dyDescent="0.25">
      <c r="A117" s="58">
        <v>134</v>
      </c>
      <c r="B117" s="33" t="s">
        <v>60</v>
      </c>
      <c r="C117" s="34">
        <v>130913</v>
      </c>
      <c r="D117" s="35" t="s">
        <v>40</v>
      </c>
      <c r="E117" s="35" t="s">
        <v>199</v>
      </c>
      <c r="F117" s="35" t="s">
        <v>214</v>
      </c>
      <c r="G117" s="36" t="s">
        <v>352</v>
      </c>
      <c r="H117" s="35" t="s">
        <v>1746</v>
      </c>
      <c r="I117" s="37" t="s">
        <v>1681</v>
      </c>
      <c r="J117" s="37" t="s">
        <v>1681</v>
      </c>
      <c r="K117" s="35" t="s">
        <v>1832</v>
      </c>
      <c r="L117" s="46" t="s">
        <v>1832</v>
      </c>
      <c r="M117" s="46" t="s">
        <v>1869</v>
      </c>
      <c r="N117" s="46" t="s">
        <v>60</v>
      </c>
      <c r="O117" s="46"/>
      <c r="P117" s="46" t="s">
        <v>2082</v>
      </c>
      <c r="Q117" s="46" t="s">
        <v>2096</v>
      </c>
      <c r="R117" s="46">
        <v>7688959606</v>
      </c>
      <c r="S117" s="47">
        <v>46127</v>
      </c>
      <c r="T117" s="46" t="s">
        <v>1990</v>
      </c>
      <c r="U117" s="48" t="s">
        <v>214</v>
      </c>
      <c r="V117" s="48" t="s">
        <v>199</v>
      </c>
      <c r="W117" s="46" t="s">
        <v>2493</v>
      </c>
      <c r="X117" s="46" t="s">
        <v>2494</v>
      </c>
      <c r="Y117" s="46" t="s">
        <v>95</v>
      </c>
      <c r="Z117" s="74" t="s">
        <v>1746</v>
      </c>
      <c r="AA117" s="10"/>
    </row>
    <row r="118" spans="1:27" x14ac:dyDescent="0.25">
      <c r="A118" s="58">
        <v>136</v>
      </c>
      <c r="B118" s="33" t="s">
        <v>539</v>
      </c>
      <c r="C118" s="34">
        <v>12488</v>
      </c>
      <c r="D118" s="35" t="s">
        <v>40</v>
      </c>
      <c r="E118" s="35" t="s">
        <v>199</v>
      </c>
      <c r="F118" s="35" t="s">
        <v>540</v>
      </c>
      <c r="G118" s="36" t="s">
        <v>352</v>
      </c>
      <c r="H118" s="35" t="s">
        <v>541</v>
      </c>
      <c r="I118" s="37" t="s">
        <v>542</v>
      </c>
      <c r="J118" s="37" t="s">
        <v>542</v>
      </c>
      <c r="K118" s="35" t="s">
        <v>1772</v>
      </c>
      <c r="L118" s="46" t="s">
        <v>1772</v>
      </c>
      <c r="M118" s="46" t="s">
        <v>1869</v>
      </c>
      <c r="N118" s="46" t="s">
        <v>60</v>
      </c>
      <c r="O118" s="46"/>
      <c r="P118" s="46" t="s">
        <v>2028</v>
      </c>
      <c r="Q118" s="46" t="s">
        <v>2092</v>
      </c>
      <c r="R118" s="46">
        <v>7753851136</v>
      </c>
      <c r="S118" s="47">
        <v>46132</v>
      </c>
      <c r="T118" s="46" t="s">
        <v>1990</v>
      </c>
      <c r="U118" s="48" t="s">
        <v>540</v>
      </c>
      <c r="V118" s="48" t="s">
        <v>199</v>
      </c>
      <c r="W118" s="46" t="s">
        <v>2497</v>
      </c>
      <c r="X118" s="46" t="s">
        <v>2498</v>
      </c>
      <c r="Y118" s="46" t="s">
        <v>2499</v>
      </c>
      <c r="Z118" s="74" t="s">
        <v>541</v>
      </c>
      <c r="AA118" s="10"/>
    </row>
    <row r="119" spans="1:27" x14ac:dyDescent="0.25">
      <c r="A119" s="58">
        <v>137</v>
      </c>
      <c r="B119" s="33" t="s">
        <v>592</v>
      </c>
      <c r="C119" s="34">
        <v>12568</v>
      </c>
      <c r="D119" s="35" t="s">
        <v>40</v>
      </c>
      <c r="E119" s="35" t="s">
        <v>61</v>
      </c>
      <c r="F119" s="35" t="s">
        <v>593</v>
      </c>
      <c r="G119" s="36" t="s">
        <v>352</v>
      </c>
      <c r="H119" s="35" t="s">
        <v>594</v>
      </c>
      <c r="I119" s="37" t="s">
        <v>595</v>
      </c>
      <c r="J119" s="37" t="s">
        <v>595</v>
      </c>
      <c r="K119" s="35" t="s">
        <v>1777</v>
      </c>
      <c r="L119" s="46" t="s">
        <v>1777</v>
      </c>
      <c r="M119" s="46" t="s">
        <v>1869</v>
      </c>
      <c r="N119" s="46" t="s">
        <v>60</v>
      </c>
      <c r="O119" s="46"/>
      <c r="P119" s="46" t="s">
        <v>2033</v>
      </c>
      <c r="Q119" s="46" t="s">
        <v>2092</v>
      </c>
      <c r="R119" s="46">
        <v>7753851136</v>
      </c>
      <c r="S119" s="47">
        <v>46127</v>
      </c>
      <c r="T119" s="46" t="s">
        <v>1990</v>
      </c>
      <c r="U119" s="48" t="s">
        <v>593</v>
      </c>
      <c r="V119" s="48" t="s">
        <v>61</v>
      </c>
      <c r="W119" s="46" t="s">
        <v>2500</v>
      </c>
      <c r="X119" s="46" t="s">
        <v>2501</v>
      </c>
      <c r="Y119" s="46" t="s">
        <v>579</v>
      </c>
      <c r="Z119" s="74" t="s">
        <v>594</v>
      </c>
      <c r="AA119" s="10"/>
    </row>
    <row r="120" spans="1:27" x14ac:dyDescent="0.25">
      <c r="A120" s="58">
        <v>138</v>
      </c>
      <c r="B120" s="33" t="s">
        <v>60</v>
      </c>
      <c r="C120" s="34">
        <v>189971</v>
      </c>
      <c r="D120" s="35" t="s">
        <v>40</v>
      </c>
      <c r="E120" s="35" t="s">
        <v>61</v>
      </c>
      <c r="F120" s="35" t="s">
        <v>593</v>
      </c>
      <c r="G120" s="36" t="s">
        <v>352</v>
      </c>
      <c r="H120" s="35" t="s">
        <v>605</v>
      </c>
      <c r="I120" s="37" t="s">
        <v>1630</v>
      </c>
      <c r="J120" s="37" t="s">
        <v>1630</v>
      </c>
      <c r="K120" s="35" t="s">
        <v>1778</v>
      </c>
      <c r="L120" s="46" t="s">
        <v>1778</v>
      </c>
      <c r="M120" s="46" t="s">
        <v>1869</v>
      </c>
      <c r="N120" s="46" t="s">
        <v>60</v>
      </c>
      <c r="O120" s="46"/>
      <c r="P120" s="46" t="s">
        <v>2034</v>
      </c>
      <c r="Q120" s="46" t="s">
        <v>2092</v>
      </c>
      <c r="R120" s="46">
        <v>7753851136</v>
      </c>
      <c r="S120" s="47">
        <v>46128</v>
      </c>
      <c r="T120" s="46" t="s">
        <v>1990</v>
      </c>
      <c r="U120" s="48" t="s">
        <v>593</v>
      </c>
      <c r="V120" s="48" t="s">
        <v>61</v>
      </c>
      <c r="W120" s="46" t="s">
        <v>2695</v>
      </c>
      <c r="X120" s="46" t="s">
        <v>2696</v>
      </c>
      <c r="Y120" s="46" t="s">
        <v>579</v>
      </c>
      <c r="Z120" s="74" t="s">
        <v>605</v>
      </c>
      <c r="AA120" s="10"/>
    </row>
    <row r="121" spans="1:27" x14ac:dyDescent="0.25">
      <c r="A121" s="58">
        <v>139</v>
      </c>
      <c r="B121" s="33" t="s">
        <v>60</v>
      </c>
      <c r="C121" s="34">
        <v>311991</v>
      </c>
      <c r="D121" s="35" t="s">
        <v>40</v>
      </c>
      <c r="E121" s="35" t="s">
        <v>968</v>
      </c>
      <c r="F121" s="35" t="s">
        <v>414</v>
      </c>
      <c r="G121" s="36" t="s">
        <v>352</v>
      </c>
      <c r="H121" s="35" t="s">
        <v>1738</v>
      </c>
      <c r="I121" s="37" t="s">
        <v>1676</v>
      </c>
      <c r="J121" s="37" t="s">
        <v>1676</v>
      </c>
      <c r="K121" s="35" t="s">
        <v>1825</v>
      </c>
      <c r="L121" s="46" t="s">
        <v>1825</v>
      </c>
      <c r="M121" s="46" t="s">
        <v>1869</v>
      </c>
      <c r="N121" s="46" t="s">
        <v>60</v>
      </c>
      <c r="O121" s="46"/>
      <c r="P121" s="46" t="s">
        <v>2077</v>
      </c>
      <c r="Q121" s="46" t="s">
        <v>2091</v>
      </c>
      <c r="R121" s="46">
        <v>9354241930</v>
      </c>
      <c r="S121" s="47">
        <v>46134</v>
      </c>
      <c r="T121" s="46" t="s">
        <v>1990</v>
      </c>
      <c r="U121" s="48" t="s">
        <v>968</v>
      </c>
      <c r="V121" s="48" t="s">
        <v>61</v>
      </c>
      <c r="W121" s="46" t="s">
        <v>2502</v>
      </c>
      <c r="X121" s="46" t="s">
        <v>2719</v>
      </c>
      <c r="Y121" s="46" t="s">
        <v>2503</v>
      </c>
      <c r="Z121" s="74" t="s">
        <v>1738</v>
      </c>
      <c r="AA121" s="10"/>
    </row>
    <row r="122" spans="1:27" x14ac:dyDescent="0.25">
      <c r="A122" s="58">
        <v>140</v>
      </c>
      <c r="B122" s="33" t="s">
        <v>60</v>
      </c>
      <c r="C122" s="34">
        <v>243984</v>
      </c>
      <c r="D122" s="35" t="s">
        <v>40</v>
      </c>
      <c r="E122" s="35" t="s">
        <v>61</v>
      </c>
      <c r="F122" s="35" t="s">
        <v>1584</v>
      </c>
      <c r="G122" s="36" t="s">
        <v>352</v>
      </c>
      <c r="H122" s="35" t="s">
        <v>1715</v>
      </c>
      <c r="I122" s="37" t="s">
        <v>1646</v>
      </c>
      <c r="J122" s="37" t="s">
        <v>1646</v>
      </c>
      <c r="K122" s="35" t="s">
        <v>1798</v>
      </c>
      <c r="L122" s="46" t="s">
        <v>1798</v>
      </c>
      <c r="M122" s="46" t="s">
        <v>1869</v>
      </c>
      <c r="N122" s="46" t="s">
        <v>60</v>
      </c>
      <c r="O122" s="46"/>
      <c r="P122" s="46" t="s">
        <v>2054</v>
      </c>
      <c r="Q122" s="46" t="s">
        <v>2092</v>
      </c>
      <c r="R122" s="46">
        <v>7753851136</v>
      </c>
      <c r="S122" s="47">
        <v>46118</v>
      </c>
      <c r="T122" s="46" t="s">
        <v>1990</v>
      </c>
      <c r="U122" s="48" t="s">
        <v>1584</v>
      </c>
      <c r="V122" s="48" t="s">
        <v>61</v>
      </c>
      <c r="W122" s="46" t="s">
        <v>2697</v>
      </c>
      <c r="X122" s="46" t="s">
        <v>2698</v>
      </c>
      <c r="Y122" s="46" t="s">
        <v>143</v>
      </c>
      <c r="Z122" s="74" t="s">
        <v>1715</v>
      </c>
      <c r="AA122" s="10"/>
    </row>
    <row r="123" spans="1:27" x14ac:dyDescent="0.25">
      <c r="A123" s="58">
        <v>141</v>
      </c>
      <c r="B123" s="33" t="s">
        <v>1849</v>
      </c>
      <c r="C123" s="34">
        <v>310994</v>
      </c>
      <c r="D123" s="35" t="s">
        <v>40</v>
      </c>
      <c r="E123" s="35" t="s">
        <v>129</v>
      </c>
      <c r="F123" s="35" t="s">
        <v>129</v>
      </c>
      <c r="G123" s="36" t="s">
        <v>352</v>
      </c>
      <c r="H123" s="35" t="s">
        <v>1732</v>
      </c>
      <c r="I123" s="37" t="s">
        <v>1666</v>
      </c>
      <c r="J123" s="37" t="s">
        <v>1666</v>
      </c>
      <c r="K123" s="35" t="s">
        <v>1975</v>
      </c>
      <c r="L123" s="46" t="s">
        <v>1975</v>
      </c>
      <c r="M123" s="46" t="s">
        <v>1869</v>
      </c>
      <c r="N123" s="46" t="s">
        <v>60</v>
      </c>
      <c r="O123" s="46"/>
      <c r="P123" s="46" t="s">
        <v>2065</v>
      </c>
      <c r="Q123" s="46" t="s">
        <v>2346</v>
      </c>
      <c r="R123" s="46">
        <v>9217935065</v>
      </c>
      <c r="S123" s="47">
        <v>46119</v>
      </c>
      <c r="T123" s="46" t="s">
        <v>1990</v>
      </c>
      <c r="U123" s="48" t="s">
        <v>96</v>
      </c>
      <c r="V123" s="48" t="s">
        <v>61</v>
      </c>
      <c r="W123" s="46" t="s">
        <v>2504</v>
      </c>
      <c r="X123" s="46" t="s">
        <v>2505</v>
      </c>
      <c r="Y123" s="46" t="s">
        <v>60</v>
      </c>
      <c r="Z123" s="74" t="s">
        <v>1732</v>
      </c>
      <c r="AA123" s="10"/>
    </row>
    <row r="124" spans="1:27" x14ac:dyDescent="0.25">
      <c r="A124" s="58">
        <v>142</v>
      </c>
      <c r="B124" s="33" t="s">
        <v>60</v>
      </c>
      <c r="C124" s="34">
        <v>363994</v>
      </c>
      <c r="D124" s="35" t="s">
        <v>40</v>
      </c>
      <c r="E124" s="35" t="s">
        <v>61</v>
      </c>
      <c r="F124" s="35" t="s">
        <v>270</v>
      </c>
      <c r="G124" s="36" t="s">
        <v>352</v>
      </c>
      <c r="H124" s="35" t="s">
        <v>1752</v>
      </c>
      <c r="I124" s="37" t="s">
        <v>1685</v>
      </c>
      <c r="J124" s="37" t="s">
        <v>1685</v>
      </c>
      <c r="K124" s="35" t="s">
        <v>1838</v>
      </c>
      <c r="L124" s="46" t="s">
        <v>1838</v>
      </c>
      <c r="M124" s="46" t="s">
        <v>1869</v>
      </c>
      <c r="N124" s="46" t="s">
        <v>60</v>
      </c>
      <c r="O124" s="46"/>
      <c r="P124" s="46" t="s">
        <v>2087</v>
      </c>
      <c r="Q124" s="46" t="s">
        <v>2092</v>
      </c>
      <c r="R124" s="46">
        <v>7753851136</v>
      </c>
      <c r="S124" s="47">
        <v>46125</v>
      </c>
      <c r="T124" s="46" t="s">
        <v>1990</v>
      </c>
      <c r="U124" s="48" t="s">
        <v>270</v>
      </c>
      <c r="V124" s="48" t="s">
        <v>61</v>
      </c>
      <c r="W124" s="46" t="s">
        <v>2506</v>
      </c>
      <c r="X124" s="46" t="s">
        <v>2507</v>
      </c>
      <c r="Y124" s="46" t="s">
        <v>579</v>
      </c>
      <c r="Z124" s="74" t="s">
        <v>1752</v>
      </c>
      <c r="AA124" s="10"/>
    </row>
    <row r="125" spans="1:27" x14ac:dyDescent="0.25">
      <c r="A125" s="58">
        <v>144</v>
      </c>
      <c r="B125" s="33" t="s">
        <v>60</v>
      </c>
      <c r="C125" s="34">
        <v>56283</v>
      </c>
      <c r="D125" s="35" t="s">
        <v>40</v>
      </c>
      <c r="E125" s="35" t="s">
        <v>61</v>
      </c>
      <c r="F125" s="35" t="s">
        <v>62</v>
      </c>
      <c r="G125" s="36" t="s">
        <v>352</v>
      </c>
      <c r="H125" s="35" t="s">
        <v>1749</v>
      </c>
      <c r="I125" s="37" t="s">
        <v>1683</v>
      </c>
      <c r="J125" s="37" t="s">
        <v>1683</v>
      </c>
      <c r="K125" s="35" t="s">
        <v>1836</v>
      </c>
      <c r="L125" s="46" t="s">
        <v>1836</v>
      </c>
      <c r="M125" s="46" t="s">
        <v>1869</v>
      </c>
      <c r="N125" s="46" t="s">
        <v>60</v>
      </c>
      <c r="O125" s="46"/>
      <c r="P125" s="46" t="s">
        <v>2085</v>
      </c>
      <c r="Q125" s="46" t="s">
        <v>1994</v>
      </c>
      <c r="R125" s="46">
        <v>9810670823</v>
      </c>
      <c r="S125" s="47">
        <v>46126</v>
      </c>
      <c r="T125" s="46" t="s">
        <v>1990</v>
      </c>
      <c r="U125" s="48" t="s">
        <v>62</v>
      </c>
      <c r="V125" s="48" t="s">
        <v>61</v>
      </c>
      <c r="W125" s="46" t="s">
        <v>2506</v>
      </c>
      <c r="X125" s="46" t="s">
        <v>2507</v>
      </c>
      <c r="Y125" s="46" t="s">
        <v>579</v>
      </c>
      <c r="Z125" s="74" t="s">
        <v>1749</v>
      </c>
      <c r="AA125" s="10"/>
    </row>
    <row r="126" spans="1:27" x14ac:dyDescent="0.25">
      <c r="A126" s="58">
        <v>146</v>
      </c>
      <c r="B126" s="33" t="s">
        <v>666</v>
      </c>
      <c r="C126" s="34">
        <v>13052</v>
      </c>
      <c r="D126" s="35" t="s">
        <v>40</v>
      </c>
      <c r="E126" s="35" t="s">
        <v>61</v>
      </c>
      <c r="F126" s="35" t="s">
        <v>856</v>
      </c>
      <c r="G126" s="36" t="s">
        <v>352</v>
      </c>
      <c r="H126" s="35" t="s">
        <v>667</v>
      </c>
      <c r="I126" s="37" t="s">
        <v>668</v>
      </c>
      <c r="J126" s="37" t="s">
        <v>668</v>
      </c>
      <c r="K126" s="35" t="s">
        <v>669</v>
      </c>
      <c r="L126" s="46" t="s">
        <v>669</v>
      </c>
      <c r="M126" s="46" t="s">
        <v>1869</v>
      </c>
      <c r="N126" s="46" t="s">
        <v>60</v>
      </c>
      <c r="O126" s="46"/>
      <c r="P126" s="46" t="s">
        <v>2286</v>
      </c>
      <c r="Q126" s="46" t="s">
        <v>2346</v>
      </c>
      <c r="R126" s="46">
        <v>9217935065</v>
      </c>
      <c r="S126" s="47">
        <v>46130</v>
      </c>
      <c r="T126" s="46" t="s">
        <v>1990</v>
      </c>
      <c r="U126" s="48" t="s">
        <v>654</v>
      </c>
      <c r="V126" s="48" t="s">
        <v>61</v>
      </c>
      <c r="W126" s="46" t="s">
        <v>2508</v>
      </c>
      <c r="X126" s="46" t="s">
        <v>2509</v>
      </c>
      <c r="Y126" s="46" t="s">
        <v>2510</v>
      </c>
      <c r="Z126" s="74" t="s">
        <v>667</v>
      </c>
      <c r="AA126" s="10"/>
    </row>
    <row r="127" spans="1:27" x14ac:dyDescent="0.25">
      <c r="A127" s="58">
        <v>147</v>
      </c>
      <c r="B127" s="33" t="s">
        <v>60</v>
      </c>
      <c r="C127" s="34">
        <v>165960</v>
      </c>
      <c r="D127" s="35" t="s">
        <v>103</v>
      </c>
      <c r="E127" s="35" t="s">
        <v>104</v>
      </c>
      <c r="F127" s="35" t="s">
        <v>105</v>
      </c>
      <c r="G127" s="36" t="s">
        <v>352</v>
      </c>
      <c r="H127" s="35" t="s">
        <v>883</v>
      </c>
      <c r="I127" s="37" t="s">
        <v>1648</v>
      </c>
      <c r="J127" s="37" t="s">
        <v>1648</v>
      </c>
      <c r="K127" s="35" t="s">
        <v>1893</v>
      </c>
      <c r="L127" s="46" t="s">
        <v>1893</v>
      </c>
      <c r="M127" s="46" t="s">
        <v>1869</v>
      </c>
      <c r="N127" s="46" t="s">
        <v>60</v>
      </c>
      <c r="O127" s="46"/>
      <c r="P127" s="46" t="s">
        <v>2295</v>
      </c>
      <c r="Q127" s="46" t="s">
        <v>2091</v>
      </c>
      <c r="R127" s="46">
        <v>9354241930</v>
      </c>
      <c r="S127" s="47">
        <v>46121</v>
      </c>
      <c r="T127" s="46" t="s">
        <v>1990</v>
      </c>
      <c r="U127" s="48" t="s">
        <v>105</v>
      </c>
      <c r="V127" s="48" t="s">
        <v>104</v>
      </c>
      <c r="W127" s="46" t="s">
        <v>2511</v>
      </c>
      <c r="X127" s="46" t="s">
        <v>2512</v>
      </c>
      <c r="Y127" s="46" t="s">
        <v>95</v>
      </c>
      <c r="Z127" s="74" t="s">
        <v>883</v>
      </c>
      <c r="AA127" s="10"/>
    </row>
    <row r="128" spans="1:27" x14ac:dyDescent="0.25">
      <c r="A128" s="58">
        <v>149</v>
      </c>
      <c r="B128" s="33" t="s">
        <v>862</v>
      </c>
      <c r="C128" s="34">
        <v>24898</v>
      </c>
      <c r="D128" s="35" t="s">
        <v>103</v>
      </c>
      <c r="E128" s="35" t="s">
        <v>104</v>
      </c>
      <c r="F128" s="35" t="s">
        <v>105</v>
      </c>
      <c r="G128" s="36" t="s">
        <v>352</v>
      </c>
      <c r="H128" s="35" t="s">
        <v>1713</v>
      </c>
      <c r="I128" s="37" t="s">
        <v>1645</v>
      </c>
      <c r="J128" s="37" t="s">
        <v>1645</v>
      </c>
      <c r="K128" s="35" t="s">
        <v>1796</v>
      </c>
      <c r="L128" s="46" t="s">
        <v>1796</v>
      </c>
      <c r="M128" s="46" t="s">
        <v>1869</v>
      </c>
      <c r="N128" s="46" t="s">
        <v>60</v>
      </c>
      <c r="O128" s="46"/>
      <c r="P128" s="46" t="s">
        <v>2053</v>
      </c>
      <c r="Q128" s="46" t="s">
        <v>2091</v>
      </c>
      <c r="R128" s="46">
        <v>9354241930</v>
      </c>
      <c r="S128" s="47">
        <v>46120</v>
      </c>
      <c r="T128" s="46" t="s">
        <v>1990</v>
      </c>
      <c r="U128" s="48" t="s">
        <v>105</v>
      </c>
      <c r="V128" s="48" t="s">
        <v>104</v>
      </c>
      <c r="W128" s="46" t="s">
        <v>2513</v>
      </c>
      <c r="X128" s="46" t="s">
        <v>2514</v>
      </c>
      <c r="Y128" s="46" t="s">
        <v>95</v>
      </c>
      <c r="Z128" s="74" t="s">
        <v>1713</v>
      </c>
      <c r="AA128" s="10"/>
    </row>
    <row r="129" spans="1:27" x14ac:dyDescent="0.25">
      <c r="A129" s="58">
        <v>150</v>
      </c>
      <c r="B129" s="33" t="s">
        <v>1851</v>
      </c>
      <c r="C129" s="34">
        <v>400003</v>
      </c>
      <c r="D129" s="35" t="s">
        <v>103</v>
      </c>
      <c r="E129" s="35" t="s">
        <v>104</v>
      </c>
      <c r="F129" s="35" t="s">
        <v>105</v>
      </c>
      <c r="G129" s="36" t="s">
        <v>352</v>
      </c>
      <c r="H129" s="35" t="s">
        <v>1750</v>
      </c>
      <c r="I129" s="37" t="s">
        <v>1244</v>
      </c>
      <c r="J129" s="37" t="s">
        <v>1244</v>
      </c>
      <c r="K129" s="35" t="s">
        <v>1837</v>
      </c>
      <c r="L129" s="46" t="s">
        <v>1837</v>
      </c>
      <c r="M129" s="46" t="s">
        <v>1869</v>
      </c>
      <c r="N129" s="46" t="s">
        <v>60</v>
      </c>
      <c r="O129" s="46"/>
      <c r="P129" s="46" t="s">
        <v>2318</v>
      </c>
      <c r="Q129" s="46" t="s">
        <v>2091</v>
      </c>
      <c r="R129" s="46">
        <v>9354241930</v>
      </c>
      <c r="S129" s="47">
        <v>46122</v>
      </c>
      <c r="T129" s="46" t="s">
        <v>1990</v>
      </c>
      <c r="U129" s="48" t="s">
        <v>105</v>
      </c>
      <c r="V129" s="48" t="s">
        <v>104</v>
      </c>
      <c r="W129" s="46" t="s">
        <v>2515</v>
      </c>
      <c r="X129" s="46" t="s">
        <v>2516</v>
      </c>
      <c r="Y129" s="46" t="s">
        <v>60</v>
      </c>
      <c r="Z129" s="74" t="s">
        <v>1750</v>
      </c>
      <c r="AA129" s="10"/>
    </row>
    <row r="130" spans="1:27" x14ac:dyDescent="0.25">
      <c r="A130" s="58">
        <v>151</v>
      </c>
      <c r="B130" s="33" t="s">
        <v>290</v>
      </c>
      <c r="C130" s="34">
        <v>25936</v>
      </c>
      <c r="D130" s="35" t="s">
        <v>40</v>
      </c>
      <c r="E130" s="35" t="s">
        <v>129</v>
      </c>
      <c r="F130" s="35" t="s">
        <v>129</v>
      </c>
      <c r="G130" s="36" t="s">
        <v>185</v>
      </c>
      <c r="H130" s="35" t="s">
        <v>291</v>
      </c>
      <c r="I130" s="37" t="s">
        <v>292</v>
      </c>
      <c r="J130" s="37" t="s">
        <v>292</v>
      </c>
      <c r="K130" s="35" t="s">
        <v>293</v>
      </c>
      <c r="L130" s="46" t="s">
        <v>293</v>
      </c>
      <c r="M130" s="46" t="s">
        <v>1869</v>
      </c>
      <c r="N130" s="46" t="s">
        <v>60</v>
      </c>
      <c r="O130" s="46"/>
      <c r="P130" s="46" t="s">
        <v>2008</v>
      </c>
      <c r="Q130" s="46" t="s">
        <v>2346</v>
      </c>
      <c r="R130" s="46">
        <v>9217935065</v>
      </c>
      <c r="S130" s="47">
        <v>46121</v>
      </c>
      <c r="T130" s="46" t="s">
        <v>1990</v>
      </c>
      <c r="U130" s="48" t="s">
        <v>129</v>
      </c>
      <c r="V130" s="48" t="s">
        <v>129</v>
      </c>
      <c r="W130" s="46" t="s">
        <v>2517</v>
      </c>
      <c r="X130" s="46" t="s">
        <v>2518</v>
      </c>
      <c r="Y130" s="46" t="s">
        <v>2810</v>
      </c>
      <c r="Z130" s="74" t="s">
        <v>291</v>
      </c>
      <c r="AA130" s="10"/>
    </row>
    <row r="131" spans="1:27" x14ac:dyDescent="0.25">
      <c r="A131" s="58">
        <v>152</v>
      </c>
      <c r="B131" s="33" t="s">
        <v>281</v>
      </c>
      <c r="C131" s="34">
        <v>28512</v>
      </c>
      <c r="D131" s="35" t="s">
        <v>40</v>
      </c>
      <c r="E131" s="35" t="s">
        <v>129</v>
      </c>
      <c r="F131" s="35" t="s">
        <v>129</v>
      </c>
      <c r="G131" s="36" t="s">
        <v>185</v>
      </c>
      <c r="H131" s="35" t="s">
        <v>1958</v>
      </c>
      <c r="I131" s="37" t="s">
        <v>283</v>
      </c>
      <c r="J131" s="37" t="s">
        <v>283</v>
      </c>
      <c r="K131" s="35" t="s">
        <v>1877</v>
      </c>
      <c r="L131" s="46" t="s">
        <v>1877</v>
      </c>
      <c r="M131" s="46" t="s">
        <v>1869</v>
      </c>
      <c r="N131" s="46" t="s">
        <v>60</v>
      </c>
      <c r="O131" s="46"/>
      <c r="P131" s="46" t="s">
        <v>2006</v>
      </c>
      <c r="Q131" s="46" t="s">
        <v>2097</v>
      </c>
      <c r="R131" s="46">
        <v>9149204613</v>
      </c>
      <c r="S131" s="47">
        <v>46128</v>
      </c>
      <c r="T131" s="46" t="s">
        <v>1990</v>
      </c>
      <c r="U131" s="48" t="s">
        <v>129</v>
      </c>
      <c r="V131" s="48" t="s">
        <v>129</v>
      </c>
      <c r="W131" s="46" t="s">
        <v>2785</v>
      </c>
      <c r="X131" s="46" t="s">
        <v>2786</v>
      </c>
      <c r="Y131" s="46" t="s">
        <v>2811</v>
      </c>
      <c r="Z131" s="74" t="s">
        <v>1958</v>
      </c>
      <c r="AA131" s="10"/>
    </row>
    <row r="132" spans="1:27" x14ac:dyDescent="0.25">
      <c r="A132" s="58">
        <v>153</v>
      </c>
      <c r="B132" s="33" t="s">
        <v>225</v>
      </c>
      <c r="C132" s="34">
        <v>26089</v>
      </c>
      <c r="D132" s="35" t="s">
        <v>103</v>
      </c>
      <c r="E132" s="35" t="s">
        <v>237</v>
      </c>
      <c r="F132" s="35" t="s">
        <v>226</v>
      </c>
      <c r="G132" s="36" t="s">
        <v>185</v>
      </c>
      <c r="H132" s="35" t="s">
        <v>227</v>
      </c>
      <c r="I132" s="37" t="s">
        <v>228</v>
      </c>
      <c r="J132" s="37" t="s">
        <v>228</v>
      </c>
      <c r="K132" s="35" t="s">
        <v>1759</v>
      </c>
      <c r="L132" s="46" t="s">
        <v>1759</v>
      </c>
      <c r="M132" s="46" t="s">
        <v>1869</v>
      </c>
      <c r="N132" s="46" t="s">
        <v>60</v>
      </c>
      <c r="O132" s="46"/>
      <c r="P132" s="46" t="s">
        <v>2273</v>
      </c>
      <c r="Q132" s="46" t="s">
        <v>2091</v>
      </c>
      <c r="R132" s="46">
        <v>9354241930</v>
      </c>
      <c r="S132" s="47">
        <v>46126</v>
      </c>
      <c r="T132" s="46" t="s">
        <v>1990</v>
      </c>
      <c r="U132" s="48" t="s">
        <v>226</v>
      </c>
      <c r="V132" s="48" t="s">
        <v>237</v>
      </c>
      <c r="W132" s="46" t="s">
        <v>2519</v>
      </c>
      <c r="X132" s="46" t="s">
        <v>2720</v>
      </c>
      <c r="Y132" s="46" t="s">
        <v>2787</v>
      </c>
      <c r="Z132" s="74" t="s">
        <v>227</v>
      </c>
      <c r="AA132" s="10"/>
    </row>
    <row r="133" spans="1:27" x14ac:dyDescent="0.25">
      <c r="A133" s="58">
        <v>154</v>
      </c>
      <c r="B133" s="33" t="s">
        <v>184</v>
      </c>
      <c r="C133" s="34">
        <v>24908</v>
      </c>
      <c r="D133" s="35" t="s">
        <v>40</v>
      </c>
      <c r="E133" s="35" t="s">
        <v>96</v>
      </c>
      <c r="F133" s="35" t="s">
        <v>1595</v>
      </c>
      <c r="G133" s="36" t="s">
        <v>185</v>
      </c>
      <c r="H133" s="35" t="s">
        <v>186</v>
      </c>
      <c r="I133" s="37" t="s">
        <v>187</v>
      </c>
      <c r="J133" s="37" t="s">
        <v>187</v>
      </c>
      <c r="K133" s="35" t="s">
        <v>188</v>
      </c>
      <c r="L133" s="46" t="s">
        <v>188</v>
      </c>
      <c r="M133" s="46" t="s">
        <v>1869</v>
      </c>
      <c r="N133" s="46" t="s">
        <v>60</v>
      </c>
      <c r="O133" s="46"/>
      <c r="P133" s="46" t="s">
        <v>2001</v>
      </c>
      <c r="Q133" s="46" t="s">
        <v>2093</v>
      </c>
      <c r="R133" s="46">
        <v>9990034588</v>
      </c>
      <c r="S133" s="47">
        <v>46130</v>
      </c>
      <c r="T133" s="46" t="s">
        <v>1990</v>
      </c>
      <c r="U133" s="48" t="s">
        <v>42</v>
      </c>
      <c r="V133" s="48" t="s">
        <v>41</v>
      </c>
      <c r="W133" s="46" t="s">
        <v>2699</v>
      </c>
      <c r="X133" s="46" t="s">
        <v>2721</v>
      </c>
      <c r="Y133" s="46" t="s">
        <v>2788</v>
      </c>
      <c r="Z133" s="74" t="s">
        <v>186</v>
      </c>
      <c r="AA133" s="10"/>
    </row>
    <row r="134" spans="1:27" x14ac:dyDescent="0.25">
      <c r="A134" s="58">
        <v>155</v>
      </c>
      <c r="B134" s="33" t="s">
        <v>451</v>
      </c>
      <c r="C134" s="34">
        <v>25428</v>
      </c>
      <c r="D134" s="35" t="s">
        <v>40</v>
      </c>
      <c r="E134" s="35" t="s">
        <v>199</v>
      </c>
      <c r="F134" s="35" t="s">
        <v>452</v>
      </c>
      <c r="G134" s="36" t="s">
        <v>185</v>
      </c>
      <c r="H134" s="35" t="s">
        <v>453</v>
      </c>
      <c r="I134" s="37" t="s">
        <v>454</v>
      </c>
      <c r="J134" s="37" t="s">
        <v>454</v>
      </c>
      <c r="K134" s="35" t="s">
        <v>455</v>
      </c>
      <c r="L134" s="46" t="s">
        <v>455</v>
      </c>
      <c r="M134" s="46" t="s">
        <v>1869</v>
      </c>
      <c r="N134" s="46" t="s">
        <v>3415</v>
      </c>
      <c r="O134" s="46"/>
      <c r="P134" s="46" t="s">
        <v>2020</v>
      </c>
      <c r="Q134" s="46" t="s">
        <v>2096</v>
      </c>
      <c r="R134" s="46">
        <v>7688959606</v>
      </c>
      <c r="S134" s="47">
        <v>46123</v>
      </c>
      <c r="T134" s="46" t="s">
        <v>1990</v>
      </c>
      <c r="U134" s="48" t="s">
        <v>452</v>
      </c>
      <c r="V134" s="48" t="s">
        <v>199</v>
      </c>
      <c r="W134" s="46" t="s">
        <v>2700</v>
      </c>
      <c r="X134" s="46" t="s">
        <v>2701</v>
      </c>
      <c r="Y134" s="46" t="s">
        <v>2789</v>
      </c>
      <c r="Z134" s="74" t="s">
        <v>453</v>
      </c>
      <c r="AA134" s="10"/>
    </row>
    <row r="135" spans="1:27" x14ac:dyDescent="0.25">
      <c r="A135" s="58">
        <v>157</v>
      </c>
      <c r="B135" s="33" t="s">
        <v>213</v>
      </c>
      <c r="C135" s="34">
        <v>54034</v>
      </c>
      <c r="D135" s="35" t="s">
        <v>40</v>
      </c>
      <c r="E135" s="35" t="s">
        <v>199</v>
      </c>
      <c r="F135" s="35" t="s">
        <v>214</v>
      </c>
      <c r="G135" s="36" t="s">
        <v>185</v>
      </c>
      <c r="H135" s="35" t="s">
        <v>1946</v>
      </c>
      <c r="I135" s="37" t="s">
        <v>216</v>
      </c>
      <c r="J135" s="37" t="s">
        <v>216</v>
      </c>
      <c r="K135" s="35" t="s">
        <v>1916</v>
      </c>
      <c r="L135" s="46" t="s">
        <v>1886</v>
      </c>
      <c r="M135" s="46" t="s">
        <v>1869</v>
      </c>
      <c r="N135" s="46" t="s">
        <v>60</v>
      </c>
      <c r="O135" s="46"/>
      <c r="P135" s="46" t="s">
        <v>2002</v>
      </c>
      <c r="Q135" s="46" t="s">
        <v>2096</v>
      </c>
      <c r="R135" s="46">
        <v>7688959606</v>
      </c>
      <c r="S135" s="47">
        <v>46132</v>
      </c>
      <c r="T135" s="46" t="s">
        <v>1990</v>
      </c>
      <c r="U135" s="48" t="s">
        <v>214</v>
      </c>
      <c r="V135" s="48" t="s">
        <v>199</v>
      </c>
      <c r="W135" s="46" t="s">
        <v>2790</v>
      </c>
      <c r="X135" s="46" t="s">
        <v>2791</v>
      </c>
      <c r="Y135" s="46" t="s">
        <v>2792</v>
      </c>
      <c r="Z135" s="74" t="s">
        <v>1946</v>
      </c>
      <c r="AA135" s="10"/>
    </row>
    <row r="136" spans="1:27" x14ac:dyDescent="0.25">
      <c r="A136" s="58">
        <v>158</v>
      </c>
      <c r="B136" s="33" t="s">
        <v>915</v>
      </c>
      <c r="C136" s="34">
        <v>26440</v>
      </c>
      <c r="D136" s="35" t="s">
        <v>40</v>
      </c>
      <c r="E136" s="35" t="s">
        <v>199</v>
      </c>
      <c r="F136" s="35" t="s">
        <v>214</v>
      </c>
      <c r="G136" s="36" t="s">
        <v>185</v>
      </c>
      <c r="H136" s="35" t="s">
        <v>916</v>
      </c>
      <c r="I136" s="37" t="s">
        <v>917</v>
      </c>
      <c r="J136" s="37" t="s">
        <v>917</v>
      </c>
      <c r="K136" s="35" t="s">
        <v>918</v>
      </c>
      <c r="L136" s="46" t="s">
        <v>918</v>
      </c>
      <c r="M136" s="46" t="s">
        <v>1869</v>
      </c>
      <c r="N136" s="46" t="s">
        <v>60</v>
      </c>
      <c r="O136" s="46"/>
      <c r="P136" s="46" t="s">
        <v>2059</v>
      </c>
      <c r="Q136" s="46" t="s">
        <v>2096</v>
      </c>
      <c r="R136" s="46">
        <v>7688959606</v>
      </c>
      <c r="S136" s="47">
        <v>46133</v>
      </c>
      <c r="T136" s="46" t="s">
        <v>1990</v>
      </c>
      <c r="U136" s="48" t="s">
        <v>214</v>
      </c>
      <c r="V136" s="48" t="s">
        <v>199</v>
      </c>
      <c r="W136" s="46" t="s">
        <v>2520</v>
      </c>
      <c r="X136" s="46" t="s">
        <v>2585</v>
      </c>
      <c r="Y136" s="46" t="s">
        <v>2793</v>
      </c>
      <c r="Z136" s="74" t="s">
        <v>916</v>
      </c>
      <c r="AA136" s="10"/>
    </row>
    <row r="137" spans="1:27" x14ac:dyDescent="0.25">
      <c r="A137" s="58">
        <v>159</v>
      </c>
      <c r="B137" s="33" t="s">
        <v>281</v>
      </c>
      <c r="C137" s="34">
        <v>28512</v>
      </c>
      <c r="D137" s="35" t="s">
        <v>40</v>
      </c>
      <c r="E137" s="35" t="s">
        <v>61</v>
      </c>
      <c r="F137" s="35" t="s">
        <v>62</v>
      </c>
      <c r="G137" s="36" t="s">
        <v>185</v>
      </c>
      <c r="H137" s="35" t="s">
        <v>1959</v>
      </c>
      <c r="I137" s="37" t="s">
        <v>283</v>
      </c>
      <c r="J137" s="37" t="s">
        <v>283</v>
      </c>
      <c r="K137" s="35" t="s">
        <v>1878</v>
      </c>
      <c r="L137" s="46" t="s">
        <v>1878</v>
      </c>
      <c r="M137" s="46" t="s">
        <v>1869</v>
      </c>
      <c r="N137" s="46" t="s">
        <v>60</v>
      </c>
      <c r="O137" s="46"/>
      <c r="P137" s="46" t="s">
        <v>2007</v>
      </c>
      <c r="Q137" s="46" t="s">
        <v>1994</v>
      </c>
      <c r="R137" s="46">
        <v>9810670823</v>
      </c>
      <c r="S137" s="47">
        <v>46130</v>
      </c>
      <c r="T137" s="46" t="s">
        <v>1990</v>
      </c>
      <c r="U137" s="48" t="s">
        <v>62</v>
      </c>
      <c r="V137" s="48" t="s">
        <v>61</v>
      </c>
      <c r="W137" s="46" t="s">
        <v>2785</v>
      </c>
      <c r="X137" s="46" t="s">
        <v>2786</v>
      </c>
      <c r="Y137" s="46" t="s">
        <v>2811</v>
      </c>
      <c r="Z137" s="74" t="s">
        <v>1959</v>
      </c>
      <c r="AA137" s="10"/>
    </row>
    <row r="138" spans="1:27" x14ac:dyDescent="0.25">
      <c r="A138" s="58">
        <v>160</v>
      </c>
      <c r="B138" s="33" t="s">
        <v>682</v>
      </c>
      <c r="C138" s="34">
        <v>25732</v>
      </c>
      <c r="D138" s="35" t="s">
        <v>103</v>
      </c>
      <c r="E138" s="35" t="s">
        <v>104</v>
      </c>
      <c r="F138" s="35" t="s">
        <v>105</v>
      </c>
      <c r="G138" s="36" t="s">
        <v>185</v>
      </c>
      <c r="H138" s="35" t="s">
        <v>1702</v>
      </c>
      <c r="I138" s="37" t="s">
        <v>684</v>
      </c>
      <c r="J138" s="37" t="s">
        <v>684</v>
      </c>
      <c r="K138" s="35" t="s">
        <v>685</v>
      </c>
      <c r="L138" s="46" t="s">
        <v>685</v>
      </c>
      <c r="M138" s="46" t="s">
        <v>1869</v>
      </c>
      <c r="N138" s="46" t="s">
        <v>60</v>
      </c>
      <c r="O138" s="46"/>
      <c r="P138" s="46" t="s">
        <v>2287</v>
      </c>
      <c r="Q138" s="46" t="s">
        <v>2094</v>
      </c>
      <c r="R138" s="46">
        <v>8287823681</v>
      </c>
      <c r="S138" s="47">
        <v>46132</v>
      </c>
      <c r="T138" s="46" t="s">
        <v>1990</v>
      </c>
      <c r="U138" s="48" t="s">
        <v>105</v>
      </c>
      <c r="V138" s="48" t="s">
        <v>104</v>
      </c>
      <c r="W138" s="46" t="s">
        <v>2794</v>
      </c>
      <c r="X138" s="46" t="s">
        <v>2795</v>
      </c>
      <c r="Y138" s="46" t="s">
        <v>2796</v>
      </c>
      <c r="Z138" s="74" t="s">
        <v>1702</v>
      </c>
      <c r="AA138" s="10"/>
    </row>
    <row r="139" spans="1:27" x14ac:dyDescent="0.25">
      <c r="A139" s="58">
        <v>161</v>
      </c>
      <c r="B139" s="33" t="s">
        <v>170</v>
      </c>
      <c r="C139" s="34">
        <v>26147</v>
      </c>
      <c r="D139" s="35" t="s">
        <v>40</v>
      </c>
      <c r="E139" s="35" t="s">
        <v>129</v>
      </c>
      <c r="F139" s="35" t="s">
        <v>129</v>
      </c>
      <c r="G139" s="36" t="s">
        <v>171</v>
      </c>
      <c r="H139" s="35" t="s">
        <v>172</v>
      </c>
      <c r="I139" s="37" t="s">
        <v>173</v>
      </c>
      <c r="J139" s="37" t="s">
        <v>173</v>
      </c>
      <c r="K139" s="35" t="s">
        <v>174</v>
      </c>
      <c r="L139" s="46" t="s">
        <v>174</v>
      </c>
      <c r="M139" s="46" t="s">
        <v>1869</v>
      </c>
      <c r="N139" s="46" t="s">
        <v>60</v>
      </c>
      <c r="O139" s="46"/>
      <c r="P139" s="46" t="s">
        <v>2271</v>
      </c>
      <c r="Q139" s="46" t="s">
        <v>2346</v>
      </c>
      <c r="R139" s="46">
        <v>9217935065</v>
      </c>
      <c r="S139" s="47">
        <v>46133</v>
      </c>
      <c r="T139" s="46" t="s">
        <v>1990</v>
      </c>
      <c r="U139" s="48" t="s">
        <v>129</v>
      </c>
      <c r="V139" s="48" t="s">
        <v>129</v>
      </c>
      <c r="W139" s="46" t="s">
        <v>2521</v>
      </c>
      <c r="X139" s="46" t="s">
        <v>2522</v>
      </c>
      <c r="Y139" s="46" t="s">
        <v>2678</v>
      </c>
      <c r="Z139" s="74" t="s">
        <v>172</v>
      </c>
      <c r="AA139" s="10"/>
    </row>
    <row r="140" spans="1:27" x14ac:dyDescent="0.25">
      <c r="A140" s="58">
        <v>162</v>
      </c>
      <c r="B140" s="33" t="s">
        <v>60</v>
      </c>
      <c r="C140" s="34">
        <v>317020</v>
      </c>
      <c r="D140" s="35" t="s">
        <v>103</v>
      </c>
      <c r="E140" s="35" t="s">
        <v>968</v>
      </c>
      <c r="F140" s="35" t="s">
        <v>414</v>
      </c>
      <c r="G140" s="36" t="s">
        <v>63</v>
      </c>
      <c r="H140" s="35" t="s">
        <v>1873</v>
      </c>
      <c r="I140" s="37" t="s">
        <v>1963</v>
      </c>
      <c r="J140" s="37" t="s">
        <v>1963</v>
      </c>
      <c r="K140" s="35" t="s">
        <v>1876</v>
      </c>
      <c r="L140" s="46" t="s">
        <v>1876</v>
      </c>
      <c r="M140" s="46" t="s">
        <v>1869</v>
      </c>
      <c r="N140" s="46" t="s">
        <v>60</v>
      </c>
      <c r="O140" s="46"/>
      <c r="P140" s="46" t="s">
        <v>1963</v>
      </c>
      <c r="Q140" s="46" t="s">
        <v>2091</v>
      </c>
      <c r="R140" s="46">
        <v>9354241930</v>
      </c>
      <c r="S140" s="47">
        <v>46134</v>
      </c>
      <c r="T140" s="46" t="s">
        <v>1990</v>
      </c>
      <c r="U140" s="48" t="s">
        <v>414</v>
      </c>
      <c r="V140" s="48" t="s">
        <v>968</v>
      </c>
      <c r="W140" s="46" t="s">
        <v>60</v>
      </c>
      <c r="X140" s="46" t="s">
        <v>2445</v>
      </c>
      <c r="Y140" s="46" t="s">
        <v>427</v>
      </c>
      <c r="Z140" s="74" t="s">
        <v>1873</v>
      </c>
      <c r="AA140" s="10"/>
    </row>
    <row r="141" spans="1:27" x14ac:dyDescent="0.25">
      <c r="A141" s="58">
        <v>163</v>
      </c>
      <c r="B141" s="33" t="s">
        <v>341</v>
      </c>
      <c r="C141" s="34">
        <v>26224</v>
      </c>
      <c r="D141" s="35" t="s">
        <v>103</v>
      </c>
      <c r="E141" s="35" t="s">
        <v>1621</v>
      </c>
      <c r="F141" s="35" t="s">
        <v>342</v>
      </c>
      <c r="G141" s="36" t="s">
        <v>63</v>
      </c>
      <c r="H141" s="35" t="s">
        <v>1692</v>
      </c>
      <c r="I141" s="37" t="s">
        <v>344</v>
      </c>
      <c r="J141" s="37" t="s">
        <v>344</v>
      </c>
      <c r="K141" s="35" t="s">
        <v>345</v>
      </c>
      <c r="L141" s="46" t="s">
        <v>345</v>
      </c>
      <c r="M141" s="46" t="s">
        <v>1869</v>
      </c>
      <c r="N141" s="46" t="s">
        <v>60</v>
      </c>
      <c r="O141" s="46"/>
      <c r="P141" s="46" t="s">
        <v>2278</v>
      </c>
      <c r="Q141" s="46" t="s">
        <v>2098</v>
      </c>
      <c r="R141" s="46">
        <v>7460008081</v>
      </c>
      <c r="S141" s="47">
        <v>46125</v>
      </c>
      <c r="T141" s="46" t="s">
        <v>1990</v>
      </c>
      <c r="U141" s="48" t="s">
        <v>342</v>
      </c>
      <c r="V141" s="48" t="s">
        <v>1621</v>
      </c>
      <c r="W141" s="46" t="s">
        <v>60</v>
      </c>
      <c r="X141" s="46" t="s">
        <v>2722</v>
      </c>
      <c r="Y141" s="46" t="s">
        <v>2539</v>
      </c>
      <c r="Z141" s="74" t="s">
        <v>1692</v>
      </c>
      <c r="AA141" s="10"/>
    </row>
    <row r="142" spans="1:27" x14ac:dyDescent="0.25">
      <c r="A142" s="58">
        <v>164</v>
      </c>
      <c r="B142" s="33" t="s">
        <v>60</v>
      </c>
      <c r="C142" s="34">
        <v>355004</v>
      </c>
      <c r="D142" s="35" t="s">
        <v>40</v>
      </c>
      <c r="E142" s="35" t="s">
        <v>129</v>
      </c>
      <c r="F142" s="35" t="s">
        <v>129</v>
      </c>
      <c r="G142" s="36" t="s">
        <v>63</v>
      </c>
      <c r="H142" s="35" t="s">
        <v>1698</v>
      </c>
      <c r="I142" s="37" t="s">
        <v>1629</v>
      </c>
      <c r="J142" s="37" t="s">
        <v>1629</v>
      </c>
      <c r="K142" s="35" t="s">
        <v>1776</v>
      </c>
      <c r="L142" s="46" t="s">
        <v>1776</v>
      </c>
      <c r="M142" s="46" t="s">
        <v>1869</v>
      </c>
      <c r="N142" s="46" t="s">
        <v>60</v>
      </c>
      <c r="O142" s="46"/>
      <c r="P142" s="46" t="s">
        <v>2032</v>
      </c>
      <c r="Q142" s="46" t="s">
        <v>2346</v>
      </c>
      <c r="R142" s="46">
        <v>9217935065</v>
      </c>
      <c r="S142" s="47">
        <v>46136</v>
      </c>
      <c r="T142" s="46" t="s">
        <v>1990</v>
      </c>
      <c r="U142" s="48" t="s">
        <v>129</v>
      </c>
      <c r="V142" s="48" t="s">
        <v>129</v>
      </c>
      <c r="W142" s="46" t="s">
        <v>60</v>
      </c>
      <c r="X142" s="46" t="s">
        <v>2540</v>
      </c>
      <c r="Y142" s="46" t="s">
        <v>2541</v>
      </c>
      <c r="Z142" s="74" t="s">
        <v>1698</v>
      </c>
      <c r="AA142" s="10"/>
    </row>
    <row r="143" spans="1:27" x14ac:dyDescent="0.25">
      <c r="A143" s="58">
        <v>165</v>
      </c>
      <c r="B143" s="33" t="s">
        <v>60</v>
      </c>
      <c r="C143" s="34">
        <v>327007</v>
      </c>
      <c r="D143" s="35" t="s">
        <v>40</v>
      </c>
      <c r="E143" s="35" t="s">
        <v>129</v>
      </c>
      <c r="F143" s="35" t="s">
        <v>129</v>
      </c>
      <c r="G143" s="36" t="s">
        <v>63</v>
      </c>
      <c r="H143" s="35" t="s">
        <v>1717</v>
      </c>
      <c r="I143" s="37" t="s">
        <v>1650</v>
      </c>
      <c r="J143" s="37" t="s">
        <v>1650</v>
      </c>
      <c r="K143" s="35" t="s">
        <v>1801</v>
      </c>
      <c r="L143" s="46" t="s">
        <v>1801</v>
      </c>
      <c r="M143" s="46" t="s">
        <v>1869</v>
      </c>
      <c r="N143" s="46" t="s">
        <v>60</v>
      </c>
      <c r="O143" s="46"/>
      <c r="P143" s="46" t="s">
        <v>2057</v>
      </c>
      <c r="Q143" s="46" t="s">
        <v>2090</v>
      </c>
      <c r="R143" s="46">
        <v>9354183359</v>
      </c>
      <c r="S143" s="47">
        <v>46130</v>
      </c>
      <c r="T143" s="46" t="s">
        <v>1990</v>
      </c>
      <c r="U143" s="48" t="s">
        <v>129</v>
      </c>
      <c r="V143" s="48" t="s">
        <v>129</v>
      </c>
      <c r="W143" s="46" t="s">
        <v>60</v>
      </c>
      <c r="X143" s="46" t="s">
        <v>2542</v>
      </c>
      <c r="Y143" s="46" t="s">
        <v>143</v>
      </c>
      <c r="Z143" s="74" t="s">
        <v>1717</v>
      </c>
      <c r="AA143" s="10"/>
    </row>
    <row r="144" spans="1:27" x14ac:dyDescent="0.25">
      <c r="A144" s="58">
        <v>166</v>
      </c>
      <c r="B144" s="33" t="s">
        <v>60</v>
      </c>
      <c r="C144" s="34">
        <v>313994</v>
      </c>
      <c r="D144" s="35" t="s">
        <v>40</v>
      </c>
      <c r="E144" s="35" t="s">
        <v>61</v>
      </c>
      <c r="F144" s="35" t="s">
        <v>2819</v>
      </c>
      <c r="G144" s="36" t="s">
        <v>63</v>
      </c>
      <c r="H144" s="35" t="s">
        <v>1723</v>
      </c>
      <c r="I144" s="37" t="s">
        <v>1657</v>
      </c>
      <c r="J144" s="37" t="s">
        <v>1657</v>
      </c>
      <c r="K144" s="35" t="s">
        <v>1808</v>
      </c>
      <c r="L144" s="46" t="s">
        <v>1808</v>
      </c>
      <c r="M144" s="46" t="s">
        <v>1869</v>
      </c>
      <c r="N144" s="46" t="s">
        <v>60</v>
      </c>
      <c r="O144" s="46"/>
      <c r="P144" s="46" t="s">
        <v>2300</v>
      </c>
      <c r="Q144" s="46" t="s">
        <v>2092</v>
      </c>
      <c r="R144" s="46">
        <v>7753851136</v>
      </c>
      <c r="S144" s="47">
        <v>46126</v>
      </c>
      <c r="T144" s="46" t="s">
        <v>1990</v>
      </c>
      <c r="U144" s="48" t="s">
        <v>2819</v>
      </c>
      <c r="V144" s="48" t="s">
        <v>61</v>
      </c>
      <c r="W144" s="46" t="s">
        <v>60</v>
      </c>
      <c r="X144" s="46" t="s">
        <v>2543</v>
      </c>
      <c r="Y144" s="46" t="s">
        <v>2544</v>
      </c>
      <c r="Z144" s="74" t="s">
        <v>1723</v>
      </c>
      <c r="AA144" s="10"/>
    </row>
    <row r="145" spans="1:27" x14ac:dyDescent="0.25">
      <c r="A145" s="58">
        <v>167</v>
      </c>
      <c r="B145" s="33" t="s">
        <v>60</v>
      </c>
      <c r="C145" s="34">
        <v>220977</v>
      </c>
      <c r="D145" s="35" t="s">
        <v>40</v>
      </c>
      <c r="E145" s="35" t="s">
        <v>96</v>
      </c>
      <c r="F145" s="35" t="s">
        <v>1024</v>
      </c>
      <c r="G145" s="36" t="s">
        <v>63</v>
      </c>
      <c r="H145" s="35" t="s">
        <v>1733</v>
      </c>
      <c r="I145" s="37" t="s">
        <v>1668</v>
      </c>
      <c r="J145" s="37" t="s">
        <v>1668</v>
      </c>
      <c r="K145" s="35" t="s">
        <v>1817</v>
      </c>
      <c r="L145" s="46" t="s">
        <v>1817</v>
      </c>
      <c r="M145" s="46" t="s">
        <v>1869</v>
      </c>
      <c r="N145" s="46" t="s">
        <v>60</v>
      </c>
      <c r="O145" s="46"/>
      <c r="P145" s="46" t="s">
        <v>2304</v>
      </c>
      <c r="Q145" s="46" t="s">
        <v>2094</v>
      </c>
      <c r="R145" s="46">
        <v>8287823681</v>
      </c>
      <c r="S145" s="47">
        <v>46136</v>
      </c>
      <c r="T145" s="46" t="s">
        <v>1990</v>
      </c>
      <c r="U145" s="48" t="s">
        <v>1024</v>
      </c>
      <c r="V145" s="48" t="s">
        <v>96</v>
      </c>
      <c r="W145" s="46" t="s">
        <v>60</v>
      </c>
      <c r="X145" s="46" t="s">
        <v>60</v>
      </c>
      <c r="Y145" s="46" t="s">
        <v>2575</v>
      </c>
      <c r="Z145" s="74" t="s">
        <v>1733</v>
      </c>
      <c r="AA145" s="10"/>
    </row>
    <row r="146" spans="1:27" x14ac:dyDescent="0.25">
      <c r="A146" s="58">
        <v>168</v>
      </c>
      <c r="B146" s="33" t="s">
        <v>60</v>
      </c>
      <c r="C146" s="34">
        <v>338997</v>
      </c>
      <c r="D146" s="35" t="s">
        <v>40</v>
      </c>
      <c r="E146" s="35" t="s">
        <v>96</v>
      </c>
      <c r="F146" s="35" t="s">
        <v>1052</v>
      </c>
      <c r="G146" s="36" t="s">
        <v>63</v>
      </c>
      <c r="H146" s="35" t="s">
        <v>1736</v>
      </c>
      <c r="I146" s="37" t="s">
        <v>1054</v>
      </c>
      <c r="J146" s="37" t="s">
        <v>1054</v>
      </c>
      <c r="K146" s="35" t="s">
        <v>1821</v>
      </c>
      <c r="L146" s="46" t="s">
        <v>1821</v>
      </c>
      <c r="M146" s="46" t="s">
        <v>1869</v>
      </c>
      <c r="N146" s="46" t="s">
        <v>60</v>
      </c>
      <c r="O146" s="46"/>
      <c r="P146" s="46" t="s">
        <v>2071</v>
      </c>
      <c r="Q146" s="46" t="s">
        <v>2094</v>
      </c>
      <c r="R146" s="46">
        <v>8287823681</v>
      </c>
      <c r="S146" s="47">
        <v>46134</v>
      </c>
      <c r="T146" s="46" t="s">
        <v>1990</v>
      </c>
      <c r="U146" s="48" t="s">
        <v>1052</v>
      </c>
      <c r="V146" s="48" t="s">
        <v>96</v>
      </c>
      <c r="W146" s="46" t="s">
        <v>60</v>
      </c>
      <c r="X146" s="46" t="s">
        <v>2545</v>
      </c>
      <c r="Y146" s="46" t="s">
        <v>2392</v>
      </c>
      <c r="Z146" s="74" t="s">
        <v>1736</v>
      </c>
      <c r="AA146" s="10"/>
    </row>
    <row r="147" spans="1:27" x14ac:dyDescent="0.25">
      <c r="A147" s="58">
        <v>169</v>
      </c>
      <c r="B147" s="33" t="s">
        <v>60</v>
      </c>
      <c r="C147" s="34">
        <v>309992</v>
      </c>
      <c r="D147" s="35" t="s">
        <v>40</v>
      </c>
      <c r="E147" s="35" t="s">
        <v>465</v>
      </c>
      <c r="F147" s="35" t="s">
        <v>466</v>
      </c>
      <c r="G147" s="36" t="s">
        <v>63</v>
      </c>
      <c r="H147" s="35" t="s">
        <v>1727</v>
      </c>
      <c r="I147" s="37" t="s">
        <v>1661</v>
      </c>
      <c r="J147" s="37" t="s">
        <v>1661</v>
      </c>
      <c r="K147" s="35" t="s">
        <v>1812</v>
      </c>
      <c r="L147" s="46" t="s">
        <v>1812</v>
      </c>
      <c r="M147" s="46" t="s">
        <v>1869</v>
      </c>
      <c r="N147" s="46" t="s">
        <v>60</v>
      </c>
      <c r="O147" s="46"/>
      <c r="P147" s="46" t="s">
        <v>2063</v>
      </c>
      <c r="Q147" s="46" t="s">
        <v>2091</v>
      </c>
      <c r="R147" s="46">
        <v>9354241930</v>
      </c>
      <c r="S147" s="47">
        <v>46130</v>
      </c>
      <c r="T147" s="46" t="s">
        <v>1990</v>
      </c>
      <c r="U147" s="48" t="s">
        <v>466</v>
      </c>
      <c r="V147" s="48" t="s">
        <v>465</v>
      </c>
      <c r="W147" s="46" t="s">
        <v>60</v>
      </c>
      <c r="X147" s="46" t="s">
        <v>2546</v>
      </c>
      <c r="Y147" s="46" t="s">
        <v>2538</v>
      </c>
      <c r="Z147" s="74" t="s">
        <v>1727</v>
      </c>
      <c r="AA147" s="10"/>
    </row>
    <row r="148" spans="1:27" x14ac:dyDescent="0.25">
      <c r="A148" s="58">
        <v>170</v>
      </c>
      <c r="B148" s="33" t="s">
        <v>60</v>
      </c>
      <c r="C148" s="34">
        <v>310997</v>
      </c>
      <c r="D148" s="35" t="s">
        <v>40</v>
      </c>
      <c r="E148" s="35" t="s">
        <v>465</v>
      </c>
      <c r="F148" s="35" t="s">
        <v>466</v>
      </c>
      <c r="G148" s="36" t="s">
        <v>63</v>
      </c>
      <c r="H148" s="35" t="s">
        <v>1871</v>
      </c>
      <c r="I148" s="37" t="s">
        <v>1962</v>
      </c>
      <c r="J148" s="37" t="s">
        <v>1962</v>
      </c>
      <c r="K148" s="35" t="s">
        <v>1874</v>
      </c>
      <c r="L148" s="46" t="s">
        <v>1874</v>
      </c>
      <c r="M148" s="46" t="s">
        <v>1869</v>
      </c>
      <c r="N148" s="46" t="s">
        <v>60</v>
      </c>
      <c r="O148" s="46"/>
      <c r="P148" s="46" t="s">
        <v>2269</v>
      </c>
      <c r="Q148" s="46" t="s">
        <v>2091</v>
      </c>
      <c r="R148" s="46">
        <v>9354241930</v>
      </c>
      <c r="S148" s="47">
        <v>46130</v>
      </c>
      <c r="T148" s="46" t="s">
        <v>1990</v>
      </c>
      <c r="U148" s="48" t="s">
        <v>466</v>
      </c>
      <c r="V148" s="48" t="s">
        <v>465</v>
      </c>
      <c r="W148" s="46" t="s">
        <v>60</v>
      </c>
      <c r="X148" s="46" t="s">
        <v>2547</v>
      </c>
      <c r="Y148" s="46" t="s">
        <v>2548</v>
      </c>
      <c r="Z148" s="74" t="s">
        <v>1871</v>
      </c>
      <c r="AA148" s="10"/>
    </row>
    <row r="149" spans="1:27" x14ac:dyDescent="0.25">
      <c r="A149" s="58">
        <v>171</v>
      </c>
      <c r="B149" s="33" t="s">
        <v>475</v>
      </c>
      <c r="C149" s="34">
        <v>24651</v>
      </c>
      <c r="D149" s="35" t="s">
        <v>103</v>
      </c>
      <c r="E149" s="35" t="s">
        <v>237</v>
      </c>
      <c r="F149" s="35" t="s">
        <v>3698</v>
      </c>
      <c r="G149" s="36" t="s">
        <v>63</v>
      </c>
      <c r="H149" s="35" t="s">
        <v>476</v>
      </c>
      <c r="I149" s="37" t="s">
        <v>476</v>
      </c>
      <c r="J149" s="37" t="s">
        <v>477</v>
      </c>
      <c r="K149" s="35" t="s">
        <v>478</v>
      </c>
      <c r="L149" s="46" t="s">
        <v>478</v>
      </c>
      <c r="M149" s="46" t="s">
        <v>1869</v>
      </c>
      <c r="N149" s="46" t="s">
        <v>60</v>
      </c>
      <c r="O149" s="46"/>
      <c r="P149" s="46" t="s">
        <v>2282</v>
      </c>
      <c r="Q149" s="46" t="s">
        <v>2091</v>
      </c>
      <c r="R149" s="46">
        <v>9354241930</v>
      </c>
      <c r="S149" s="47">
        <v>46126</v>
      </c>
      <c r="T149" s="46" t="s">
        <v>1990</v>
      </c>
      <c r="U149" s="48" t="s">
        <v>226</v>
      </c>
      <c r="V149" s="48" t="s">
        <v>237</v>
      </c>
      <c r="W149" s="46" t="s">
        <v>60</v>
      </c>
      <c r="X149" s="46" t="s">
        <v>2723</v>
      </c>
      <c r="Y149" s="46" t="s">
        <v>2549</v>
      </c>
      <c r="Z149" s="74" t="s">
        <v>476</v>
      </c>
      <c r="AA149" s="10"/>
    </row>
    <row r="150" spans="1:27" x14ac:dyDescent="0.25">
      <c r="A150" s="58">
        <v>172</v>
      </c>
      <c r="B150" s="33" t="s">
        <v>718</v>
      </c>
      <c r="C150" s="34">
        <v>51577</v>
      </c>
      <c r="D150" s="35" t="s">
        <v>40</v>
      </c>
      <c r="E150" s="35" t="s">
        <v>199</v>
      </c>
      <c r="F150" s="35" t="s">
        <v>214</v>
      </c>
      <c r="G150" s="36" t="s">
        <v>63</v>
      </c>
      <c r="H150" s="35" t="s">
        <v>719</v>
      </c>
      <c r="I150" s="37" t="s">
        <v>720</v>
      </c>
      <c r="J150" s="37" t="s">
        <v>720</v>
      </c>
      <c r="K150" s="35" t="s">
        <v>721</v>
      </c>
      <c r="L150" s="46" t="s">
        <v>721</v>
      </c>
      <c r="M150" s="46" t="s">
        <v>1869</v>
      </c>
      <c r="N150" s="46" t="s">
        <v>60</v>
      </c>
      <c r="O150" s="46"/>
      <c r="P150" s="46" t="s">
        <v>2043</v>
      </c>
      <c r="Q150" s="46" t="s">
        <v>2096</v>
      </c>
      <c r="R150" s="46">
        <v>7688959606</v>
      </c>
      <c r="S150" s="47">
        <v>46125</v>
      </c>
      <c r="T150" s="46" t="s">
        <v>1990</v>
      </c>
      <c r="U150" s="48" t="s">
        <v>214</v>
      </c>
      <c r="V150" s="48" t="s">
        <v>199</v>
      </c>
      <c r="W150" s="46" t="s">
        <v>60</v>
      </c>
      <c r="X150" s="46" t="s">
        <v>2419</v>
      </c>
      <c r="Y150" s="46" t="s">
        <v>538</v>
      </c>
      <c r="Z150" s="74" t="s">
        <v>719</v>
      </c>
      <c r="AA150" s="10"/>
    </row>
    <row r="151" spans="1:27" x14ac:dyDescent="0.25">
      <c r="A151" s="58">
        <v>173</v>
      </c>
      <c r="B151" s="33" t="s">
        <v>1164</v>
      </c>
      <c r="C151" s="34">
        <v>54054</v>
      </c>
      <c r="D151" s="35" t="s">
        <v>40</v>
      </c>
      <c r="E151" s="35" t="s">
        <v>199</v>
      </c>
      <c r="F151" s="35" t="s">
        <v>214</v>
      </c>
      <c r="G151" s="36" t="s">
        <v>63</v>
      </c>
      <c r="H151" s="35" t="s">
        <v>1165</v>
      </c>
      <c r="I151" s="37" t="s">
        <v>1166</v>
      </c>
      <c r="J151" s="37" t="s">
        <v>1166</v>
      </c>
      <c r="K151" s="35" t="s">
        <v>1167</v>
      </c>
      <c r="L151" s="46" t="s">
        <v>1167</v>
      </c>
      <c r="M151" s="46" t="s">
        <v>1869</v>
      </c>
      <c r="N151" s="46" t="s">
        <v>60</v>
      </c>
      <c r="O151" s="46"/>
      <c r="P151" s="46" t="s">
        <v>2312</v>
      </c>
      <c r="Q151" s="46" t="s">
        <v>2096</v>
      </c>
      <c r="R151" s="46">
        <v>7688959606</v>
      </c>
      <c r="S151" s="47">
        <v>46126</v>
      </c>
      <c r="T151" s="46" t="s">
        <v>1990</v>
      </c>
      <c r="U151" s="48" t="s">
        <v>214</v>
      </c>
      <c r="V151" s="48" t="s">
        <v>199</v>
      </c>
      <c r="W151" s="46" t="s">
        <v>60</v>
      </c>
      <c r="X151" s="46" t="s">
        <v>2550</v>
      </c>
      <c r="Y151" s="46" t="s">
        <v>1042</v>
      </c>
      <c r="Z151" s="74" t="s">
        <v>1165</v>
      </c>
      <c r="AA151" s="10"/>
    </row>
    <row r="152" spans="1:27" x14ac:dyDescent="0.25">
      <c r="A152" s="58">
        <v>174</v>
      </c>
      <c r="B152" s="33" t="s">
        <v>727</v>
      </c>
      <c r="C152" s="34">
        <v>26483</v>
      </c>
      <c r="D152" s="35" t="s">
        <v>40</v>
      </c>
      <c r="E152" s="35" t="s">
        <v>199</v>
      </c>
      <c r="F152" s="35" t="s">
        <v>540</v>
      </c>
      <c r="G152" s="36" t="s">
        <v>63</v>
      </c>
      <c r="H152" s="35" t="s">
        <v>728</v>
      </c>
      <c r="I152" s="37" t="s">
        <v>729</v>
      </c>
      <c r="J152" s="37" t="s">
        <v>729</v>
      </c>
      <c r="K152" s="35" t="s">
        <v>730</v>
      </c>
      <c r="L152" s="46" t="s">
        <v>730</v>
      </c>
      <c r="M152" s="46" t="s">
        <v>1869</v>
      </c>
      <c r="N152" s="46" t="s">
        <v>60</v>
      </c>
      <c r="O152" s="46"/>
      <c r="P152" s="46" t="s">
        <v>2288</v>
      </c>
      <c r="Q152" s="46" t="s">
        <v>2092</v>
      </c>
      <c r="R152" s="46">
        <v>7753851136</v>
      </c>
      <c r="S152" s="47">
        <v>46132</v>
      </c>
      <c r="T152" s="46" t="s">
        <v>1990</v>
      </c>
      <c r="U152" s="48" t="s">
        <v>540</v>
      </c>
      <c r="V152" s="48" t="s">
        <v>199</v>
      </c>
      <c r="W152" s="46" t="s">
        <v>60</v>
      </c>
      <c r="X152" s="46" t="s">
        <v>2551</v>
      </c>
      <c r="Y152" s="46" t="s">
        <v>2552</v>
      </c>
      <c r="Z152" s="74" t="s">
        <v>728</v>
      </c>
      <c r="AA152" s="10"/>
    </row>
    <row r="153" spans="1:27" x14ac:dyDescent="0.25">
      <c r="A153" s="58">
        <v>175</v>
      </c>
      <c r="B153" s="33" t="s">
        <v>1905</v>
      </c>
      <c r="C153" s="34">
        <v>21693</v>
      </c>
      <c r="D153" s="35" t="s">
        <v>40</v>
      </c>
      <c r="E153" s="35" t="s">
        <v>1906</v>
      </c>
      <c r="F153" s="35" t="s">
        <v>593</v>
      </c>
      <c r="G153" s="36" t="s">
        <v>63</v>
      </c>
      <c r="H153" s="35" t="s">
        <v>1872</v>
      </c>
      <c r="I153" s="37" t="s">
        <v>1908</v>
      </c>
      <c r="J153" s="37" t="s">
        <v>1908</v>
      </c>
      <c r="K153" s="35" t="s">
        <v>1875</v>
      </c>
      <c r="L153" s="46" t="s">
        <v>1875</v>
      </c>
      <c r="M153" s="46" t="s">
        <v>1869</v>
      </c>
      <c r="N153" s="46" t="s">
        <v>60</v>
      </c>
      <c r="O153" s="46"/>
      <c r="P153" s="46" t="s">
        <v>1992</v>
      </c>
      <c r="Q153" s="46" t="s">
        <v>2092</v>
      </c>
      <c r="R153" s="46">
        <v>7753851136</v>
      </c>
      <c r="S153" s="47">
        <v>46129</v>
      </c>
      <c r="T153" s="46" t="s">
        <v>1990</v>
      </c>
      <c r="U153" s="48" t="s">
        <v>593</v>
      </c>
      <c r="V153" s="48" t="s">
        <v>1906</v>
      </c>
      <c r="W153" s="46" t="s">
        <v>60</v>
      </c>
      <c r="X153" s="46" t="s">
        <v>2553</v>
      </c>
      <c r="Y153" s="46" t="s">
        <v>2554</v>
      </c>
      <c r="Z153" s="74" t="s">
        <v>1872</v>
      </c>
      <c r="AA153" s="10"/>
    </row>
    <row r="154" spans="1:27" x14ac:dyDescent="0.25">
      <c r="A154" s="58">
        <v>176</v>
      </c>
      <c r="B154" s="33" t="s">
        <v>60</v>
      </c>
      <c r="C154" s="34">
        <v>307009</v>
      </c>
      <c r="D154" s="35" t="s">
        <v>40</v>
      </c>
      <c r="E154" s="35" t="s">
        <v>968</v>
      </c>
      <c r="F154" s="35" t="s">
        <v>414</v>
      </c>
      <c r="G154" s="36" t="s">
        <v>63</v>
      </c>
      <c r="H154" s="35" t="s">
        <v>1726</v>
      </c>
      <c r="I154" s="37" t="s">
        <v>1660</v>
      </c>
      <c r="J154" s="37" t="s">
        <v>1660</v>
      </c>
      <c r="K154" s="35" t="s">
        <v>1811</v>
      </c>
      <c r="L154" s="46" t="s">
        <v>1811</v>
      </c>
      <c r="M154" s="46" t="s">
        <v>1869</v>
      </c>
      <c r="N154" s="46" t="s">
        <v>60</v>
      </c>
      <c r="O154" s="46"/>
      <c r="P154" s="46" t="s">
        <v>2062</v>
      </c>
      <c r="Q154" s="46" t="s">
        <v>2091</v>
      </c>
      <c r="R154" s="46">
        <v>9354241930</v>
      </c>
      <c r="S154" s="47">
        <v>46135</v>
      </c>
      <c r="T154" s="46" t="s">
        <v>1990</v>
      </c>
      <c r="U154" s="48" t="s">
        <v>968</v>
      </c>
      <c r="V154" s="48" t="s">
        <v>61</v>
      </c>
      <c r="W154" s="46" t="s">
        <v>60</v>
      </c>
      <c r="X154" s="46" t="s">
        <v>2555</v>
      </c>
      <c r="Y154" s="46" t="s">
        <v>322</v>
      </c>
      <c r="Z154" s="74" t="s">
        <v>1726</v>
      </c>
      <c r="AA154" s="10"/>
    </row>
    <row r="155" spans="1:27" x14ac:dyDescent="0.25">
      <c r="A155" s="58">
        <v>178</v>
      </c>
      <c r="B155" s="33" t="s">
        <v>60</v>
      </c>
      <c r="C155" s="34">
        <v>351027</v>
      </c>
      <c r="D155" s="35" t="s">
        <v>40</v>
      </c>
      <c r="E155" s="35" t="s">
        <v>61</v>
      </c>
      <c r="F155" s="35" t="s">
        <v>270</v>
      </c>
      <c r="G155" s="36" t="s">
        <v>63</v>
      </c>
      <c r="H155" s="35" t="s">
        <v>1705</v>
      </c>
      <c r="I155" s="37" t="s">
        <v>738</v>
      </c>
      <c r="J155" s="37" t="s">
        <v>738</v>
      </c>
      <c r="K155" s="35" t="s">
        <v>1783</v>
      </c>
      <c r="L155" s="46" t="s">
        <v>1783</v>
      </c>
      <c r="M155" s="46" t="s">
        <v>1869</v>
      </c>
      <c r="N155" s="46" t="s">
        <v>60</v>
      </c>
      <c r="O155" s="46"/>
      <c r="P155" s="46" t="s">
        <v>738</v>
      </c>
      <c r="Q155" s="46" t="s">
        <v>2092</v>
      </c>
      <c r="R155" s="46">
        <v>7753851136</v>
      </c>
      <c r="S155" s="47">
        <v>46130</v>
      </c>
      <c r="T155" s="46" t="s">
        <v>1990</v>
      </c>
      <c r="U155" s="48" t="s">
        <v>270</v>
      </c>
      <c r="V155" s="48" t="s">
        <v>61</v>
      </c>
      <c r="W155" s="46" t="s">
        <v>60</v>
      </c>
      <c r="X155" s="46" t="s">
        <v>2556</v>
      </c>
      <c r="Y155" s="46" t="s">
        <v>2557</v>
      </c>
      <c r="Z155" s="74" t="s">
        <v>1705</v>
      </c>
      <c r="AA155" s="10"/>
    </row>
    <row r="156" spans="1:27" x14ac:dyDescent="0.25">
      <c r="A156" s="58">
        <v>179</v>
      </c>
      <c r="B156" s="33" t="s">
        <v>60</v>
      </c>
      <c r="C156" s="34">
        <v>351028</v>
      </c>
      <c r="D156" s="35" t="s">
        <v>40</v>
      </c>
      <c r="E156" s="35" t="s">
        <v>61</v>
      </c>
      <c r="F156" s="35" t="s">
        <v>62</v>
      </c>
      <c r="G156" s="36" t="s">
        <v>63</v>
      </c>
      <c r="H156" s="35" t="s">
        <v>1690</v>
      </c>
      <c r="I156" s="37" t="s">
        <v>65</v>
      </c>
      <c r="J156" s="37" t="s">
        <v>65</v>
      </c>
      <c r="K156" s="35" t="s">
        <v>3699</v>
      </c>
      <c r="L156" s="46" t="s">
        <v>3699</v>
      </c>
      <c r="M156" s="46" t="s">
        <v>1869</v>
      </c>
      <c r="N156" s="46" t="s">
        <v>60</v>
      </c>
      <c r="O156" s="46"/>
      <c r="P156" s="46" t="s">
        <v>1993</v>
      </c>
      <c r="Q156" s="46" t="s">
        <v>1994</v>
      </c>
      <c r="R156" s="46">
        <v>9810670823</v>
      </c>
      <c r="S156" s="47">
        <v>46125</v>
      </c>
      <c r="T156" s="46" t="s">
        <v>1990</v>
      </c>
      <c r="U156" s="48" t="s">
        <v>62</v>
      </c>
      <c r="V156" s="48" t="s">
        <v>61</v>
      </c>
      <c r="W156" s="46" t="s">
        <v>60</v>
      </c>
      <c r="X156" s="46" t="s">
        <v>2558</v>
      </c>
      <c r="Y156" s="46" t="s">
        <v>2559</v>
      </c>
      <c r="Z156" s="74" t="s">
        <v>1690</v>
      </c>
      <c r="AA156" s="10"/>
    </row>
    <row r="157" spans="1:27" x14ac:dyDescent="0.25">
      <c r="A157" s="58">
        <v>180</v>
      </c>
      <c r="B157" s="33" t="s">
        <v>60</v>
      </c>
      <c r="C157" s="34">
        <v>350007</v>
      </c>
      <c r="D157" s="35" t="s">
        <v>40</v>
      </c>
      <c r="E157" s="35" t="s">
        <v>61</v>
      </c>
      <c r="F157" s="35" t="s">
        <v>62</v>
      </c>
      <c r="G157" s="36" t="s">
        <v>63</v>
      </c>
      <c r="H157" s="35" t="s">
        <v>1739</v>
      </c>
      <c r="I157" s="37" t="s">
        <v>1119</v>
      </c>
      <c r="J157" s="37" t="s">
        <v>1119</v>
      </c>
      <c r="K157" s="35" t="s">
        <v>1120</v>
      </c>
      <c r="L157" s="46" t="s">
        <v>1120</v>
      </c>
      <c r="M157" s="46" t="s">
        <v>1869</v>
      </c>
      <c r="N157" s="46" t="s">
        <v>60</v>
      </c>
      <c r="O157" s="46"/>
      <c r="P157" s="46" t="s">
        <v>2307</v>
      </c>
      <c r="Q157" s="46" t="s">
        <v>1994</v>
      </c>
      <c r="R157" s="46">
        <v>9810670823</v>
      </c>
      <c r="S157" s="47">
        <v>46129</v>
      </c>
      <c r="T157" s="46" t="s">
        <v>1990</v>
      </c>
      <c r="U157" s="48" t="s">
        <v>62</v>
      </c>
      <c r="V157" s="48" t="s">
        <v>61</v>
      </c>
      <c r="W157" s="46" t="s">
        <v>60</v>
      </c>
      <c r="X157" s="46" t="s">
        <v>2560</v>
      </c>
      <c r="Y157" s="46" t="s">
        <v>60</v>
      </c>
      <c r="Z157" s="74" t="s">
        <v>1739</v>
      </c>
      <c r="AA157" s="10"/>
    </row>
    <row r="158" spans="1:27" x14ac:dyDescent="0.25">
      <c r="A158" s="58">
        <v>181</v>
      </c>
      <c r="B158" s="33" t="s">
        <v>60</v>
      </c>
      <c r="C158" s="34">
        <v>312995</v>
      </c>
      <c r="D158" s="35" t="s">
        <v>40</v>
      </c>
      <c r="E158" s="35" t="s">
        <v>61</v>
      </c>
      <c r="F158" s="35" t="s">
        <v>986</v>
      </c>
      <c r="G158" s="36" t="s">
        <v>63</v>
      </c>
      <c r="H158" s="35" t="s">
        <v>1730</v>
      </c>
      <c r="I158" s="37" t="s">
        <v>1664</v>
      </c>
      <c r="J158" s="37" t="s">
        <v>1664</v>
      </c>
      <c r="K158" s="35" t="s">
        <v>1815</v>
      </c>
      <c r="L158" s="46" t="s">
        <v>1815</v>
      </c>
      <c r="M158" s="46" t="s">
        <v>1869</v>
      </c>
      <c r="N158" s="46" t="s">
        <v>60</v>
      </c>
      <c r="O158" s="46"/>
      <c r="P158" s="46" t="s">
        <v>2303</v>
      </c>
      <c r="Q158" s="46" t="s">
        <v>2092</v>
      </c>
      <c r="R158" s="46">
        <v>7753851136</v>
      </c>
      <c r="S158" s="47">
        <v>46120</v>
      </c>
      <c r="T158" s="46" t="s">
        <v>1990</v>
      </c>
      <c r="U158" s="48" t="s">
        <v>986</v>
      </c>
      <c r="V158" s="48" t="s">
        <v>61</v>
      </c>
      <c r="W158" s="46" t="s">
        <v>60</v>
      </c>
      <c r="X158" s="46" t="s">
        <v>2561</v>
      </c>
      <c r="Y158" s="46" t="s">
        <v>2562</v>
      </c>
      <c r="Z158" s="74" t="s">
        <v>1730</v>
      </c>
      <c r="AA158" s="10"/>
    </row>
    <row r="159" spans="1:27" x14ac:dyDescent="0.25">
      <c r="A159" s="58">
        <v>182</v>
      </c>
      <c r="B159" s="33" t="s">
        <v>60</v>
      </c>
      <c r="C159" s="34">
        <v>351086</v>
      </c>
      <c r="D159" s="35" t="s">
        <v>40</v>
      </c>
      <c r="E159" s="35" t="s">
        <v>938</v>
      </c>
      <c r="F159" s="35" t="s">
        <v>939</v>
      </c>
      <c r="G159" s="36" t="s">
        <v>63</v>
      </c>
      <c r="H159" s="35" t="s">
        <v>1720</v>
      </c>
      <c r="I159" s="37" t="s">
        <v>1654</v>
      </c>
      <c r="J159" s="37" t="s">
        <v>1654</v>
      </c>
      <c r="K159" s="35" t="s">
        <v>1805</v>
      </c>
      <c r="L159" s="46" t="s">
        <v>2357</v>
      </c>
      <c r="M159" s="46" t="s">
        <v>1869</v>
      </c>
      <c r="N159" s="46" t="s">
        <v>60</v>
      </c>
      <c r="O159" s="46"/>
      <c r="P159" s="46" t="s">
        <v>2299</v>
      </c>
      <c r="Q159" s="46" t="s">
        <v>2097</v>
      </c>
      <c r="R159" s="46">
        <v>9149204613</v>
      </c>
      <c r="S159" s="47">
        <v>46134</v>
      </c>
      <c r="T159" s="46" t="s">
        <v>1990</v>
      </c>
      <c r="U159" s="48" t="s">
        <v>939</v>
      </c>
      <c r="V159" s="48" t="s">
        <v>938</v>
      </c>
      <c r="W159" s="46" t="s">
        <v>60</v>
      </c>
      <c r="X159" s="46" t="s">
        <v>2563</v>
      </c>
      <c r="Y159" s="46" t="s">
        <v>2564</v>
      </c>
      <c r="Z159" s="74" t="s">
        <v>1720</v>
      </c>
      <c r="AA159" s="10"/>
    </row>
    <row r="160" spans="1:27" x14ac:dyDescent="0.25">
      <c r="A160" s="58">
        <v>183</v>
      </c>
      <c r="B160" s="33" t="s">
        <v>116</v>
      </c>
      <c r="C160" s="34">
        <v>25788</v>
      </c>
      <c r="D160" s="35" t="s">
        <v>103</v>
      </c>
      <c r="E160" s="35" t="s">
        <v>104</v>
      </c>
      <c r="F160" s="35" t="s">
        <v>105</v>
      </c>
      <c r="G160" s="36" t="s">
        <v>63</v>
      </c>
      <c r="H160" s="35" t="s">
        <v>117</v>
      </c>
      <c r="I160" s="37" t="s">
        <v>118</v>
      </c>
      <c r="J160" s="37" t="s">
        <v>118</v>
      </c>
      <c r="K160" s="35" t="s">
        <v>119</v>
      </c>
      <c r="L160" s="46" t="s">
        <v>119</v>
      </c>
      <c r="M160" s="46" t="s">
        <v>1869</v>
      </c>
      <c r="N160" s="46" t="s">
        <v>60</v>
      </c>
      <c r="O160" s="46"/>
      <c r="P160" s="46" t="s">
        <v>1997</v>
      </c>
      <c r="Q160" s="46" t="s">
        <v>2091</v>
      </c>
      <c r="R160" s="46">
        <v>9354241930</v>
      </c>
      <c r="S160" s="47">
        <v>46119</v>
      </c>
      <c r="T160" s="46" t="s">
        <v>1990</v>
      </c>
      <c r="U160" s="48" t="s">
        <v>105</v>
      </c>
      <c r="V160" s="48" t="s">
        <v>104</v>
      </c>
      <c r="W160" s="46" t="s">
        <v>60</v>
      </c>
      <c r="X160" s="46" t="s">
        <v>2724</v>
      </c>
      <c r="Y160" s="46" t="s">
        <v>2538</v>
      </c>
      <c r="Z160" s="74" t="s">
        <v>117</v>
      </c>
      <c r="AA160" s="10"/>
    </row>
    <row r="161" spans="1:27" x14ac:dyDescent="0.25">
      <c r="A161" s="58">
        <v>184</v>
      </c>
      <c r="B161" s="33" t="s">
        <v>144</v>
      </c>
      <c r="C161" s="34">
        <v>26367</v>
      </c>
      <c r="D161" s="35" t="s">
        <v>103</v>
      </c>
      <c r="E161" s="35" t="s">
        <v>104</v>
      </c>
      <c r="F161" s="35" t="s">
        <v>105</v>
      </c>
      <c r="G161" s="36" t="s">
        <v>63</v>
      </c>
      <c r="H161" s="35" t="s">
        <v>145</v>
      </c>
      <c r="I161" s="37" t="s">
        <v>146</v>
      </c>
      <c r="J161" s="37" t="s">
        <v>146</v>
      </c>
      <c r="K161" s="35" t="s">
        <v>147</v>
      </c>
      <c r="L161" s="46" t="s">
        <v>147</v>
      </c>
      <c r="M161" s="46" t="s">
        <v>1869</v>
      </c>
      <c r="N161" s="46" t="s">
        <v>60</v>
      </c>
      <c r="O161" s="46"/>
      <c r="P161" s="46" t="s">
        <v>1999</v>
      </c>
      <c r="Q161" s="46" t="s">
        <v>2094</v>
      </c>
      <c r="R161" s="46">
        <v>8287823681</v>
      </c>
      <c r="S161" s="47">
        <v>46121</v>
      </c>
      <c r="T161" s="46" t="s">
        <v>1990</v>
      </c>
      <c r="U161" s="48" t="s">
        <v>105</v>
      </c>
      <c r="V161" s="48" t="s">
        <v>104</v>
      </c>
      <c r="W161" s="46" t="s">
        <v>60</v>
      </c>
      <c r="X161" s="46" t="s">
        <v>2565</v>
      </c>
      <c r="Y161" s="46" t="s">
        <v>2539</v>
      </c>
      <c r="Z161" s="74" t="s">
        <v>145</v>
      </c>
      <c r="AA161" s="10"/>
    </row>
    <row r="162" spans="1:27" x14ac:dyDescent="0.25">
      <c r="A162" s="58">
        <v>185</v>
      </c>
      <c r="B162" s="33" t="s">
        <v>60</v>
      </c>
      <c r="C162" s="34" t="s">
        <v>60</v>
      </c>
      <c r="D162" s="35" t="s">
        <v>103</v>
      </c>
      <c r="E162" s="35" t="s">
        <v>767</v>
      </c>
      <c r="F162" s="35" t="s">
        <v>1583</v>
      </c>
      <c r="G162" s="36" t="s">
        <v>1417</v>
      </c>
      <c r="H162" s="35" t="s">
        <v>1340</v>
      </c>
      <c r="I162" s="37" t="s">
        <v>60</v>
      </c>
      <c r="J162" s="37" t="s">
        <v>60</v>
      </c>
      <c r="K162" s="35" t="s">
        <v>1473</v>
      </c>
      <c r="L162" s="46" t="s">
        <v>1473</v>
      </c>
      <c r="M162" s="46" t="s">
        <v>1869</v>
      </c>
      <c r="N162" s="46" t="s">
        <v>60</v>
      </c>
      <c r="O162" s="46" t="s">
        <v>2360</v>
      </c>
      <c r="P162" s="46" t="s">
        <v>60</v>
      </c>
      <c r="Q162" s="46" t="s">
        <v>2812</v>
      </c>
      <c r="R162" s="46">
        <v>9999934588</v>
      </c>
      <c r="S162" s="47">
        <v>46128</v>
      </c>
      <c r="T162" s="46" t="s">
        <v>1990</v>
      </c>
      <c r="U162" s="48" t="s">
        <v>1583</v>
      </c>
      <c r="V162" s="48" t="s">
        <v>767</v>
      </c>
      <c r="W162" s="46" t="s">
        <v>60</v>
      </c>
      <c r="X162" s="46" t="s">
        <v>2586</v>
      </c>
      <c r="Y162" s="46" t="s">
        <v>60</v>
      </c>
      <c r="Z162" s="74" t="s">
        <v>1340</v>
      </c>
      <c r="AA162" s="10"/>
    </row>
    <row r="163" spans="1:27" x14ac:dyDescent="0.25">
      <c r="A163" s="58">
        <v>186</v>
      </c>
      <c r="B163" s="33" t="s">
        <v>60</v>
      </c>
      <c r="C163" s="34" t="s">
        <v>60</v>
      </c>
      <c r="D163" s="35" t="s">
        <v>103</v>
      </c>
      <c r="E163" s="35" t="s">
        <v>767</v>
      </c>
      <c r="F163" s="35" t="s">
        <v>768</v>
      </c>
      <c r="G163" s="36" t="s">
        <v>1417</v>
      </c>
      <c r="H163" s="35" t="s">
        <v>1343</v>
      </c>
      <c r="I163" s="37" t="s">
        <v>60</v>
      </c>
      <c r="J163" s="37" t="s">
        <v>60</v>
      </c>
      <c r="K163" s="35" t="s">
        <v>1476</v>
      </c>
      <c r="L163" s="46" t="s">
        <v>1476</v>
      </c>
      <c r="M163" s="46" t="s">
        <v>1869</v>
      </c>
      <c r="N163" s="46" t="s">
        <v>60</v>
      </c>
      <c r="O163" s="46" t="s">
        <v>2360</v>
      </c>
      <c r="P163" s="46" t="s">
        <v>2178</v>
      </c>
      <c r="Q163" s="46" t="s">
        <v>2177</v>
      </c>
      <c r="R163" s="46">
        <v>9999934588</v>
      </c>
      <c r="S163" s="47">
        <v>46122</v>
      </c>
      <c r="T163" s="46" t="s">
        <v>1990</v>
      </c>
      <c r="U163" s="48" t="s">
        <v>768</v>
      </c>
      <c r="V163" s="48" t="s">
        <v>767</v>
      </c>
      <c r="W163" s="46" t="s">
        <v>60</v>
      </c>
      <c r="X163" s="46" t="s">
        <v>2725</v>
      </c>
      <c r="Y163" s="46" t="s">
        <v>322</v>
      </c>
      <c r="Z163" s="74" t="s">
        <v>1343</v>
      </c>
      <c r="AA163" s="10"/>
    </row>
    <row r="164" spans="1:27" x14ac:dyDescent="0.25">
      <c r="A164" s="58">
        <v>187</v>
      </c>
      <c r="B164" s="33" t="s">
        <v>60</v>
      </c>
      <c r="C164" s="34" t="s">
        <v>60</v>
      </c>
      <c r="D164" s="35" t="s">
        <v>103</v>
      </c>
      <c r="E164" s="35" t="s">
        <v>767</v>
      </c>
      <c r="F164" s="35" t="s">
        <v>768</v>
      </c>
      <c r="G164" s="36" t="s">
        <v>1417</v>
      </c>
      <c r="H164" s="35" t="s">
        <v>1342</v>
      </c>
      <c r="I164" s="37" t="s">
        <v>60</v>
      </c>
      <c r="J164" s="37" t="s">
        <v>60</v>
      </c>
      <c r="K164" s="35" t="s">
        <v>1475</v>
      </c>
      <c r="L164" s="46" t="s">
        <v>1475</v>
      </c>
      <c r="M164" s="46" t="s">
        <v>1869</v>
      </c>
      <c r="N164" s="46" t="s">
        <v>60</v>
      </c>
      <c r="O164" s="46" t="s">
        <v>2360</v>
      </c>
      <c r="P164" s="46" t="s">
        <v>2176</v>
      </c>
      <c r="Q164" s="46" t="s">
        <v>2177</v>
      </c>
      <c r="R164" s="46">
        <v>9999934588</v>
      </c>
      <c r="S164" s="47">
        <v>46122</v>
      </c>
      <c r="T164" s="46" t="s">
        <v>1990</v>
      </c>
      <c r="U164" s="48" t="s">
        <v>768</v>
      </c>
      <c r="V164" s="48" t="s">
        <v>767</v>
      </c>
      <c r="W164" s="46" t="s">
        <v>60</v>
      </c>
      <c r="X164" s="46" t="s">
        <v>2726</v>
      </c>
      <c r="Y164" s="46" t="s">
        <v>322</v>
      </c>
      <c r="Z164" s="74" t="s">
        <v>1342</v>
      </c>
      <c r="AA164" s="10"/>
    </row>
    <row r="165" spans="1:27" x14ac:dyDescent="0.25">
      <c r="A165" s="58">
        <v>188</v>
      </c>
      <c r="B165" s="33" t="s">
        <v>60</v>
      </c>
      <c r="C165" s="34" t="s">
        <v>60</v>
      </c>
      <c r="D165" s="35" t="s">
        <v>103</v>
      </c>
      <c r="E165" s="35" t="s">
        <v>767</v>
      </c>
      <c r="F165" s="35" t="s">
        <v>1604</v>
      </c>
      <c r="G165" s="36" t="s">
        <v>1417</v>
      </c>
      <c r="H165" s="35" t="s">
        <v>1387</v>
      </c>
      <c r="I165" s="37" t="s">
        <v>60</v>
      </c>
      <c r="J165" s="37" t="s">
        <v>60</v>
      </c>
      <c r="K165" s="35" t="s">
        <v>1521</v>
      </c>
      <c r="L165" s="46" t="s">
        <v>1521</v>
      </c>
      <c r="M165" s="46" t="s">
        <v>1869</v>
      </c>
      <c r="N165" s="46" t="s">
        <v>60</v>
      </c>
      <c r="O165" s="46" t="s">
        <v>2360</v>
      </c>
      <c r="P165" s="46" t="s">
        <v>2336</v>
      </c>
      <c r="Q165" s="46" t="s">
        <v>2231</v>
      </c>
      <c r="R165" s="46">
        <v>9999934588</v>
      </c>
      <c r="S165" s="47">
        <v>46129</v>
      </c>
      <c r="T165" s="46" t="s">
        <v>1990</v>
      </c>
      <c r="U165" s="48" t="s">
        <v>1604</v>
      </c>
      <c r="V165" s="48" t="s">
        <v>767</v>
      </c>
      <c r="W165" s="46" t="s">
        <v>60</v>
      </c>
      <c r="X165" s="46" t="s">
        <v>2587</v>
      </c>
      <c r="Y165" s="46" t="s">
        <v>2538</v>
      </c>
      <c r="Z165" s="74" t="s">
        <v>1387</v>
      </c>
      <c r="AA165" s="10"/>
    </row>
    <row r="166" spans="1:27" x14ac:dyDescent="0.25">
      <c r="A166" s="58">
        <v>189</v>
      </c>
      <c r="B166" s="33" t="s">
        <v>60</v>
      </c>
      <c r="C166" s="34" t="s">
        <v>60</v>
      </c>
      <c r="D166" s="35" t="s">
        <v>103</v>
      </c>
      <c r="E166" s="35" t="s">
        <v>968</v>
      </c>
      <c r="F166" s="35" t="s">
        <v>1567</v>
      </c>
      <c r="G166" s="36" t="s">
        <v>1417</v>
      </c>
      <c r="H166" s="35" t="s">
        <v>1310</v>
      </c>
      <c r="I166" s="37" t="s">
        <v>60</v>
      </c>
      <c r="J166" s="37" t="s">
        <v>60</v>
      </c>
      <c r="K166" s="35" t="s">
        <v>1443</v>
      </c>
      <c r="L166" s="46" t="s">
        <v>1443</v>
      </c>
      <c r="M166" s="46" t="s">
        <v>1869</v>
      </c>
      <c r="N166" s="46" t="s">
        <v>60</v>
      </c>
      <c r="O166" s="46" t="s">
        <v>2360</v>
      </c>
      <c r="P166" s="46" t="s">
        <v>2328</v>
      </c>
      <c r="Q166" s="46" t="s">
        <v>2130</v>
      </c>
      <c r="R166" s="46">
        <v>9999934588</v>
      </c>
      <c r="S166" s="47">
        <v>46126</v>
      </c>
      <c r="T166" s="46" t="s">
        <v>1990</v>
      </c>
      <c r="U166" s="48" t="s">
        <v>1567</v>
      </c>
      <c r="V166" s="48" t="s">
        <v>968</v>
      </c>
      <c r="W166" s="46" t="s">
        <v>60</v>
      </c>
      <c r="X166" s="46" t="s">
        <v>2588</v>
      </c>
      <c r="Y166" s="46" t="s">
        <v>2538</v>
      </c>
      <c r="Z166" s="74" t="s">
        <v>1310</v>
      </c>
      <c r="AA166" s="10"/>
    </row>
    <row r="167" spans="1:27" x14ac:dyDescent="0.25">
      <c r="A167" s="58">
        <v>190</v>
      </c>
      <c r="B167" s="33" t="s">
        <v>60</v>
      </c>
      <c r="C167" s="34" t="s">
        <v>60</v>
      </c>
      <c r="D167" s="35" t="s">
        <v>40</v>
      </c>
      <c r="E167" s="35" t="s">
        <v>42</v>
      </c>
      <c r="F167" s="35" t="s">
        <v>42</v>
      </c>
      <c r="G167" s="36" t="s">
        <v>1417</v>
      </c>
      <c r="H167" s="35" t="s">
        <v>1317</v>
      </c>
      <c r="I167" s="37" t="s">
        <v>60</v>
      </c>
      <c r="J167" s="37" t="s">
        <v>60</v>
      </c>
      <c r="K167" s="35" t="s">
        <v>1450</v>
      </c>
      <c r="L167" s="46" t="s">
        <v>1450</v>
      </c>
      <c r="M167" s="46" t="s">
        <v>1869</v>
      </c>
      <c r="N167" s="46" t="s">
        <v>60</v>
      </c>
      <c r="O167" s="46" t="s">
        <v>2360</v>
      </c>
      <c r="P167" s="46" t="s">
        <v>2138</v>
      </c>
      <c r="Q167" s="46" t="s">
        <v>2139</v>
      </c>
      <c r="R167" s="46">
        <v>9999934588</v>
      </c>
      <c r="S167" s="47">
        <v>46130</v>
      </c>
      <c r="T167" s="46" t="s">
        <v>1990</v>
      </c>
      <c r="U167" s="48" t="s">
        <v>42</v>
      </c>
      <c r="V167" s="48" t="s">
        <v>42</v>
      </c>
      <c r="W167" s="46" t="s">
        <v>60</v>
      </c>
      <c r="X167" s="46" t="s">
        <v>2589</v>
      </c>
      <c r="Y167" s="46" t="s">
        <v>60</v>
      </c>
      <c r="Z167" s="74" t="s">
        <v>1317</v>
      </c>
      <c r="AA167" s="10"/>
    </row>
    <row r="168" spans="1:27" x14ac:dyDescent="0.25">
      <c r="A168" s="58">
        <v>191</v>
      </c>
      <c r="B168" s="33" t="s">
        <v>60</v>
      </c>
      <c r="C168" s="34" t="s">
        <v>60</v>
      </c>
      <c r="D168" s="35" t="s">
        <v>40</v>
      </c>
      <c r="E168" s="35" t="s">
        <v>42</v>
      </c>
      <c r="F168" s="35" t="s">
        <v>42</v>
      </c>
      <c r="G168" s="36" t="s">
        <v>1417</v>
      </c>
      <c r="H168" s="35" t="s">
        <v>1318</v>
      </c>
      <c r="I168" s="37" t="s">
        <v>60</v>
      </c>
      <c r="J168" s="37" t="s">
        <v>60</v>
      </c>
      <c r="K168" s="35" t="s">
        <v>1451</v>
      </c>
      <c r="L168" s="46" t="s">
        <v>1451</v>
      </c>
      <c r="M168" s="46" t="s">
        <v>1869</v>
      </c>
      <c r="N168" s="46" t="s">
        <v>60</v>
      </c>
      <c r="O168" s="46" t="s">
        <v>2360</v>
      </c>
      <c r="P168" s="46" t="s">
        <v>2140</v>
      </c>
      <c r="Q168" s="46" t="s">
        <v>2141</v>
      </c>
      <c r="R168" s="46">
        <v>9999934588</v>
      </c>
      <c r="S168" s="47">
        <v>46121</v>
      </c>
      <c r="T168" s="46" t="s">
        <v>1990</v>
      </c>
      <c r="U168" s="48" t="s">
        <v>42</v>
      </c>
      <c r="V168" s="48" t="s">
        <v>42</v>
      </c>
      <c r="W168" s="46" t="s">
        <v>60</v>
      </c>
      <c r="X168" s="46" t="s">
        <v>2702</v>
      </c>
      <c r="Y168" s="46" t="s">
        <v>2590</v>
      </c>
      <c r="Z168" s="74" t="s">
        <v>1318</v>
      </c>
      <c r="AA168" s="10"/>
    </row>
    <row r="169" spans="1:27" x14ac:dyDescent="0.25">
      <c r="A169" s="58">
        <v>192</v>
      </c>
      <c r="B169" s="33" t="s">
        <v>60</v>
      </c>
      <c r="C169" s="34" t="s">
        <v>60</v>
      </c>
      <c r="D169" s="35" t="s">
        <v>40</v>
      </c>
      <c r="E169" s="35" t="s">
        <v>42</v>
      </c>
      <c r="F169" s="35" t="s">
        <v>42</v>
      </c>
      <c r="G169" s="36" t="s">
        <v>1417</v>
      </c>
      <c r="H169" s="35" t="s">
        <v>1319</v>
      </c>
      <c r="I169" s="37" t="s">
        <v>60</v>
      </c>
      <c r="J169" s="37" t="s">
        <v>60</v>
      </c>
      <c r="K169" s="35" t="s">
        <v>1452</v>
      </c>
      <c r="L169" s="46" t="s">
        <v>1452</v>
      </c>
      <c r="M169" s="46" t="s">
        <v>1869</v>
      </c>
      <c r="N169" s="46" t="s">
        <v>60</v>
      </c>
      <c r="O169" s="46" t="s">
        <v>2360</v>
      </c>
      <c r="P169" s="46" t="s">
        <v>2142</v>
      </c>
      <c r="Q169" s="46" t="s">
        <v>2143</v>
      </c>
      <c r="R169" s="46">
        <v>9999934588</v>
      </c>
      <c r="S169" s="47">
        <v>46122</v>
      </c>
      <c r="T169" s="46" t="s">
        <v>1990</v>
      </c>
      <c r="U169" s="48" t="s">
        <v>42</v>
      </c>
      <c r="V169" s="48" t="s">
        <v>42</v>
      </c>
      <c r="W169" s="46" t="s">
        <v>60</v>
      </c>
      <c r="X169" s="46" t="s">
        <v>2591</v>
      </c>
      <c r="Y169" s="46" t="s">
        <v>2592</v>
      </c>
      <c r="Z169" s="74" t="s">
        <v>1319</v>
      </c>
      <c r="AA169" s="10"/>
    </row>
    <row r="170" spans="1:27" x14ac:dyDescent="0.25">
      <c r="A170" s="58">
        <v>193</v>
      </c>
      <c r="B170" s="33" t="s">
        <v>60</v>
      </c>
      <c r="C170" s="34" t="s">
        <v>60</v>
      </c>
      <c r="D170" s="35" t="s">
        <v>103</v>
      </c>
      <c r="E170" s="35" t="s">
        <v>1621</v>
      </c>
      <c r="F170" s="35" t="s">
        <v>1568</v>
      </c>
      <c r="G170" s="36" t="s">
        <v>1417</v>
      </c>
      <c r="H170" s="35" t="s">
        <v>1313</v>
      </c>
      <c r="I170" s="37" t="s">
        <v>60</v>
      </c>
      <c r="J170" s="37" t="s">
        <v>60</v>
      </c>
      <c r="K170" s="35" t="s">
        <v>1446</v>
      </c>
      <c r="L170" s="46" t="s">
        <v>1446</v>
      </c>
      <c r="M170" s="46" t="s">
        <v>1869</v>
      </c>
      <c r="N170" s="46" t="s">
        <v>60</v>
      </c>
      <c r="O170" s="46" t="s">
        <v>2360</v>
      </c>
      <c r="P170" s="46" t="s">
        <v>2329</v>
      </c>
      <c r="Q170" s="46" t="s">
        <v>2134</v>
      </c>
      <c r="R170" s="46">
        <v>9999934588</v>
      </c>
      <c r="S170" s="47">
        <v>46121</v>
      </c>
      <c r="T170" s="46" t="s">
        <v>1990</v>
      </c>
      <c r="U170" s="48" t="s">
        <v>1568</v>
      </c>
      <c r="V170" s="48" t="s">
        <v>1621</v>
      </c>
      <c r="W170" s="46" t="s">
        <v>60</v>
      </c>
      <c r="X170" s="46" t="s">
        <v>2593</v>
      </c>
      <c r="Y170" s="46" t="s">
        <v>60</v>
      </c>
      <c r="Z170" s="74" t="s">
        <v>1313</v>
      </c>
      <c r="AA170" s="10"/>
    </row>
    <row r="171" spans="1:27" x14ac:dyDescent="0.25">
      <c r="A171" s="58">
        <v>194</v>
      </c>
      <c r="B171" s="33" t="s">
        <v>60</v>
      </c>
      <c r="C171" s="34" t="s">
        <v>60</v>
      </c>
      <c r="D171" s="35" t="s">
        <v>103</v>
      </c>
      <c r="E171" s="35" t="s">
        <v>1621</v>
      </c>
      <c r="F171" s="35" t="s">
        <v>1568</v>
      </c>
      <c r="G171" s="36" t="s">
        <v>1417</v>
      </c>
      <c r="H171" s="35" t="s">
        <v>1312</v>
      </c>
      <c r="I171" s="37" t="s">
        <v>60</v>
      </c>
      <c r="J171" s="37" t="s">
        <v>60</v>
      </c>
      <c r="K171" s="35" t="s">
        <v>1445</v>
      </c>
      <c r="L171" s="46" t="s">
        <v>1445</v>
      </c>
      <c r="M171" s="46" t="s">
        <v>1869</v>
      </c>
      <c r="N171" s="46" t="s">
        <v>60</v>
      </c>
      <c r="O171" s="46" t="s">
        <v>2360</v>
      </c>
      <c r="P171" s="46" t="s">
        <v>2133</v>
      </c>
      <c r="Q171" s="46" t="s">
        <v>2130</v>
      </c>
      <c r="R171" s="46">
        <v>9999934588</v>
      </c>
      <c r="S171" s="47">
        <v>46121</v>
      </c>
      <c r="T171" s="46" t="s">
        <v>1990</v>
      </c>
      <c r="U171" s="48" t="s">
        <v>1568</v>
      </c>
      <c r="V171" s="48" t="s">
        <v>1621</v>
      </c>
      <c r="W171" s="46" t="s">
        <v>60</v>
      </c>
      <c r="X171" s="46" t="s">
        <v>2594</v>
      </c>
      <c r="Y171" s="46" t="s">
        <v>322</v>
      </c>
      <c r="Z171" s="74" t="s">
        <v>1312</v>
      </c>
      <c r="AA171" s="10"/>
    </row>
    <row r="172" spans="1:27" x14ac:dyDescent="0.25">
      <c r="A172" s="58">
        <v>195</v>
      </c>
      <c r="B172" s="33" t="s">
        <v>60</v>
      </c>
      <c r="C172" s="34" t="s">
        <v>60</v>
      </c>
      <c r="D172" s="35" t="s">
        <v>103</v>
      </c>
      <c r="E172" s="35" t="s">
        <v>1621</v>
      </c>
      <c r="F172" s="35" t="s">
        <v>1577</v>
      </c>
      <c r="G172" s="36" t="s">
        <v>1417</v>
      </c>
      <c r="H172" s="35" t="s">
        <v>1331</v>
      </c>
      <c r="I172" s="37" t="s">
        <v>60</v>
      </c>
      <c r="J172" s="37" t="s">
        <v>60</v>
      </c>
      <c r="K172" s="35" t="s">
        <v>1464</v>
      </c>
      <c r="L172" s="46" t="s">
        <v>1464</v>
      </c>
      <c r="M172" s="46" t="s">
        <v>1869</v>
      </c>
      <c r="N172" s="46" t="s">
        <v>60</v>
      </c>
      <c r="O172" s="46" t="s">
        <v>2360</v>
      </c>
      <c r="P172" s="46" t="s">
        <v>2161</v>
      </c>
      <c r="Q172" s="46" t="s">
        <v>2162</v>
      </c>
      <c r="R172" s="46">
        <v>9999934588</v>
      </c>
      <c r="S172" s="47">
        <v>46123</v>
      </c>
      <c r="T172" s="46" t="s">
        <v>1990</v>
      </c>
      <c r="U172" s="48" t="s">
        <v>1577</v>
      </c>
      <c r="V172" s="48" t="s">
        <v>1621</v>
      </c>
      <c r="W172" s="46" t="s">
        <v>60</v>
      </c>
      <c r="X172" s="46" t="s">
        <v>2582</v>
      </c>
      <c r="Y172" s="46" t="s">
        <v>322</v>
      </c>
      <c r="Z172" s="74" t="s">
        <v>1331</v>
      </c>
      <c r="AA172" s="10"/>
    </row>
    <row r="173" spans="1:27" x14ac:dyDescent="0.25">
      <c r="A173" s="58">
        <v>196</v>
      </c>
      <c r="B173" s="33" t="s">
        <v>60</v>
      </c>
      <c r="C173" s="34" t="s">
        <v>60</v>
      </c>
      <c r="D173" s="35" t="s">
        <v>103</v>
      </c>
      <c r="E173" s="35" t="s">
        <v>1621</v>
      </c>
      <c r="F173" s="35" t="s">
        <v>342</v>
      </c>
      <c r="G173" s="36" t="s">
        <v>1417</v>
      </c>
      <c r="H173" s="35" t="s">
        <v>1398</v>
      </c>
      <c r="I173" s="37" t="s">
        <v>60</v>
      </c>
      <c r="J173" s="37" t="s">
        <v>60</v>
      </c>
      <c r="K173" s="35" t="s">
        <v>1532</v>
      </c>
      <c r="L173" s="46" t="s">
        <v>1532</v>
      </c>
      <c r="M173" s="46" t="s">
        <v>1869</v>
      </c>
      <c r="N173" s="46" t="s">
        <v>60</v>
      </c>
      <c r="O173" s="46" t="s">
        <v>2360</v>
      </c>
      <c r="P173" s="46" t="s">
        <v>2244</v>
      </c>
      <c r="Q173" s="46" t="s">
        <v>2245</v>
      </c>
      <c r="R173" s="46">
        <v>9999934588</v>
      </c>
      <c r="S173" s="47" t="s">
        <v>2246</v>
      </c>
      <c r="T173" s="46" t="s">
        <v>1990</v>
      </c>
      <c r="U173" s="48" t="s">
        <v>342</v>
      </c>
      <c r="V173" s="48" t="s">
        <v>1621</v>
      </c>
      <c r="W173" s="46" t="s">
        <v>60</v>
      </c>
      <c r="X173" s="46" t="s">
        <v>2727</v>
      </c>
      <c r="Y173" s="46" t="s">
        <v>2595</v>
      </c>
      <c r="Z173" s="74" t="s">
        <v>1398</v>
      </c>
      <c r="AA173" s="10"/>
    </row>
    <row r="174" spans="1:27" x14ac:dyDescent="0.25">
      <c r="A174" s="58">
        <v>197</v>
      </c>
      <c r="B174" s="33" t="s">
        <v>60</v>
      </c>
      <c r="C174" s="34" t="s">
        <v>60</v>
      </c>
      <c r="D174" s="35" t="s">
        <v>103</v>
      </c>
      <c r="E174" s="35" t="s">
        <v>1621</v>
      </c>
      <c r="F174" s="35" t="s">
        <v>342</v>
      </c>
      <c r="G174" s="36" t="s">
        <v>1417</v>
      </c>
      <c r="H174" s="35" t="s">
        <v>1399</v>
      </c>
      <c r="I174" s="37" t="s">
        <v>60</v>
      </c>
      <c r="J174" s="37" t="s">
        <v>60</v>
      </c>
      <c r="K174" s="35" t="s">
        <v>1533</v>
      </c>
      <c r="L174" s="46" t="s">
        <v>1533</v>
      </c>
      <c r="M174" s="46" t="s">
        <v>1869</v>
      </c>
      <c r="N174" s="46" t="s">
        <v>60</v>
      </c>
      <c r="O174" s="46" t="s">
        <v>2360</v>
      </c>
      <c r="P174" s="46" t="s">
        <v>2247</v>
      </c>
      <c r="Q174" s="46" t="s">
        <v>2248</v>
      </c>
      <c r="R174" s="46">
        <v>9999934588</v>
      </c>
      <c r="S174" s="47">
        <v>46128</v>
      </c>
      <c r="T174" s="46" t="s">
        <v>1990</v>
      </c>
      <c r="U174" s="48" t="s">
        <v>342</v>
      </c>
      <c r="V174" s="48" t="s">
        <v>1621</v>
      </c>
      <c r="W174" s="46" t="s">
        <v>60</v>
      </c>
      <c r="X174" s="46" t="s">
        <v>2596</v>
      </c>
      <c r="Y174" s="46" t="s">
        <v>60</v>
      </c>
      <c r="Z174" s="74" t="s">
        <v>1399</v>
      </c>
      <c r="AA174" s="10"/>
    </row>
    <row r="175" spans="1:27" x14ac:dyDescent="0.25">
      <c r="A175" s="58">
        <v>198</v>
      </c>
      <c r="B175" s="33" t="s">
        <v>60</v>
      </c>
      <c r="C175" s="34" t="s">
        <v>60</v>
      </c>
      <c r="D175" s="35" t="s">
        <v>40</v>
      </c>
      <c r="E175" s="35" t="s">
        <v>129</v>
      </c>
      <c r="F175" s="35" t="s">
        <v>129</v>
      </c>
      <c r="G175" s="36" t="s">
        <v>1417</v>
      </c>
      <c r="H175" s="35" t="s">
        <v>1327</v>
      </c>
      <c r="I175" s="37" t="s">
        <v>60</v>
      </c>
      <c r="J175" s="37" t="s">
        <v>60</v>
      </c>
      <c r="K175" s="35" t="s">
        <v>1460</v>
      </c>
      <c r="L175" s="46" t="s">
        <v>1460</v>
      </c>
      <c r="M175" s="46" t="s">
        <v>1869</v>
      </c>
      <c r="N175" s="46" t="s">
        <v>60</v>
      </c>
      <c r="O175" s="46" t="s">
        <v>2360</v>
      </c>
      <c r="P175" s="46" t="s">
        <v>2155</v>
      </c>
      <c r="Q175" s="46" t="s">
        <v>2093</v>
      </c>
      <c r="R175" s="46">
        <v>9999934588</v>
      </c>
      <c r="S175" s="47">
        <v>46130</v>
      </c>
      <c r="T175" s="46" t="s">
        <v>1990</v>
      </c>
      <c r="U175" s="48" t="s">
        <v>129</v>
      </c>
      <c r="V175" s="48" t="s">
        <v>129</v>
      </c>
      <c r="W175" s="46" t="s">
        <v>60</v>
      </c>
      <c r="X175" s="46" t="s">
        <v>2597</v>
      </c>
      <c r="Y175" s="46" t="s">
        <v>143</v>
      </c>
      <c r="Z175" s="74" t="s">
        <v>1327</v>
      </c>
      <c r="AA175" s="10"/>
    </row>
    <row r="176" spans="1:27" x14ac:dyDescent="0.25">
      <c r="A176" s="58">
        <v>199</v>
      </c>
      <c r="B176" s="33" t="s">
        <v>60</v>
      </c>
      <c r="C176" s="34" t="s">
        <v>60</v>
      </c>
      <c r="D176" s="35" t="s">
        <v>40</v>
      </c>
      <c r="E176" s="35" t="s">
        <v>129</v>
      </c>
      <c r="F176" s="35" t="s">
        <v>129</v>
      </c>
      <c r="G176" s="36" t="s">
        <v>1417</v>
      </c>
      <c r="H176" s="35" t="s">
        <v>1852</v>
      </c>
      <c r="I176" s="37" t="s">
        <v>60</v>
      </c>
      <c r="J176" s="37" t="s">
        <v>60</v>
      </c>
      <c r="K176" s="35" t="s">
        <v>1853</v>
      </c>
      <c r="L176" s="46" t="s">
        <v>1853</v>
      </c>
      <c r="M176" s="46" t="s">
        <v>1869</v>
      </c>
      <c r="N176" s="46" t="s">
        <v>60</v>
      </c>
      <c r="O176" s="46" t="s">
        <v>2360</v>
      </c>
      <c r="P176" s="46" t="s">
        <v>2234</v>
      </c>
      <c r="Q176" s="46" t="s">
        <v>2093</v>
      </c>
      <c r="R176" s="46">
        <v>9999934588</v>
      </c>
      <c r="S176" s="47">
        <v>46129</v>
      </c>
      <c r="T176" s="46" t="s">
        <v>1990</v>
      </c>
      <c r="U176" s="48" t="s">
        <v>129</v>
      </c>
      <c r="V176" s="48" t="s">
        <v>129</v>
      </c>
      <c r="W176" s="46" t="s">
        <v>60</v>
      </c>
      <c r="X176" s="46" t="s">
        <v>2703</v>
      </c>
      <c r="Y176" s="46" t="s">
        <v>2566</v>
      </c>
      <c r="Z176" s="74" t="s">
        <v>1852</v>
      </c>
      <c r="AA176" s="10"/>
    </row>
    <row r="177" spans="1:27" x14ac:dyDescent="0.25">
      <c r="A177" s="58">
        <v>200</v>
      </c>
      <c r="B177" s="33" t="s">
        <v>60</v>
      </c>
      <c r="C177" s="34" t="s">
        <v>60</v>
      </c>
      <c r="D177" s="35" t="s">
        <v>40</v>
      </c>
      <c r="E177" s="35" t="s">
        <v>129</v>
      </c>
      <c r="F177" s="35" t="s">
        <v>129</v>
      </c>
      <c r="G177" s="36" t="s">
        <v>1417</v>
      </c>
      <c r="H177" s="35" t="s">
        <v>1328</v>
      </c>
      <c r="I177" s="37" t="s">
        <v>60</v>
      </c>
      <c r="J177" s="37" t="s">
        <v>60</v>
      </c>
      <c r="K177" s="35" t="s">
        <v>1461</v>
      </c>
      <c r="L177" s="46" t="s">
        <v>1461</v>
      </c>
      <c r="M177" s="46" t="s">
        <v>1869</v>
      </c>
      <c r="N177" s="46" t="s">
        <v>60</v>
      </c>
      <c r="O177" s="46" t="s">
        <v>2360</v>
      </c>
      <c r="P177" s="46" t="s">
        <v>2156</v>
      </c>
      <c r="Q177" s="46" t="s">
        <v>2157</v>
      </c>
      <c r="R177" s="46">
        <v>9999934588</v>
      </c>
      <c r="S177" s="47">
        <v>46125</v>
      </c>
      <c r="T177" s="46" t="s">
        <v>1990</v>
      </c>
      <c r="U177" s="48" t="s">
        <v>129</v>
      </c>
      <c r="V177" s="48" t="s">
        <v>129</v>
      </c>
      <c r="W177" s="46" t="s">
        <v>60</v>
      </c>
      <c r="X177" s="46" t="s">
        <v>2589</v>
      </c>
      <c r="Y177" s="46" t="s">
        <v>143</v>
      </c>
      <c r="Z177" s="74" t="s">
        <v>1328</v>
      </c>
      <c r="AA177" s="10"/>
    </row>
    <row r="178" spans="1:27" x14ac:dyDescent="0.25">
      <c r="A178" s="58">
        <v>201</v>
      </c>
      <c r="B178" s="33" t="s">
        <v>60</v>
      </c>
      <c r="C178" s="34" t="s">
        <v>60</v>
      </c>
      <c r="D178" s="35" t="s">
        <v>40</v>
      </c>
      <c r="E178" s="35" t="s">
        <v>129</v>
      </c>
      <c r="F178" s="35" t="s">
        <v>129</v>
      </c>
      <c r="G178" s="36" t="s">
        <v>1417</v>
      </c>
      <c r="H178" s="35" t="s">
        <v>1389</v>
      </c>
      <c r="I178" s="37" t="s">
        <v>60</v>
      </c>
      <c r="J178" s="37" t="s">
        <v>60</v>
      </c>
      <c r="K178" s="35" t="s">
        <v>1523</v>
      </c>
      <c r="L178" s="46" t="s">
        <v>1523</v>
      </c>
      <c r="M178" s="46" t="s">
        <v>1869</v>
      </c>
      <c r="N178" s="46" t="s">
        <v>60</v>
      </c>
      <c r="O178" s="46" t="s">
        <v>2360</v>
      </c>
      <c r="P178" s="46" t="s">
        <v>2337</v>
      </c>
      <c r="Q178" s="46" t="s">
        <v>2235</v>
      </c>
      <c r="R178" s="46">
        <v>9999934588</v>
      </c>
      <c r="S178" s="47">
        <v>46123</v>
      </c>
      <c r="T178" s="46" t="s">
        <v>1990</v>
      </c>
      <c r="U178" s="48" t="s">
        <v>129</v>
      </c>
      <c r="V178" s="48" t="s">
        <v>129</v>
      </c>
      <c r="W178" s="46" t="s">
        <v>60</v>
      </c>
      <c r="X178" s="46" t="s">
        <v>2704</v>
      </c>
      <c r="Y178" s="46" t="s">
        <v>2566</v>
      </c>
      <c r="Z178" s="74" t="s">
        <v>1389</v>
      </c>
      <c r="AA178" s="10"/>
    </row>
    <row r="179" spans="1:27" x14ac:dyDescent="0.25">
      <c r="A179" s="58">
        <v>202</v>
      </c>
      <c r="B179" s="33" t="s">
        <v>60</v>
      </c>
      <c r="C179" s="34" t="s">
        <v>60</v>
      </c>
      <c r="D179" s="35" t="s">
        <v>40</v>
      </c>
      <c r="E179" s="35" t="s">
        <v>129</v>
      </c>
      <c r="F179" s="35" t="s">
        <v>129</v>
      </c>
      <c r="G179" s="36" t="s">
        <v>1417</v>
      </c>
      <c r="H179" s="35" t="s">
        <v>1393</v>
      </c>
      <c r="I179" s="37" t="s">
        <v>60</v>
      </c>
      <c r="J179" s="37" t="s">
        <v>60</v>
      </c>
      <c r="K179" s="35" t="s">
        <v>1527</v>
      </c>
      <c r="L179" s="46" t="s">
        <v>1527</v>
      </c>
      <c r="M179" s="46" t="s">
        <v>1869</v>
      </c>
      <c r="N179" s="46" t="s">
        <v>60</v>
      </c>
      <c r="O179" s="46" t="s">
        <v>2360</v>
      </c>
      <c r="P179" s="46" t="s">
        <v>2239</v>
      </c>
      <c r="Q179" s="46" t="s">
        <v>2157</v>
      </c>
      <c r="R179" s="46">
        <v>9999934588</v>
      </c>
      <c r="S179" s="47">
        <v>46122</v>
      </c>
      <c r="T179" s="46" t="s">
        <v>1990</v>
      </c>
      <c r="U179" s="48" t="s">
        <v>129</v>
      </c>
      <c r="V179" s="48" t="s">
        <v>129</v>
      </c>
      <c r="W179" s="46" t="s">
        <v>60</v>
      </c>
      <c r="X179" s="46" t="s">
        <v>2598</v>
      </c>
      <c r="Y179" s="46" t="s">
        <v>60</v>
      </c>
      <c r="Z179" s="74" t="s">
        <v>1393</v>
      </c>
      <c r="AA179" s="10"/>
    </row>
    <row r="180" spans="1:27" x14ac:dyDescent="0.25">
      <c r="A180" s="58">
        <v>203</v>
      </c>
      <c r="B180" s="33" t="s">
        <v>60</v>
      </c>
      <c r="C180" s="34" t="s">
        <v>60</v>
      </c>
      <c r="D180" s="35" t="s">
        <v>40</v>
      </c>
      <c r="E180" s="35" t="s">
        <v>129</v>
      </c>
      <c r="F180" s="35" t="s">
        <v>129</v>
      </c>
      <c r="G180" s="36" t="s">
        <v>1417</v>
      </c>
      <c r="H180" s="35" t="s">
        <v>1392</v>
      </c>
      <c r="I180" s="37" t="s">
        <v>60</v>
      </c>
      <c r="J180" s="37" t="s">
        <v>60</v>
      </c>
      <c r="K180" s="35" t="s">
        <v>1526</v>
      </c>
      <c r="L180" s="46" t="s">
        <v>1526</v>
      </c>
      <c r="M180" s="46" t="s">
        <v>1869</v>
      </c>
      <c r="N180" s="46" t="s">
        <v>60</v>
      </c>
      <c r="O180" s="46" t="s">
        <v>2360</v>
      </c>
      <c r="P180" s="46" t="s">
        <v>2238</v>
      </c>
      <c r="Q180" s="46" t="s">
        <v>2157</v>
      </c>
      <c r="R180" s="46">
        <v>9999934588</v>
      </c>
      <c r="S180" s="47">
        <v>46125</v>
      </c>
      <c r="T180" s="46" t="s">
        <v>1990</v>
      </c>
      <c r="U180" s="48" t="s">
        <v>129</v>
      </c>
      <c r="V180" s="48" t="s">
        <v>129</v>
      </c>
      <c r="W180" s="46" t="s">
        <v>60</v>
      </c>
      <c r="X180" s="46" t="s">
        <v>2567</v>
      </c>
      <c r="Y180" s="46" t="s">
        <v>143</v>
      </c>
      <c r="Z180" s="74" t="s">
        <v>1392</v>
      </c>
      <c r="AA180" s="10"/>
    </row>
    <row r="181" spans="1:27" x14ac:dyDescent="0.25">
      <c r="A181" s="58">
        <v>204</v>
      </c>
      <c r="B181" s="33" t="s">
        <v>60</v>
      </c>
      <c r="C181" s="34" t="s">
        <v>60</v>
      </c>
      <c r="D181" s="35" t="s">
        <v>40</v>
      </c>
      <c r="E181" s="35" t="s">
        <v>96</v>
      </c>
      <c r="F181" s="35" t="s">
        <v>1553</v>
      </c>
      <c r="G181" s="36" t="s">
        <v>1417</v>
      </c>
      <c r="H181" s="35" t="s">
        <v>1294</v>
      </c>
      <c r="I181" s="37" t="s">
        <v>60</v>
      </c>
      <c r="J181" s="37" t="s">
        <v>60</v>
      </c>
      <c r="K181" s="35" t="s">
        <v>1427</v>
      </c>
      <c r="L181" s="46" t="s">
        <v>1427</v>
      </c>
      <c r="M181" s="46" t="s">
        <v>1869</v>
      </c>
      <c r="N181" s="46" t="s">
        <v>60</v>
      </c>
      <c r="O181" s="46" t="s">
        <v>2360</v>
      </c>
      <c r="P181" s="46" t="s">
        <v>2107</v>
      </c>
      <c r="Q181" s="46" t="s">
        <v>2108</v>
      </c>
      <c r="R181" s="46">
        <v>9999934588</v>
      </c>
      <c r="S181" s="47">
        <v>46122</v>
      </c>
      <c r="T181" s="46" t="s">
        <v>1990</v>
      </c>
      <c r="U181" s="48" t="s">
        <v>1553</v>
      </c>
      <c r="V181" s="48" t="s">
        <v>96</v>
      </c>
      <c r="W181" s="46" t="s">
        <v>60</v>
      </c>
      <c r="X181" s="46" t="s">
        <v>2599</v>
      </c>
      <c r="Y181" s="46" t="s">
        <v>2600</v>
      </c>
      <c r="Z181" s="74" t="s">
        <v>1294</v>
      </c>
      <c r="AA181" s="10"/>
    </row>
    <row r="182" spans="1:27" x14ac:dyDescent="0.25">
      <c r="A182" s="58">
        <v>205</v>
      </c>
      <c r="B182" s="33" t="s">
        <v>60</v>
      </c>
      <c r="C182" s="34" t="s">
        <v>60</v>
      </c>
      <c r="D182" s="35" t="s">
        <v>40</v>
      </c>
      <c r="E182" s="35" t="s">
        <v>96</v>
      </c>
      <c r="F182" s="35" t="s">
        <v>1580</v>
      </c>
      <c r="G182" s="36" t="s">
        <v>1417</v>
      </c>
      <c r="H182" s="35" t="s">
        <v>1334</v>
      </c>
      <c r="I182" s="37" t="s">
        <v>60</v>
      </c>
      <c r="J182" s="37" t="s">
        <v>60</v>
      </c>
      <c r="K182" s="35" t="s">
        <v>1467</v>
      </c>
      <c r="L182" s="46" t="s">
        <v>1467</v>
      </c>
      <c r="M182" s="46" t="s">
        <v>1869</v>
      </c>
      <c r="N182" s="46" t="s">
        <v>60</v>
      </c>
      <c r="O182" s="46" t="s">
        <v>2360</v>
      </c>
      <c r="P182" s="46" t="s">
        <v>2167</v>
      </c>
      <c r="Q182" s="46" t="s">
        <v>2168</v>
      </c>
      <c r="R182" s="46">
        <v>9999934588</v>
      </c>
      <c r="S182" s="47">
        <v>46129</v>
      </c>
      <c r="T182" s="46" t="s">
        <v>1990</v>
      </c>
      <c r="U182" s="48" t="s">
        <v>1580</v>
      </c>
      <c r="V182" s="48" t="s">
        <v>96</v>
      </c>
      <c r="W182" s="46" t="s">
        <v>60</v>
      </c>
      <c r="X182" s="46" t="s">
        <v>2567</v>
      </c>
      <c r="Y182" s="46" t="s">
        <v>143</v>
      </c>
      <c r="Z182" s="74" t="s">
        <v>1334</v>
      </c>
      <c r="AA182" s="10"/>
    </row>
    <row r="183" spans="1:27" x14ac:dyDescent="0.25">
      <c r="A183" s="58">
        <v>206</v>
      </c>
      <c r="B183" s="33" t="s">
        <v>60</v>
      </c>
      <c r="C183" s="34" t="s">
        <v>60</v>
      </c>
      <c r="D183" s="35" t="s">
        <v>40</v>
      </c>
      <c r="E183" s="35" t="s">
        <v>96</v>
      </c>
      <c r="F183" s="35" t="s">
        <v>1591</v>
      </c>
      <c r="G183" s="36" t="s">
        <v>1417</v>
      </c>
      <c r="H183" s="35" t="s">
        <v>1361</v>
      </c>
      <c r="I183" s="37" t="s">
        <v>60</v>
      </c>
      <c r="J183" s="37" t="s">
        <v>60</v>
      </c>
      <c r="K183" s="35" t="s">
        <v>1494</v>
      </c>
      <c r="L183" s="46" t="s">
        <v>1494</v>
      </c>
      <c r="M183" s="46" t="s">
        <v>1869</v>
      </c>
      <c r="N183" s="46" t="s">
        <v>60</v>
      </c>
      <c r="O183" s="46" t="s">
        <v>2360</v>
      </c>
      <c r="P183" s="46" t="s">
        <v>2202</v>
      </c>
      <c r="Q183" s="46" t="s">
        <v>2203</v>
      </c>
      <c r="R183" s="46">
        <v>9999934588</v>
      </c>
      <c r="S183" s="47">
        <v>46126</v>
      </c>
      <c r="T183" s="46" t="s">
        <v>1990</v>
      </c>
      <c r="U183" s="48" t="s">
        <v>1591</v>
      </c>
      <c r="V183" s="48" t="s">
        <v>96</v>
      </c>
      <c r="W183" s="46" t="s">
        <v>60</v>
      </c>
      <c r="X183" s="46" t="s">
        <v>2705</v>
      </c>
      <c r="Y183" s="46" t="s">
        <v>2554</v>
      </c>
      <c r="Z183" s="74" t="s">
        <v>1361</v>
      </c>
      <c r="AA183" s="10"/>
    </row>
    <row r="184" spans="1:27" x14ac:dyDescent="0.25">
      <c r="A184" s="58">
        <v>207</v>
      </c>
      <c r="B184" s="33" t="s">
        <v>60</v>
      </c>
      <c r="C184" s="34" t="s">
        <v>60</v>
      </c>
      <c r="D184" s="35" t="s">
        <v>40</v>
      </c>
      <c r="E184" s="35" t="s">
        <v>96</v>
      </c>
      <c r="F184" s="35" t="s">
        <v>1593</v>
      </c>
      <c r="G184" s="36" t="s">
        <v>1417</v>
      </c>
      <c r="H184" s="35" t="s">
        <v>1363</v>
      </c>
      <c r="I184" s="37" t="s">
        <v>60</v>
      </c>
      <c r="J184" s="37" t="s">
        <v>60</v>
      </c>
      <c r="K184" s="35" t="s">
        <v>1496</v>
      </c>
      <c r="L184" s="46" t="s">
        <v>1496</v>
      </c>
      <c r="M184" s="46" t="s">
        <v>1869</v>
      </c>
      <c r="N184" s="46" t="s">
        <v>60</v>
      </c>
      <c r="O184" s="46" t="s">
        <v>2359</v>
      </c>
      <c r="P184" s="46" t="s">
        <v>917</v>
      </c>
      <c r="Q184" s="46" t="s">
        <v>2141</v>
      </c>
      <c r="R184" s="46">
        <v>9999934588</v>
      </c>
      <c r="S184" s="47">
        <v>46121</v>
      </c>
      <c r="T184" s="46" t="s">
        <v>1990</v>
      </c>
      <c r="U184" s="48" t="s">
        <v>1593</v>
      </c>
      <c r="V184" s="48" t="s">
        <v>96</v>
      </c>
      <c r="W184" s="46" t="s">
        <v>60</v>
      </c>
      <c r="X184" s="46" t="s">
        <v>2601</v>
      </c>
      <c r="Y184" s="46" t="s">
        <v>2592</v>
      </c>
      <c r="Z184" s="74" t="s">
        <v>1363</v>
      </c>
      <c r="AA184" s="10"/>
    </row>
    <row r="185" spans="1:27" x14ac:dyDescent="0.25">
      <c r="A185" s="58">
        <v>208</v>
      </c>
      <c r="B185" s="33" t="s">
        <v>60</v>
      </c>
      <c r="C185" s="34" t="s">
        <v>60</v>
      </c>
      <c r="D185" s="35" t="s">
        <v>40</v>
      </c>
      <c r="E185" s="35" t="s">
        <v>96</v>
      </c>
      <c r="F185" s="35" t="s">
        <v>1593</v>
      </c>
      <c r="G185" s="36" t="s">
        <v>1417</v>
      </c>
      <c r="H185" s="35" t="s">
        <v>44</v>
      </c>
      <c r="I185" s="37" t="s">
        <v>60</v>
      </c>
      <c r="J185" s="37" t="s">
        <v>60</v>
      </c>
      <c r="K185" s="35" t="s">
        <v>1497</v>
      </c>
      <c r="L185" s="46" t="s">
        <v>1497</v>
      </c>
      <c r="M185" s="46" t="s">
        <v>1869</v>
      </c>
      <c r="N185" s="46" t="s">
        <v>60</v>
      </c>
      <c r="O185" s="46" t="s">
        <v>2360</v>
      </c>
      <c r="P185" s="46" t="s">
        <v>2205</v>
      </c>
      <c r="Q185" s="46" t="s">
        <v>2206</v>
      </c>
      <c r="R185" s="46">
        <v>9999934588</v>
      </c>
      <c r="S185" s="47">
        <v>46122</v>
      </c>
      <c r="T185" s="46" t="s">
        <v>1990</v>
      </c>
      <c r="U185" s="48" t="s">
        <v>1593</v>
      </c>
      <c r="V185" s="48" t="s">
        <v>96</v>
      </c>
      <c r="W185" s="46" t="s">
        <v>60</v>
      </c>
      <c r="X185" s="46" t="s">
        <v>2602</v>
      </c>
      <c r="Y185" s="46" t="s">
        <v>2603</v>
      </c>
      <c r="Z185" s="74" t="s">
        <v>44</v>
      </c>
      <c r="AA185" s="10"/>
    </row>
    <row r="186" spans="1:27" x14ac:dyDescent="0.25">
      <c r="A186" s="58">
        <v>209</v>
      </c>
      <c r="B186" s="33" t="s">
        <v>60</v>
      </c>
      <c r="C186" s="34" t="s">
        <v>60</v>
      </c>
      <c r="D186" s="35" t="s">
        <v>40</v>
      </c>
      <c r="E186" s="35" t="s">
        <v>96</v>
      </c>
      <c r="F186" s="35" t="s">
        <v>1595</v>
      </c>
      <c r="G186" s="36" t="s">
        <v>1417</v>
      </c>
      <c r="H186" s="35" t="s">
        <v>1371</v>
      </c>
      <c r="I186" s="37" t="s">
        <v>60</v>
      </c>
      <c r="J186" s="37" t="s">
        <v>60</v>
      </c>
      <c r="K186" s="35" t="s">
        <v>1505</v>
      </c>
      <c r="L186" s="46" t="s">
        <v>1505</v>
      </c>
      <c r="M186" s="46" t="s">
        <v>1869</v>
      </c>
      <c r="N186" s="46" t="s">
        <v>60</v>
      </c>
      <c r="O186" s="46" t="s">
        <v>2360</v>
      </c>
      <c r="P186" s="46" t="s">
        <v>2216</v>
      </c>
      <c r="Q186" s="46" t="s">
        <v>2093</v>
      </c>
      <c r="R186" s="46">
        <v>9999934588</v>
      </c>
      <c r="S186" s="47">
        <v>46130</v>
      </c>
      <c r="T186" s="46" t="s">
        <v>1990</v>
      </c>
      <c r="U186" s="48" t="s">
        <v>1595</v>
      </c>
      <c r="V186" s="48" t="s">
        <v>96</v>
      </c>
      <c r="W186" s="46" t="s">
        <v>60</v>
      </c>
      <c r="X186" s="46" t="s">
        <v>2604</v>
      </c>
      <c r="Y186" s="46" t="s">
        <v>60</v>
      </c>
      <c r="Z186" s="74" t="s">
        <v>1371</v>
      </c>
      <c r="AA186" s="10"/>
    </row>
    <row r="187" spans="1:27" x14ac:dyDescent="0.25">
      <c r="A187" s="58">
        <v>210</v>
      </c>
      <c r="B187" s="33" t="s">
        <v>60</v>
      </c>
      <c r="C187" s="34" t="s">
        <v>60</v>
      </c>
      <c r="D187" s="35" t="s">
        <v>40</v>
      </c>
      <c r="E187" s="35" t="s">
        <v>96</v>
      </c>
      <c r="F187" s="35" t="s">
        <v>1595</v>
      </c>
      <c r="G187" s="36" t="s">
        <v>1417</v>
      </c>
      <c r="H187" s="35" t="s">
        <v>1370</v>
      </c>
      <c r="I187" s="37" t="s">
        <v>60</v>
      </c>
      <c r="J187" s="37" t="s">
        <v>60</v>
      </c>
      <c r="K187" s="35" t="s">
        <v>1504</v>
      </c>
      <c r="L187" s="46" t="s">
        <v>1504</v>
      </c>
      <c r="M187" s="46" t="s">
        <v>1869</v>
      </c>
      <c r="N187" s="46" t="s">
        <v>60</v>
      </c>
      <c r="O187" s="46" t="s">
        <v>2360</v>
      </c>
      <c r="P187" s="46" t="s">
        <v>2214</v>
      </c>
      <c r="Q187" s="46" t="s">
        <v>2215</v>
      </c>
      <c r="R187" s="46">
        <v>9999934588</v>
      </c>
      <c r="S187" s="47">
        <v>46122</v>
      </c>
      <c r="T187" s="46" t="s">
        <v>1990</v>
      </c>
      <c r="U187" s="48" t="s">
        <v>1595</v>
      </c>
      <c r="V187" s="48" t="s">
        <v>96</v>
      </c>
      <c r="W187" s="46" t="s">
        <v>60</v>
      </c>
      <c r="X187" s="46" t="s">
        <v>2589</v>
      </c>
      <c r="Y187" s="46" t="s">
        <v>2533</v>
      </c>
      <c r="Z187" s="74" t="s">
        <v>1370</v>
      </c>
      <c r="AA187" s="10"/>
    </row>
    <row r="188" spans="1:27" x14ac:dyDescent="0.25">
      <c r="A188" s="58">
        <v>211</v>
      </c>
      <c r="B188" s="33" t="s">
        <v>60</v>
      </c>
      <c r="C188" s="34" t="s">
        <v>60</v>
      </c>
      <c r="D188" s="35" t="s">
        <v>40</v>
      </c>
      <c r="E188" s="35" t="s">
        <v>96</v>
      </c>
      <c r="F188" s="35" t="s">
        <v>1616</v>
      </c>
      <c r="G188" s="36" t="s">
        <v>1417</v>
      </c>
      <c r="H188" s="35" t="s">
        <v>1409</v>
      </c>
      <c r="I188" s="37" t="s">
        <v>60</v>
      </c>
      <c r="J188" s="37" t="s">
        <v>60</v>
      </c>
      <c r="K188" s="35" t="s">
        <v>1543</v>
      </c>
      <c r="L188" s="46" t="s">
        <v>1543</v>
      </c>
      <c r="M188" s="46" t="s">
        <v>1869</v>
      </c>
      <c r="N188" s="46" t="s">
        <v>60</v>
      </c>
      <c r="O188" s="46" t="s">
        <v>2360</v>
      </c>
      <c r="P188" s="46" t="s">
        <v>2260</v>
      </c>
      <c r="Q188" s="46" t="s">
        <v>2353</v>
      </c>
      <c r="R188" s="46">
        <v>9999934588</v>
      </c>
      <c r="S188" s="47">
        <v>46130</v>
      </c>
      <c r="T188" s="46" t="s">
        <v>1990</v>
      </c>
      <c r="U188" s="48" t="s">
        <v>1616</v>
      </c>
      <c r="V188" s="48" t="s">
        <v>96</v>
      </c>
      <c r="W188" s="46" t="s">
        <v>60</v>
      </c>
      <c r="X188" s="46" t="s">
        <v>2589</v>
      </c>
      <c r="Y188" s="46" t="s">
        <v>143</v>
      </c>
      <c r="Z188" s="74" t="s">
        <v>1409</v>
      </c>
      <c r="AA188" s="10"/>
    </row>
    <row r="189" spans="1:27" x14ac:dyDescent="0.25">
      <c r="A189" s="58">
        <v>212</v>
      </c>
      <c r="B189" s="33" t="s">
        <v>60</v>
      </c>
      <c r="C189" s="34" t="s">
        <v>60</v>
      </c>
      <c r="D189" s="35" t="s">
        <v>40</v>
      </c>
      <c r="E189" s="35" t="s">
        <v>351</v>
      </c>
      <c r="F189" s="35" t="s">
        <v>351</v>
      </c>
      <c r="G189" s="36" t="s">
        <v>1417</v>
      </c>
      <c r="H189" s="35" t="s">
        <v>1357</v>
      </c>
      <c r="I189" s="37" t="s">
        <v>60</v>
      </c>
      <c r="J189" s="37" t="s">
        <v>60</v>
      </c>
      <c r="K189" s="35" t="s">
        <v>1490</v>
      </c>
      <c r="L189" s="46" t="s">
        <v>1490</v>
      </c>
      <c r="M189" s="46" t="s">
        <v>1869</v>
      </c>
      <c r="N189" s="46" t="s">
        <v>60</v>
      </c>
      <c r="O189" s="46" t="s">
        <v>2360</v>
      </c>
      <c r="P189" s="46" t="s">
        <v>2199</v>
      </c>
      <c r="Q189" s="46" t="s">
        <v>515</v>
      </c>
      <c r="R189" s="46">
        <v>9999934588</v>
      </c>
      <c r="S189" s="47">
        <v>46121</v>
      </c>
      <c r="T189" s="46" t="s">
        <v>1990</v>
      </c>
      <c r="U189" s="48" t="s">
        <v>351</v>
      </c>
      <c r="V189" s="48" t="s">
        <v>351</v>
      </c>
      <c r="W189" s="46" t="s">
        <v>60</v>
      </c>
      <c r="X189" s="46" t="s">
        <v>2572</v>
      </c>
      <c r="Y189" s="46" t="s">
        <v>60</v>
      </c>
      <c r="Z189" s="74" t="s">
        <v>1357</v>
      </c>
      <c r="AA189" s="10"/>
    </row>
    <row r="190" spans="1:27" x14ac:dyDescent="0.25">
      <c r="A190" s="58">
        <v>213</v>
      </c>
      <c r="B190" s="33" t="s">
        <v>60</v>
      </c>
      <c r="C190" s="34" t="s">
        <v>60</v>
      </c>
      <c r="D190" s="35" t="s">
        <v>40</v>
      </c>
      <c r="E190" s="35" t="s">
        <v>351</v>
      </c>
      <c r="F190" s="35" t="s">
        <v>1618</v>
      </c>
      <c r="G190" s="36" t="s">
        <v>1417</v>
      </c>
      <c r="H190" s="35" t="s">
        <v>1412</v>
      </c>
      <c r="I190" s="37" t="s">
        <v>60</v>
      </c>
      <c r="J190" s="37" t="s">
        <v>60</v>
      </c>
      <c r="K190" s="35" t="s">
        <v>1546</v>
      </c>
      <c r="L190" s="46" t="s">
        <v>1546</v>
      </c>
      <c r="M190" s="46" t="s">
        <v>1869</v>
      </c>
      <c r="N190" s="46" t="s">
        <v>60</v>
      </c>
      <c r="O190" s="46" t="s">
        <v>2360</v>
      </c>
      <c r="P190" s="46" t="s">
        <v>2264</v>
      </c>
      <c r="Q190" s="46" t="s">
        <v>2265</v>
      </c>
      <c r="R190" s="46">
        <v>9999934588</v>
      </c>
      <c r="S190" s="47">
        <v>46126</v>
      </c>
      <c r="T190" s="46" t="s">
        <v>1990</v>
      </c>
      <c r="U190" s="48" t="s">
        <v>1618</v>
      </c>
      <c r="V190" s="48" t="s">
        <v>351</v>
      </c>
      <c r="W190" s="46" t="s">
        <v>60</v>
      </c>
      <c r="X190" s="46" t="s">
        <v>2572</v>
      </c>
      <c r="Y190" s="46" t="s">
        <v>60</v>
      </c>
      <c r="Z190" s="74" t="s">
        <v>1412</v>
      </c>
      <c r="AA190" s="10"/>
    </row>
    <row r="191" spans="1:27" x14ac:dyDescent="0.25">
      <c r="A191" s="58">
        <v>214</v>
      </c>
      <c r="B191" s="33" t="s">
        <v>60</v>
      </c>
      <c r="C191" s="34" t="s">
        <v>60</v>
      </c>
      <c r="D191" s="35" t="s">
        <v>40</v>
      </c>
      <c r="E191" s="35" t="s">
        <v>465</v>
      </c>
      <c r="F191" s="35" t="s">
        <v>1576</v>
      </c>
      <c r="G191" s="36" t="s">
        <v>1417</v>
      </c>
      <c r="H191" s="35" t="s">
        <v>1330</v>
      </c>
      <c r="I191" s="37" t="s">
        <v>60</v>
      </c>
      <c r="J191" s="37" t="s">
        <v>60</v>
      </c>
      <c r="K191" s="35" t="s">
        <v>1463</v>
      </c>
      <c r="L191" s="46" t="s">
        <v>1463</v>
      </c>
      <c r="M191" s="46" t="s">
        <v>1869</v>
      </c>
      <c r="N191" s="46" t="s">
        <v>60</v>
      </c>
      <c r="O191" s="46" t="s">
        <v>2360</v>
      </c>
      <c r="P191" s="46" t="s">
        <v>2159</v>
      </c>
      <c r="Q191" s="46" t="s">
        <v>2160</v>
      </c>
      <c r="R191" s="46">
        <v>9999934588</v>
      </c>
      <c r="S191" s="47">
        <v>46125</v>
      </c>
      <c r="T191" s="46" t="s">
        <v>1990</v>
      </c>
      <c r="U191" s="48" t="s">
        <v>1576</v>
      </c>
      <c r="V191" s="48" t="s">
        <v>465</v>
      </c>
      <c r="W191" s="46" t="s">
        <v>60</v>
      </c>
      <c r="X191" s="46" t="s">
        <v>2605</v>
      </c>
      <c r="Y191" s="46" t="s">
        <v>322</v>
      </c>
      <c r="Z191" s="74" t="s">
        <v>1330</v>
      </c>
      <c r="AA191" s="10"/>
    </row>
    <row r="192" spans="1:27" x14ac:dyDescent="0.25">
      <c r="A192" s="58">
        <v>215</v>
      </c>
      <c r="B192" s="33" t="s">
        <v>60</v>
      </c>
      <c r="C192" s="34" t="s">
        <v>60</v>
      </c>
      <c r="D192" s="35" t="s">
        <v>40</v>
      </c>
      <c r="E192" s="35" t="s">
        <v>465</v>
      </c>
      <c r="F192" s="35" t="s">
        <v>1587</v>
      </c>
      <c r="G192" s="36" t="s">
        <v>1417</v>
      </c>
      <c r="H192" s="35" t="s">
        <v>1347</v>
      </c>
      <c r="I192" s="37" t="s">
        <v>60</v>
      </c>
      <c r="J192" s="37" t="s">
        <v>60</v>
      </c>
      <c r="K192" s="35" t="s">
        <v>1480</v>
      </c>
      <c r="L192" s="46" t="s">
        <v>1480</v>
      </c>
      <c r="M192" s="46" t="s">
        <v>1869</v>
      </c>
      <c r="N192" s="46" t="s">
        <v>60</v>
      </c>
      <c r="O192" s="46" t="s">
        <v>2360</v>
      </c>
      <c r="P192" s="46" t="s">
        <v>2184</v>
      </c>
      <c r="Q192" s="46" t="s">
        <v>2185</v>
      </c>
      <c r="R192" s="46">
        <v>9999934588</v>
      </c>
      <c r="S192" s="47">
        <v>46127</v>
      </c>
      <c r="T192" s="46" t="s">
        <v>1990</v>
      </c>
      <c r="U192" s="48" t="s">
        <v>1587</v>
      </c>
      <c r="V192" s="48" t="s">
        <v>465</v>
      </c>
      <c r="W192" s="46" t="s">
        <v>60</v>
      </c>
      <c r="X192" s="46" t="s">
        <v>2581</v>
      </c>
      <c r="Y192" s="46" t="s">
        <v>322</v>
      </c>
      <c r="Z192" s="74" t="s">
        <v>1347</v>
      </c>
      <c r="AA192" s="10"/>
    </row>
    <row r="193" spans="1:27" x14ac:dyDescent="0.25">
      <c r="A193" s="58">
        <v>216</v>
      </c>
      <c r="B193" s="33" t="s">
        <v>60</v>
      </c>
      <c r="C193" s="34" t="s">
        <v>60</v>
      </c>
      <c r="D193" s="35" t="s">
        <v>40</v>
      </c>
      <c r="E193" s="35" t="s">
        <v>465</v>
      </c>
      <c r="F193" s="35" t="s">
        <v>801</v>
      </c>
      <c r="G193" s="36" t="s">
        <v>1417</v>
      </c>
      <c r="H193" s="35" t="s">
        <v>1359</v>
      </c>
      <c r="I193" s="37" t="s">
        <v>60</v>
      </c>
      <c r="J193" s="37" t="s">
        <v>60</v>
      </c>
      <c r="K193" s="35" t="s">
        <v>1492</v>
      </c>
      <c r="L193" s="46" t="s">
        <v>1492</v>
      </c>
      <c r="M193" s="46" t="s">
        <v>1869</v>
      </c>
      <c r="N193" s="46" t="s">
        <v>60</v>
      </c>
      <c r="O193" s="46" t="s">
        <v>2360</v>
      </c>
      <c r="P193" s="46" t="s">
        <v>2332</v>
      </c>
      <c r="Q193" s="46" t="s">
        <v>2200</v>
      </c>
      <c r="R193" s="46">
        <v>9999934588</v>
      </c>
      <c r="S193" s="47">
        <v>46122</v>
      </c>
      <c r="T193" s="46" t="s">
        <v>1990</v>
      </c>
      <c r="U193" s="48" t="s">
        <v>801</v>
      </c>
      <c r="V193" s="48" t="s">
        <v>465</v>
      </c>
      <c r="W193" s="46" t="s">
        <v>60</v>
      </c>
      <c r="X193" s="46" t="s">
        <v>2606</v>
      </c>
      <c r="Y193" s="46" t="s">
        <v>2607</v>
      </c>
      <c r="Z193" s="74" t="s">
        <v>1359</v>
      </c>
      <c r="AA193" s="10"/>
    </row>
    <row r="194" spans="1:27" x14ac:dyDescent="0.25">
      <c r="A194" s="58">
        <v>217</v>
      </c>
      <c r="B194" s="33" t="s">
        <v>60</v>
      </c>
      <c r="C194" s="34" t="s">
        <v>60</v>
      </c>
      <c r="D194" s="35" t="s">
        <v>40</v>
      </c>
      <c r="E194" s="35" t="s">
        <v>465</v>
      </c>
      <c r="F194" s="35" t="s">
        <v>801</v>
      </c>
      <c r="G194" s="36" t="s">
        <v>1417</v>
      </c>
      <c r="H194" s="35" t="s">
        <v>1360</v>
      </c>
      <c r="I194" s="37" t="s">
        <v>60</v>
      </c>
      <c r="J194" s="37" t="s">
        <v>60</v>
      </c>
      <c r="K194" s="35" t="s">
        <v>1493</v>
      </c>
      <c r="L194" s="46" t="s">
        <v>1493</v>
      </c>
      <c r="M194" s="46" t="s">
        <v>1869</v>
      </c>
      <c r="N194" s="46" t="s">
        <v>60</v>
      </c>
      <c r="O194" s="46" t="s">
        <v>2360</v>
      </c>
      <c r="P194" s="46" t="s">
        <v>2201</v>
      </c>
      <c r="Q194" s="46" t="s">
        <v>2200</v>
      </c>
      <c r="R194" s="46">
        <v>9999934588</v>
      </c>
      <c r="S194" s="47">
        <v>46123</v>
      </c>
      <c r="T194" s="46" t="s">
        <v>1990</v>
      </c>
      <c r="U194" s="48" t="s">
        <v>801</v>
      </c>
      <c r="V194" s="48" t="s">
        <v>465</v>
      </c>
      <c r="W194" s="46" t="s">
        <v>60</v>
      </c>
      <c r="X194" s="46" t="s">
        <v>2608</v>
      </c>
      <c r="Y194" s="46" t="s">
        <v>427</v>
      </c>
      <c r="Z194" s="74" t="s">
        <v>1360</v>
      </c>
      <c r="AA194" s="10"/>
    </row>
    <row r="195" spans="1:27" x14ac:dyDescent="0.25">
      <c r="A195" s="58">
        <v>218</v>
      </c>
      <c r="B195" s="33" t="s">
        <v>60</v>
      </c>
      <c r="C195" s="34" t="s">
        <v>60</v>
      </c>
      <c r="D195" s="35" t="s">
        <v>40</v>
      </c>
      <c r="E195" s="35" t="s">
        <v>465</v>
      </c>
      <c r="F195" s="35" t="s">
        <v>801</v>
      </c>
      <c r="G195" s="36" t="s">
        <v>1417</v>
      </c>
      <c r="H195" s="35" t="s">
        <v>1358</v>
      </c>
      <c r="I195" s="37" t="s">
        <v>60</v>
      </c>
      <c r="J195" s="37" t="s">
        <v>60</v>
      </c>
      <c r="K195" s="35" t="s">
        <v>1491</v>
      </c>
      <c r="L195" s="46" t="s">
        <v>1491</v>
      </c>
      <c r="M195" s="46" t="s">
        <v>1869</v>
      </c>
      <c r="N195" s="46" t="s">
        <v>60</v>
      </c>
      <c r="O195" s="46" t="s">
        <v>2360</v>
      </c>
      <c r="P195" s="46" t="s">
        <v>2331</v>
      </c>
      <c r="Q195" s="46" t="s">
        <v>515</v>
      </c>
      <c r="R195" s="46">
        <v>9999934588</v>
      </c>
      <c r="S195" s="47">
        <v>46128</v>
      </c>
      <c r="T195" s="46" t="s">
        <v>1990</v>
      </c>
      <c r="U195" s="48" t="s">
        <v>801</v>
      </c>
      <c r="V195" s="48" t="s">
        <v>465</v>
      </c>
      <c r="W195" s="46" t="s">
        <v>60</v>
      </c>
      <c r="X195" s="46" t="s">
        <v>2581</v>
      </c>
      <c r="Y195" s="46" t="s">
        <v>322</v>
      </c>
      <c r="Z195" s="74" t="s">
        <v>1358</v>
      </c>
      <c r="AA195" s="10"/>
    </row>
    <row r="196" spans="1:27" x14ac:dyDescent="0.25">
      <c r="A196" s="58">
        <v>219</v>
      </c>
      <c r="B196" s="33" t="s">
        <v>60</v>
      </c>
      <c r="C196" s="34" t="s">
        <v>60</v>
      </c>
      <c r="D196" s="35" t="s">
        <v>40</v>
      </c>
      <c r="E196" s="35" t="s">
        <v>465</v>
      </c>
      <c r="F196" s="35" t="s">
        <v>1600</v>
      </c>
      <c r="G196" s="36" t="s">
        <v>1417</v>
      </c>
      <c r="H196" s="35" t="s">
        <v>1377</v>
      </c>
      <c r="I196" s="37" t="s">
        <v>60</v>
      </c>
      <c r="J196" s="37" t="s">
        <v>60</v>
      </c>
      <c r="K196" s="35" t="s">
        <v>1511</v>
      </c>
      <c r="L196" s="46" t="s">
        <v>1511</v>
      </c>
      <c r="M196" s="46" t="s">
        <v>1869</v>
      </c>
      <c r="N196" s="46" t="s">
        <v>60</v>
      </c>
      <c r="O196" s="46" t="s">
        <v>2360</v>
      </c>
      <c r="P196" s="46" t="s">
        <v>60</v>
      </c>
      <c r="Q196" s="46" t="s">
        <v>2813</v>
      </c>
      <c r="R196" s="46">
        <v>9999934588</v>
      </c>
      <c r="S196" s="47">
        <v>46132</v>
      </c>
      <c r="T196" s="46" t="s">
        <v>1990</v>
      </c>
      <c r="U196" s="48" t="s">
        <v>1600</v>
      </c>
      <c r="V196" s="48" t="s">
        <v>465</v>
      </c>
      <c r="W196" s="46" t="s">
        <v>60</v>
      </c>
      <c r="X196" s="46" t="s">
        <v>2581</v>
      </c>
      <c r="Y196" s="46" t="s">
        <v>322</v>
      </c>
      <c r="Z196" s="74" t="s">
        <v>1377</v>
      </c>
      <c r="AA196" s="10"/>
    </row>
    <row r="197" spans="1:27" x14ac:dyDescent="0.25">
      <c r="A197" s="58">
        <v>220</v>
      </c>
      <c r="B197" s="33" t="s">
        <v>60</v>
      </c>
      <c r="C197" s="34" t="s">
        <v>60</v>
      </c>
      <c r="D197" s="35" t="s">
        <v>40</v>
      </c>
      <c r="E197" s="35" t="s">
        <v>465</v>
      </c>
      <c r="F197" s="35" t="s">
        <v>466</v>
      </c>
      <c r="G197" s="36" t="s">
        <v>1417</v>
      </c>
      <c r="H197" s="35" t="s">
        <v>1400</v>
      </c>
      <c r="I197" s="37" t="s">
        <v>60</v>
      </c>
      <c r="J197" s="37" t="s">
        <v>60</v>
      </c>
      <c r="K197" s="35" t="s">
        <v>1534</v>
      </c>
      <c r="L197" s="46" t="s">
        <v>1534</v>
      </c>
      <c r="M197" s="46" t="s">
        <v>1869</v>
      </c>
      <c r="N197" s="46" t="s">
        <v>60</v>
      </c>
      <c r="O197" s="46" t="s">
        <v>2360</v>
      </c>
      <c r="P197" s="46" t="s">
        <v>2341</v>
      </c>
      <c r="Q197" s="46" t="s">
        <v>2249</v>
      </c>
      <c r="R197" s="46">
        <v>9999934588</v>
      </c>
      <c r="S197" s="47">
        <v>46127</v>
      </c>
      <c r="T197" s="46" t="s">
        <v>1990</v>
      </c>
      <c r="U197" s="48" t="s">
        <v>466</v>
      </c>
      <c r="V197" s="48" t="s">
        <v>465</v>
      </c>
      <c r="W197" s="46" t="s">
        <v>60</v>
      </c>
      <c r="X197" s="46" t="s">
        <v>2608</v>
      </c>
      <c r="Y197" s="46" t="s">
        <v>427</v>
      </c>
      <c r="Z197" s="74" t="s">
        <v>1400</v>
      </c>
      <c r="AA197" s="10"/>
    </row>
    <row r="198" spans="1:27" x14ac:dyDescent="0.25">
      <c r="A198" s="58">
        <v>221</v>
      </c>
      <c r="B198" s="33" t="s">
        <v>60</v>
      </c>
      <c r="C198" s="34" t="s">
        <v>60</v>
      </c>
      <c r="D198" s="35" t="s">
        <v>103</v>
      </c>
      <c r="E198" s="35" t="s">
        <v>1622</v>
      </c>
      <c r="F198" s="35" t="s">
        <v>1589</v>
      </c>
      <c r="G198" s="36" t="s">
        <v>1417</v>
      </c>
      <c r="H198" s="35" t="s">
        <v>1350</v>
      </c>
      <c r="I198" s="37" t="s">
        <v>60</v>
      </c>
      <c r="J198" s="37" t="s">
        <v>60</v>
      </c>
      <c r="K198" s="35" t="s">
        <v>1483</v>
      </c>
      <c r="L198" s="46" t="s">
        <v>2358</v>
      </c>
      <c r="M198" s="46" t="s">
        <v>1869</v>
      </c>
      <c r="N198" s="46" t="s">
        <v>60</v>
      </c>
      <c r="O198" s="46" t="s">
        <v>2360</v>
      </c>
      <c r="P198" s="46" t="s">
        <v>2188</v>
      </c>
      <c r="Q198" s="46" t="s">
        <v>2149</v>
      </c>
      <c r="R198" s="46">
        <v>9999934588</v>
      </c>
      <c r="S198" s="47">
        <v>46127</v>
      </c>
      <c r="T198" s="46" t="s">
        <v>1990</v>
      </c>
      <c r="U198" s="48" t="s">
        <v>1589</v>
      </c>
      <c r="V198" s="48" t="s">
        <v>1622</v>
      </c>
      <c r="W198" s="46" t="s">
        <v>60</v>
      </c>
      <c r="X198" s="46" t="s">
        <v>60</v>
      </c>
      <c r="Y198" s="46" t="s">
        <v>2580</v>
      </c>
      <c r="Z198" s="74" t="s">
        <v>1350</v>
      </c>
      <c r="AA198" s="10"/>
    </row>
    <row r="199" spans="1:27" x14ac:dyDescent="0.25">
      <c r="A199" s="58">
        <v>222</v>
      </c>
      <c r="B199" s="33" t="s">
        <v>60</v>
      </c>
      <c r="C199" s="34" t="s">
        <v>60</v>
      </c>
      <c r="D199" s="35" t="s">
        <v>103</v>
      </c>
      <c r="E199" s="35" t="s">
        <v>237</v>
      </c>
      <c r="F199" s="35" t="s">
        <v>1554</v>
      </c>
      <c r="G199" s="36" t="s">
        <v>1417</v>
      </c>
      <c r="H199" s="35" t="s">
        <v>1296</v>
      </c>
      <c r="I199" s="37" t="s">
        <v>60</v>
      </c>
      <c r="J199" s="37" t="s">
        <v>60</v>
      </c>
      <c r="K199" s="35" t="s">
        <v>1429</v>
      </c>
      <c r="L199" s="46" t="s">
        <v>1429</v>
      </c>
      <c r="M199" s="46" t="s">
        <v>1869</v>
      </c>
      <c r="N199" s="46" t="s">
        <v>60</v>
      </c>
      <c r="O199" s="46" t="s">
        <v>2360</v>
      </c>
      <c r="P199" s="46" t="s">
        <v>2111</v>
      </c>
      <c r="Q199" s="46" t="s">
        <v>2112</v>
      </c>
      <c r="R199" s="46">
        <v>9999934588</v>
      </c>
      <c r="S199" s="47">
        <v>46130</v>
      </c>
      <c r="T199" s="46" t="s">
        <v>1990</v>
      </c>
      <c r="U199" s="48" t="s">
        <v>1554</v>
      </c>
      <c r="V199" s="48" t="s">
        <v>237</v>
      </c>
      <c r="W199" s="46" t="s">
        <v>60</v>
      </c>
      <c r="X199" s="46" t="s">
        <v>2609</v>
      </c>
      <c r="Y199" s="46" t="s">
        <v>2610</v>
      </c>
      <c r="Z199" s="74" t="s">
        <v>1296</v>
      </c>
      <c r="AA199" s="10"/>
    </row>
    <row r="200" spans="1:27" x14ac:dyDescent="0.25">
      <c r="A200" s="58">
        <v>223</v>
      </c>
      <c r="B200" s="33" t="s">
        <v>60</v>
      </c>
      <c r="C200" s="34" t="s">
        <v>60</v>
      </c>
      <c r="D200" s="35" t="s">
        <v>103</v>
      </c>
      <c r="E200" s="35" t="s">
        <v>237</v>
      </c>
      <c r="F200" s="35" t="s">
        <v>1557</v>
      </c>
      <c r="G200" s="36" t="s">
        <v>1417</v>
      </c>
      <c r="H200" s="35" t="s">
        <v>1299</v>
      </c>
      <c r="I200" s="37" t="s">
        <v>60</v>
      </c>
      <c r="J200" s="37" t="s">
        <v>60</v>
      </c>
      <c r="K200" s="35" t="s">
        <v>1432</v>
      </c>
      <c r="L200" s="46" t="s">
        <v>1432</v>
      </c>
      <c r="M200" s="46" t="s">
        <v>1869</v>
      </c>
      <c r="N200" s="46" t="s">
        <v>60</v>
      </c>
      <c r="O200" s="46" t="s">
        <v>2360</v>
      </c>
      <c r="P200" s="46" t="s">
        <v>2323</v>
      </c>
      <c r="Q200" s="46" t="s">
        <v>2117</v>
      </c>
      <c r="R200" s="46">
        <v>9999934588</v>
      </c>
      <c r="S200" s="47">
        <v>46129</v>
      </c>
      <c r="T200" s="46" t="s">
        <v>1990</v>
      </c>
      <c r="U200" s="48" t="s">
        <v>1557</v>
      </c>
      <c r="V200" s="48" t="s">
        <v>237</v>
      </c>
      <c r="W200" s="46" t="s">
        <v>60</v>
      </c>
      <c r="X200" s="46" t="s">
        <v>2579</v>
      </c>
      <c r="Y200" s="46" t="s">
        <v>427</v>
      </c>
      <c r="Z200" s="74" t="s">
        <v>1299</v>
      </c>
      <c r="AA200" s="10"/>
    </row>
    <row r="201" spans="1:27" x14ac:dyDescent="0.25">
      <c r="A201" s="58">
        <v>224</v>
      </c>
      <c r="B201" s="33" t="s">
        <v>60</v>
      </c>
      <c r="C201" s="34" t="s">
        <v>60</v>
      </c>
      <c r="D201" s="35" t="s">
        <v>103</v>
      </c>
      <c r="E201" s="35" t="s">
        <v>237</v>
      </c>
      <c r="F201" s="35" t="s">
        <v>226</v>
      </c>
      <c r="G201" s="36" t="s">
        <v>1417</v>
      </c>
      <c r="H201" s="35" t="s">
        <v>1309</v>
      </c>
      <c r="I201" s="37" t="s">
        <v>60</v>
      </c>
      <c r="J201" s="37" t="s">
        <v>60</v>
      </c>
      <c r="K201" s="35" t="s">
        <v>1442</v>
      </c>
      <c r="L201" s="46" t="s">
        <v>1442</v>
      </c>
      <c r="M201" s="46" t="s">
        <v>1869</v>
      </c>
      <c r="N201" s="46" t="s">
        <v>60</v>
      </c>
      <c r="O201" s="46" t="s">
        <v>2360</v>
      </c>
      <c r="P201" s="46" t="s">
        <v>2327</v>
      </c>
      <c r="Q201" s="46" t="s">
        <v>2129</v>
      </c>
      <c r="R201" s="46">
        <v>9999934588</v>
      </c>
      <c r="S201" s="47">
        <v>46125</v>
      </c>
      <c r="T201" s="46" t="s">
        <v>1990</v>
      </c>
      <c r="U201" s="48" t="s">
        <v>1566</v>
      </c>
      <c r="V201" s="48" t="s">
        <v>237</v>
      </c>
      <c r="W201" s="46" t="s">
        <v>60</v>
      </c>
      <c r="X201" s="46" t="s">
        <v>2611</v>
      </c>
      <c r="Y201" s="46" t="s">
        <v>2603</v>
      </c>
      <c r="Z201" s="74" t="s">
        <v>1309</v>
      </c>
      <c r="AA201" s="10"/>
    </row>
    <row r="202" spans="1:27" x14ac:dyDescent="0.25">
      <c r="A202" s="58">
        <v>225</v>
      </c>
      <c r="B202" s="33" t="s">
        <v>60</v>
      </c>
      <c r="C202" s="34" t="s">
        <v>60</v>
      </c>
      <c r="D202" s="35" t="s">
        <v>103</v>
      </c>
      <c r="E202" s="35" t="s">
        <v>237</v>
      </c>
      <c r="F202" s="35" t="s">
        <v>238</v>
      </c>
      <c r="G202" s="36" t="s">
        <v>1417</v>
      </c>
      <c r="H202" s="35" t="s">
        <v>1323</v>
      </c>
      <c r="I202" s="37" t="s">
        <v>60</v>
      </c>
      <c r="J202" s="37" t="s">
        <v>60</v>
      </c>
      <c r="K202" s="35" t="s">
        <v>1456</v>
      </c>
      <c r="L202" s="46" t="s">
        <v>1456</v>
      </c>
      <c r="M202" s="46" t="s">
        <v>1869</v>
      </c>
      <c r="N202" s="46" t="s">
        <v>60</v>
      </c>
      <c r="O202" s="46" t="s">
        <v>2359</v>
      </c>
      <c r="P202" s="46" t="s">
        <v>2150</v>
      </c>
      <c r="Q202" s="46" t="s">
        <v>2129</v>
      </c>
      <c r="R202" s="46">
        <v>9999934588</v>
      </c>
      <c r="S202" s="47">
        <v>46125</v>
      </c>
      <c r="T202" s="46" t="s">
        <v>1990</v>
      </c>
      <c r="U202" s="48" t="s">
        <v>238</v>
      </c>
      <c r="V202" s="48" t="s">
        <v>237</v>
      </c>
      <c r="W202" s="46" t="s">
        <v>60</v>
      </c>
      <c r="X202" s="46" t="s">
        <v>2577</v>
      </c>
      <c r="Y202" s="46" t="s">
        <v>322</v>
      </c>
      <c r="Z202" s="74" t="s">
        <v>1323</v>
      </c>
      <c r="AA202" s="10"/>
    </row>
    <row r="203" spans="1:27" x14ac:dyDescent="0.25">
      <c r="A203" s="58">
        <v>226</v>
      </c>
      <c r="B203" s="33" t="s">
        <v>60</v>
      </c>
      <c r="C203" s="34" t="s">
        <v>60</v>
      </c>
      <c r="D203" s="35" t="s">
        <v>103</v>
      </c>
      <c r="E203" s="35" t="s">
        <v>237</v>
      </c>
      <c r="F203" s="35" t="s">
        <v>238</v>
      </c>
      <c r="G203" s="36" t="s">
        <v>1417</v>
      </c>
      <c r="H203" s="35" t="s">
        <v>1324</v>
      </c>
      <c r="I203" s="37" t="s">
        <v>60</v>
      </c>
      <c r="J203" s="37" t="s">
        <v>60</v>
      </c>
      <c r="K203" s="35" t="s">
        <v>1457</v>
      </c>
      <c r="L203" s="46" t="s">
        <v>1457</v>
      </c>
      <c r="M203" s="46" t="s">
        <v>1869</v>
      </c>
      <c r="N203" s="46" t="s">
        <v>60</v>
      </c>
      <c r="O203" s="46" t="s">
        <v>2360</v>
      </c>
      <c r="P203" s="46" t="s">
        <v>2151</v>
      </c>
      <c r="Q203" s="46" t="s">
        <v>2129</v>
      </c>
      <c r="R203" s="46">
        <v>9999934588</v>
      </c>
      <c r="S203" s="47">
        <v>46125</v>
      </c>
      <c r="T203" s="46" t="s">
        <v>1990</v>
      </c>
      <c r="U203" s="48" t="s">
        <v>238</v>
      </c>
      <c r="V203" s="48" t="s">
        <v>237</v>
      </c>
      <c r="W203" s="46" t="s">
        <v>60</v>
      </c>
      <c r="X203" s="46" t="s">
        <v>2577</v>
      </c>
      <c r="Y203" s="46" t="s">
        <v>322</v>
      </c>
      <c r="Z203" s="74" t="s">
        <v>1324</v>
      </c>
      <c r="AA203" s="10"/>
    </row>
    <row r="204" spans="1:27" x14ac:dyDescent="0.25">
      <c r="A204" s="58">
        <v>227</v>
      </c>
      <c r="B204" s="33" t="s">
        <v>60</v>
      </c>
      <c r="C204" s="34" t="s">
        <v>60</v>
      </c>
      <c r="D204" s="35" t="s">
        <v>103</v>
      </c>
      <c r="E204" s="35" t="s">
        <v>237</v>
      </c>
      <c r="F204" s="35" t="s">
        <v>1590</v>
      </c>
      <c r="G204" s="36" t="s">
        <v>1417</v>
      </c>
      <c r="H204" s="35" t="s">
        <v>1354</v>
      </c>
      <c r="I204" s="37" t="s">
        <v>60</v>
      </c>
      <c r="J204" s="37" t="s">
        <v>60</v>
      </c>
      <c r="K204" s="35" t="s">
        <v>1487</v>
      </c>
      <c r="L204" s="46" t="s">
        <v>1487</v>
      </c>
      <c r="M204" s="46" t="s">
        <v>1869</v>
      </c>
      <c r="N204" s="46" t="s">
        <v>60</v>
      </c>
      <c r="O204" s="46" t="s">
        <v>2360</v>
      </c>
      <c r="P204" s="46" t="s">
        <v>2194</v>
      </c>
      <c r="Q204" s="46" t="s">
        <v>2195</v>
      </c>
      <c r="R204" s="46">
        <v>9999934588</v>
      </c>
      <c r="S204" s="47">
        <v>46129</v>
      </c>
      <c r="T204" s="46" t="s">
        <v>1990</v>
      </c>
      <c r="U204" s="48" t="s">
        <v>1590</v>
      </c>
      <c r="V204" s="48" t="s">
        <v>237</v>
      </c>
      <c r="W204" s="46" t="s">
        <v>60</v>
      </c>
      <c r="X204" s="46" t="s">
        <v>2578</v>
      </c>
      <c r="Y204" s="46" t="s">
        <v>322</v>
      </c>
      <c r="Z204" s="74" t="s">
        <v>1354</v>
      </c>
      <c r="AA204" s="10"/>
    </row>
    <row r="205" spans="1:27" x14ac:dyDescent="0.25">
      <c r="A205" s="58">
        <v>228</v>
      </c>
      <c r="B205" s="33" t="s">
        <v>60</v>
      </c>
      <c r="C205" s="34" t="s">
        <v>60</v>
      </c>
      <c r="D205" s="35" t="s">
        <v>103</v>
      </c>
      <c r="E205" s="35" t="s">
        <v>237</v>
      </c>
      <c r="F205" s="35" t="s">
        <v>1606</v>
      </c>
      <c r="G205" s="36" t="s">
        <v>1417</v>
      </c>
      <c r="H205" s="35" t="s">
        <v>1390</v>
      </c>
      <c r="I205" s="37" t="s">
        <v>60</v>
      </c>
      <c r="J205" s="37" t="s">
        <v>60</v>
      </c>
      <c r="K205" s="35" t="s">
        <v>1524</v>
      </c>
      <c r="L205" s="46" t="s">
        <v>1524</v>
      </c>
      <c r="M205" s="46" t="s">
        <v>1869</v>
      </c>
      <c r="N205" s="46" t="s">
        <v>60</v>
      </c>
      <c r="O205" s="46" t="s">
        <v>2360</v>
      </c>
      <c r="P205" s="46" t="s">
        <v>2338</v>
      </c>
      <c r="Q205" s="46" t="s">
        <v>2236</v>
      </c>
      <c r="R205" s="46">
        <v>9999934588</v>
      </c>
      <c r="S205" s="47">
        <v>46129</v>
      </c>
      <c r="T205" s="46" t="s">
        <v>1990</v>
      </c>
      <c r="U205" s="48" t="s">
        <v>1606</v>
      </c>
      <c r="V205" s="48" t="s">
        <v>237</v>
      </c>
      <c r="W205" s="46" t="s">
        <v>60</v>
      </c>
      <c r="X205" s="46" t="s">
        <v>2577</v>
      </c>
      <c r="Y205" s="46" t="s">
        <v>322</v>
      </c>
      <c r="Z205" s="74" t="s">
        <v>1390</v>
      </c>
      <c r="AA205" s="10"/>
    </row>
    <row r="206" spans="1:27" x14ac:dyDescent="0.25">
      <c r="A206" s="58">
        <v>229</v>
      </c>
      <c r="B206" s="33" t="s">
        <v>60</v>
      </c>
      <c r="C206" s="34" t="s">
        <v>60</v>
      </c>
      <c r="D206" s="35" t="s">
        <v>103</v>
      </c>
      <c r="E206" s="35" t="s">
        <v>237</v>
      </c>
      <c r="F206" s="35" t="s">
        <v>1611</v>
      </c>
      <c r="G206" s="36" t="s">
        <v>1417</v>
      </c>
      <c r="H206" s="35" t="s">
        <v>1401</v>
      </c>
      <c r="I206" s="37" t="s">
        <v>60</v>
      </c>
      <c r="J206" s="37" t="s">
        <v>60</v>
      </c>
      <c r="K206" s="35" t="s">
        <v>1535</v>
      </c>
      <c r="L206" s="46" t="s">
        <v>1535</v>
      </c>
      <c r="M206" s="46" t="s">
        <v>1869</v>
      </c>
      <c r="N206" s="46" t="s">
        <v>60</v>
      </c>
      <c r="O206" s="46" t="s">
        <v>2360</v>
      </c>
      <c r="P206" s="46" t="s">
        <v>2250</v>
      </c>
      <c r="Q206" s="46" t="s">
        <v>2251</v>
      </c>
      <c r="R206" s="46">
        <v>9999934588</v>
      </c>
      <c r="S206" s="47">
        <v>46128</v>
      </c>
      <c r="T206" s="46" t="s">
        <v>1990</v>
      </c>
      <c r="U206" s="48" t="s">
        <v>1611</v>
      </c>
      <c r="V206" s="48" t="s">
        <v>237</v>
      </c>
      <c r="W206" s="46" t="s">
        <v>60</v>
      </c>
      <c r="X206" s="46" t="s">
        <v>2612</v>
      </c>
      <c r="Y206" s="46" t="s">
        <v>322</v>
      </c>
      <c r="Z206" s="74" t="s">
        <v>1401</v>
      </c>
      <c r="AA206" s="10"/>
    </row>
    <row r="207" spans="1:27" x14ac:dyDescent="0.25">
      <c r="A207" s="58">
        <v>230</v>
      </c>
      <c r="B207" s="33" t="s">
        <v>60</v>
      </c>
      <c r="C207" s="34" t="s">
        <v>60</v>
      </c>
      <c r="D207" s="35" t="s">
        <v>103</v>
      </c>
      <c r="E207" s="35" t="s">
        <v>237</v>
      </c>
      <c r="F207" s="35" t="s">
        <v>1612</v>
      </c>
      <c r="G207" s="36" t="s">
        <v>1417</v>
      </c>
      <c r="H207" s="35" t="s">
        <v>1403</v>
      </c>
      <c r="I207" s="37" t="s">
        <v>60</v>
      </c>
      <c r="J207" s="37" t="s">
        <v>60</v>
      </c>
      <c r="K207" s="35" t="s">
        <v>1537</v>
      </c>
      <c r="L207" s="46" t="s">
        <v>1537</v>
      </c>
      <c r="M207" s="46" t="s">
        <v>1869</v>
      </c>
      <c r="N207" s="46" t="s">
        <v>60</v>
      </c>
      <c r="O207" s="46" t="s">
        <v>2360</v>
      </c>
      <c r="P207" s="46" t="s">
        <v>2254</v>
      </c>
      <c r="Q207" s="46" t="s">
        <v>2255</v>
      </c>
      <c r="R207" s="46">
        <v>9999934588</v>
      </c>
      <c r="S207" s="47">
        <v>46132</v>
      </c>
      <c r="T207" s="46" t="s">
        <v>1990</v>
      </c>
      <c r="U207" s="48" t="s">
        <v>1612</v>
      </c>
      <c r="V207" s="48" t="s">
        <v>237</v>
      </c>
      <c r="W207" s="46" t="s">
        <v>60</v>
      </c>
      <c r="X207" s="46" t="s">
        <v>2613</v>
      </c>
      <c r="Y207" s="46" t="s">
        <v>2614</v>
      </c>
      <c r="Z207" s="74" t="s">
        <v>1403</v>
      </c>
      <c r="AA207" s="10"/>
    </row>
    <row r="208" spans="1:27" x14ac:dyDescent="0.25">
      <c r="A208" s="58">
        <v>231</v>
      </c>
      <c r="B208" s="33" t="s">
        <v>60</v>
      </c>
      <c r="C208" s="34" t="s">
        <v>60</v>
      </c>
      <c r="D208" s="35" t="s">
        <v>40</v>
      </c>
      <c r="E208" s="35" t="s">
        <v>41</v>
      </c>
      <c r="F208" s="35" t="s">
        <v>992</v>
      </c>
      <c r="G208" s="36" t="s">
        <v>1417</v>
      </c>
      <c r="H208" s="35" t="s">
        <v>1295</v>
      </c>
      <c r="I208" s="37" t="s">
        <v>60</v>
      </c>
      <c r="J208" s="37" t="s">
        <v>60</v>
      </c>
      <c r="K208" s="35" t="s">
        <v>1428</v>
      </c>
      <c r="L208" s="46" t="s">
        <v>1428</v>
      </c>
      <c r="M208" s="46" t="s">
        <v>1869</v>
      </c>
      <c r="N208" s="46" t="s">
        <v>60</v>
      </c>
      <c r="O208" s="46" t="s">
        <v>2360</v>
      </c>
      <c r="P208" s="46" t="s">
        <v>2109</v>
      </c>
      <c r="Q208" s="46" t="s">
        <v>2110</v>
      </c>
      <c r="R208" s="46">
        <v>9999934588</v>
      </c>
      <c r="S208" s="47">
        <v>46120</v>
      </c>
      <c r="T208" s="46" t="s">
        <v>1990</v>
      </c>
      <c r="U208" s="48" t="s">
        <v>992</v>
      </c>
      <c r="V208" s="48" t="s">
        <v>41</v>
      </c>
      <c r="W208" s="46" t="s">
        <v>60</v>
      </c>
      <c r="X208" s="46" t="s">
        <v>2615</v>
      </c>
      <c r="Y208" s="46" t="s">
        <v>2616</v>
      </c>
      <c r="Z208" s="74" t="s">
        <v>1295</v>
      </c>
      <c r="AA208" s="10"/>
    </row>
    <row r="209" spans="1:27" x14ac:dyDescent="0.25">
      <c r="A209" s="58">
        <v>232</v>
      </c>
      <c r="B209" s="33" t="s">
        <v>60</v>
      </c>
      <c r="C209" s="34" t="s">
        <v>60</v>
      </c>
      <c r="D209" s="35" t="s">
        <v>40</v>
      </c>
      <c r="E209" s="35" t="s">
        <v>41</v>
      </c>
      <c r="F209" s="35" t="s">
        <v>631</v>
      </c>
      <c r="G209" s="36" t="s">
        <v>1417</v>
      </c>
      <c r="H209" s="35" t="s">
        <v>1356</v>
      </c>
      <c r="I209" s="37" t="s">
        <v>60</v>
      </c>
      <c r="J209" s="37" t="s">
        <v>60</v>
      </c>
      <c r="K209" s="35" t="s">
        <v>1489</v>
      </c>
      <c r="L209" s="46" t="s">
        <v>1489</v>
      </c>
      <c r="M209" s="46" t="s">
        <v>1869</v>
      </c>
      <c r="N209" s="46" t="s">
        <v>60</v>
      </c>
      <c r="O209" s="46" t="s">
        <v>2360</v>
      </c>
      <c r="P209" s="46" t="s">
        <v>2197</v>
      </c>
      <c r="Q209" s="46" t="s">
        <v>2198</v>
      </c>
      <c r="R209" s="46">
        <v>9999934588</v>
      </c>
      <c r="S209" s="47">
        <v>46128</v>
      </c>
      <c r="T209" s="46" t="s">
        <v>1990</v>
      </c>
      <c r="U209" s="48" t="s">
        <v>631</v>
      </c>
      <c r="V209" s="48" t="s">
        <v>41</v>
      </c>
      <c r="W209" s="46" t="s">
        <v>60</v>
      </c>
      <c r="X209" s="46" t="s">
        <v>2617</v>
      </c>
      <c r="Y209" s="46" t="s">
        <v>60</v>
      </c>
      <c r="Z209" s="74" t="s">
        <v>1356</v>
      </c>
      <c r="AA209" s="10"/>
    </row>
    <row r="210" spans="1:27" x14ac:dyDescent="0.25">
      <c r="A210" s="58">
        <v>233</v>
      </c>
      <c r="B210" s="33" t="s">
        <v>60</v>
      </c>
      <c r="C210" s="34" t="s">
        <v>60</v>
      </c>
      <c r="D210" s="35" t="s">
        <v>40</v>
      </c>
      <c r="E210" s="35" t="s">
        <v>41</v>
      </c>
      <c r="F210" s="35" t="s">
        <v>156</v>
      </c>
      <c r="G210" s="36" t="s">
        <v>1417</v>
      </c>
      <c r="H210" s="35" t="s">
        <v>1381</v>
      </c>
      <c r="I210" s="37" t="s">
        <v>60</v>
      </c>
      <c r="J210" s="37" t="s">
        <v>60</v>
      </c>
      <c r="K210" s="35" t="s">
        <v>1515</v>
      </c>
      <c r="L210" s="46" t="s">
        <v>1515</v>
      </c>
      <c r="M210" s="46" t="s">
        <v>1869</v>
      </c>
      <c r="N210" s="46" t="s">
        <v>60</v>
      </c>
      <c r="O210" s="46" t="s">
        <v>2360</v>
      </c>
      <c r="P210" s="46" t="s">
        <v>2226</v>
      </c>
      <c r="Q210" s="46" t="s">
        <v>2198</v>
      </c>
      <c r="R210" s="46">
        <v>9999934588</v>
      </c>
      <c r="S210" s="47">
        <v>46129</v>
      </c>
      <c r="T210" s="46" t="s">
        <v>1990</v>
      </c>
      <c r="U210" s="48" t="s">
        <v>156</v>
      </c>
      <c r="V210" s="48" t="s">
        <v>41</v>
      </c>
      <c r="W210" s="46" t="s">
        <v>60</v>
      </c>
      <c r="X210" s="46" t="s">
        <v>2576</v>
      </c>
      <c r="Y210" s="46" t="s">
        <v>143</v>
      </c>
      <c r="Z210" s="74" t="s">
        <v>1381</v>
      </c>
      <c r="AA210" s="10"/>
    </row>
    <row r="211" spans="1:27" x14ac:dyDescent="0.25">
      <c r="A211" s="58">
        <v>234</v>
      </c>
      <c r="B211" s="33" t="s">
        <v>60</v>
      </c>
      <c r="C211" s="34" t="s">
        <v>60</v>
      </c>
      <c r="D211" s="35" t="s">
        <v>40</v>
      </c>
      <c r="E211" s="35" t="s">
        <v>41</v>
      </c>
      <c r="F211" s="35" t="s">
        <v>156</v>
      </c>
      <c r="G211" s="36" t="s">
        <v>1417</v>
      </c>
      <c r="H211" s="35" t="s">
        <v>1382</v>
      </c>
      <c r="I211" s="37" t="s">
        <v>60</v>
      </c>
      <c r="J211" s="37" t="s">
        <v>60</v>
      </c>
      <c r="K211" s="35" t="s">
        <v>1516</v>
      </c>
      <c r="L211" s="46" t="s">
        <v>1516</v>
      </c>
      <c r="M211" s="46" t="s">
        <v>1869</v>
      </c>
      <c r="N211" s="46" t="s">
        <v>60</v>
      </c>
      <c r="O211" s="46" t="s">
        <v>2360</v>
      </c>
      <c r="P211" s="46" t="s">
        <v>2227</v>
      </c>
      <c r="Q211" s="46" t="s">
        <v>2198</v>
      </c>
      <c r="R211" s="46">
        <v>9999934588</v>
      </c>
      <c r="S211" s="47">
        <v>46129</v>
      </c>
      <c r="T211" s="46" t="s">
        <v>1990</v>
      </c>
      <c r="U211" s="48" t="s">
        <v>156</v>
      </c>
      <c r="V211" s="48" t="s">
        <v>41</v>
      </c>
      <c r="W211" s="46" t="s">
        <v>60</v>
      </c>
      <c r="X211" s="46" t="s">
        <v>2618</v>
      </c>
      <c r="Y211" s="46" t="s">
        <v>2554</v>
      </c>
      <c r="Z211" s="74" t="s">
        <v>1382</v>
      </c>
      <c r="AA211" s="10"/>
    </row>
    <row r="212" spans="1:27" x14ac:dyDescent="0.25">
      <c r="A212" s="58">
        <v>235</v>
      </c>
      <c r="B212" s="33" t="s">
        <v>60</v>
      </c>
      <c r="C212" s="34" t="s">
        <v>60</v>
      </c>
      <c r="D212" s="35" t="s">
        <v>40</v>
      </c>
      <c r="E212" s="35" t="s">
        <v>41</v>
      </c>
      <c r="F212" s="35" t="s">
        <v>1603</v>
      </c>
      <c r="G212" s="36" t="s">
        <v>1417</v>
      </c>
      <c r="H212" s="35" t="s">
        <v>1385</v>
      </c>
      <c r="I212" s="37" t="s">
        <v>60</v>
      </c>
      <c r="J212" s="37" t="s">
        <v>60</v>
      </c>
      <c r="K212" s="35" t="s">
        <v>1519</v>
      </c>
      <c r="L212" s="46" t="s">
        <v>1519</v>
      </c>
      <c r="M212" s="46" t="s">
        <v>1869</v>
      </c>
      <c r="N212" s="46" t="s">
        <v>60</v>
      </c>
      <c r="O212" s="46" t="s">
        <v>2360</v>
      </c>
      <c r="P212" s="46" t="s">
        <v>2335</v>
      </c>
      <c r="Q212" s="46" t="s">
        <v>2229</v>
      </c>
      <c r="R212" s="46">
        <v>9999934588</v>
      </c>
      <c r="S212" s="47">
        <v>46122</v>
      </c>
      <c r="T212" s="46" t="s">
        <v>1990</v>
      </c>
      <c r="U212" s="48" t="s">
        <v>1603</v>
      </c>
      <c r="V212" s="48" t="s">
        <v>41</v>
      </c>
      <c r="W212" s="46" t="s">
        <v>60</v>
      </c>
      <c r="X212" s="46" t="s">
        <v>2619</v>
      </c>
      <c r="Y212" s="46" t="s">
        <v>2364</v>
      </c>
      <c r="Z212" s="74" t="s">
        <v>1385</v>
      </c>
      <c r="AA212" s="10"/>
    </row>
    <row r="213" spans="1:27" x14ac:dyDescent="0.25">
      <c r="A213" s="58">
        <v>236</v>
      </c>
      <c r="B213" s="33" t="s">
        <v>60</v>
      </c>
      <c r="C213" s="34" t="s">
        <v>60</v>
      </c>
      <c r="D213" s="35" t="s">
        <v>40</v>
      </c>
      <c r="E213" s="35" t="s">
        <v>41</v>
      </c>
      <c r="F213" s="35" t="s">
        <v>1603</v>
      </c>
      <c r="G213" s="36" t="s">
        <v>1417</v>
      </c>
      <c r="H213" s="35" t="s">
        <v>1386</v>
      </c>
      <c r="I213" s="37" t="s">
        <v>60</v>
      </c>
      <c r="J213" s="37" t="s">
        <v>60</v>
      </c>
      <c r="K213" s="35" t="s">
        <v>1520</v>
      </c>
      <c r="L213" s="46" t="s">
        <v>1520</v>
      </c>
      <c r="M213" s="46" t="s">
        <v>1869</v>
      </c>
      <c r="N213" s="46" t="s">
        <v>60</v>
      </c>
      <c r="O213" s="46" t="s">
        <v>2360</v>
      </c>
      <c r="P213" s="46" t="s">
        <v>2230</v>
      </c>
      <c r="Q213" s="46" t="s">
        <v>2229</v>
      </c>
      <c r="R213" s="46">
        <v>9999934588</v>
      </c>
      <c r="S213" s="47">
        <v>46122</v>
      </c>
      <c r="T213" s="46" t="s">
        <v>1990</v>
      </c>
      <c r="U213" s="48" t="s">
        <v>1603</v>
      </c>
      <c r="V213" s="48" t="s">
        <v>41</v>
      </c>
      <c r="W213" s="46" t="s">
        <v>60</v>
      </c>
      <c r="X213" s="46" t="s">
        <v>2620</v>
      </c>
      <c r="Y213" s="46" t="s">
        <v>60</v>
      </c>
      <c r="Z213" s="74" t="s">
        <v>1386</v>
      </c>
      <c r="AA213" s="10"/>
    </row>
    <row r="214" spans="1:27" x14ac:dyDescent="0.25">
      <c r="A214" s="58">
        <v>237</v>
      </c>
      <c r="B214" s="33" t="s">
        <v>60</v>
      </c>
      <c r="C214" s="34" t="s">
        <v>60</v>
      </c>
      <c r="D214" s="35" t="s">
        <v>40</v>
      </c>
      <c r="E214" s="35" t="s">
        <v>41</v>
      </c>
      <c r="F214" s="35" t="s">
        <v>1609</v>
      </c>
      <c r="G214" s="36" t="s">
        <v>1417</v>
      </c>
      <c r="H214" s="35" t="s">
        <v>1395</v>
      </c>
      <c r="I214" s="37" t="s">
        <v>60</v>
      </c>
      <c r="J214" s="37" t="s">
        <v>60</v>
      </c>
      <c r="K214" s="35" t="s">
        <v>1529</v>
      </c>
      <c r="L214" s="46" t="s">
        <v>1529</v>
      </c>
      <c r="M214" s="46" t="s">
        <v>1869</v>
      </c>
      <c r="N214" s="46" t="s">
        <v>60</v>
      </c>
      <c r="O214" s="46" t="s">
        <v>2360</v>
      </c>
      <c r="P214" s="46" t="s">
        <v>2240</v>
      </c>
      <c r="Q214" s="46" t="s">
        <v>2141</v>
      </c>
      <c r="R214" s="46">
        <v>9999934588</v>
      </c>
      <c r="S214" s="47">
        <v>46123</v>
      </c>
      <c r="T214" s="46" t="s">
        <v>1990</v>
      </c>
      <c r="U214" s="48" t="s">
        <v>1609</v>
      </c>
      <c r="V214" s="48" t="s">
        <v>41</v>
      </c>
      <c r="W214" s="46" t="s">
        <v>60</v>
      </c>
      <c r="X214" s="46" t="s">
        <v>2621</v>
      </c>
      <c r="Y214" s="46" t="s">
        <v>2364</v>
      </c>
      <c r="Z214" s="74" t="s">
        <v>1395</v>
      </c>
      <c r="AA214" s="10"/>
    </row>
    <row r="215" spans="1:27" x14ac:dyDescent="0.25">
      <c r="A215" s="58">
        <v>238</v>
      </c>
      <c r="B215" s="33" t="s">
        <v>60</v>
      </c>
      <c r="C215" s="34" t="s">
        <v>60</v>
      </c>
      <c r="D215" s="35" t="s">
        <v>40</v>
      </c>
      <c r="E215" s="35" t="s">
        <v>41</v>
      </c>
      <c r="F215" s="35" t="s">
        <v>1609</v>
      </c>
      <c r="G215" s="36" t="s">
        <v>1417</v>
      </c>
      <c r="H215" s="35" t="s">
        <v>1396</v>
      </c>
      <c r="I215" s="37" t="s">
        <v>60</v>
      </c>
      <c r="J215" s="37" t="s">
        <v>60</v>
      </c>
      <c r="K215" s="35" t="s">
        <v>1530</v>
      </c>
      <c r="L215" s="46" t="s">
        <v>1530</v>
      </c>
      <c r="M215" s="46" t="s">
        <v>1869</v>
      </c>
      <c r="N215" s="46" t="s">
        <v>60</v>
      </c>
      <c r="O215" s="46" t="s">
        <v>2360</v>
      </c>
      <c r="P215" s="46" t="s">
        <v>2241</v>
      </c>
      <c r="Q215" s="46" t="s">
        <v>2352</v>
      </c>
      <c r="R215" s="46">
        <v>9999934588</v>
      </c>
      <c r="S215" s="47">
        <v>46127</v>
      </c>
      <c r="T215" s="46" t="s">
        <v>1990</v>
      </c>
      <c r="U215" s="48" t="s">
        <v>1609</v>
      </c>
      <c r="V215" s="48" t="s">
        <v>41</v>
      </c>
      <c r="W215" s="46" t="s">
        <v>60</v>
      </c>
      <c r="X215" s="46" t="s">
        <v>2622</v>
      </c>
      <c r="Y215" s="46" t="s">
        <v>143</v>
      </c>
      <c r="Z215" s="74" t="s">
        <v>1396</v>
      </c>
      <c r="AA215" s="10"/>
    </row>
    <row r="216" spans="1:27" x14ac:dyDescent="0.25">
      <c r="A216" s="58">
        <v>239</v>
      </c>
      <c r="B216" s="33" t="s">
        <v>60</v>
      </c>
      <c r="C216" s="34" t="s">
        <v>60</v>
      </c>
      <c r="D216" s="35" t="s">
        <v>40</v>
      </c>
      <c r="E216" s="35" t="s">
        <v>199</v>
      </c>
      <c r="F216" s="35" t="s">
        <v>452</v>
      </c>
      <c r="G216" s="36" t="s">
        <v>1417</v>
      </c>
      <c r="H216" s="35" t="s">
        <v>1287</v>
      </c>
      <c r="I216" s="37" t="s">
        <v>60</v>
      </c>
      <c r="J216" s="37" t="s">
        <v>60</v>
      </c>
      <c r="K216" s="35" t="s">
        <v>1420</v>
      </c>
      <c r="L216" s="46" t="s">
        <v>1420</v>
      </c>
      <c r="M216" s="46" t="s">
        <v>1869</v>
      </c>
      <c r="N216" s="46" t="s">
        <v>60</v>
      </c>
      <c r="O216" s="46" t="s">
        <v>2360</v>
      </c>
      <c r="P216" s="46" t="s">
        <v>2101</v>
      </c>
      <c r="Q216" s="46" t="s">
        <v>2347</v>
      </c>
      <c r="R216" s="46">
        <v>9999934588</v>
      </c>
      <c r="S216" s="47">
        <v>46120</v>
      </c>
      <c r="T216" s="46" t="s">
        <v>1990</v>
      </c>
      <c r="U216" s="48" t="s">
        <v>452</v>
      </c>
      <c r="V216" s="48" t="s">
        <v>199</v>
      </c>
      <c r="W216" s="46" t="s">
        <v>60</v>
      </c>
      <c r="X216" s="46" t="s">
        <v>2623</v>
      </c>
      <c r="Y216" s="46" t="s">
        <v>538</v>
      </c>
      <c r="Z216" s="74" t="s">
        <v>1287</v>
      </c>
      <c r="AA216" s="10"/>
    </row>
    <row r="217" spans="1:27" x14ac:dyDescent="0.25">
      <c r="A217" s="58">
        <v>240</v>
      </c>
      <c r="B217" s="33" t="s">
        <v>60</v>
      </c>
      <c r="C217" s="34" t="s">
        <v>60</v>
      </c>
      <c r="D217" s="35" t="s">
        <v>40</v>
      </c>
      <c r="E217" s="35" t="s">
        <v>199</v>
      </c>
      <c r="F217" s="35" t="s">
        <v>452</v>
      </c>
      <c r="G217" s="36" t="s">
        <v>1417</v>
      </c>
      <c r="H217" s="35" t="s">
        <v>1289</v>
      </c>
      <c r="I217" s="37" t="s">
        <v>60</v>
      </c>
      <c r="J217" s="37" t="s">
        <v>60</v>
      </c>
      <c r="K217" s="35" t="s">
        <v>1422</v>
      </c>
      <c r="L217" s="46" t="s">
        <v>1422</v>
      </c>
      <c r="M217" s="46" t="s">
        <v>1869</v>
      </c>
      <c r="N217" s="46" t="s">
        <v>60</v>
      </c>
      <c r="O217" s="46" t="s">
        <v>2360</v>
      </c>
      <c r="P217" s="46" t="s">
        <v>2103</v>
      </c>
      <c r="Q217" s="46" t="s">
        <v>2347</v>
      </c>
      <c r="R217" s="46">
        <v>9999934588</v>
      </c>
      <c r="S217" s="47">
        <v>46120</v>
      </c>
      <c r="T217" s="46" t="s">
        <v>1990</v>
      </c>
      <c r="U217" s="48" t="s">
        <v>452</v>
      </c>
      <c r="V217" s="48" t="s">
        <v>199</v>
      </c>
      <c r="W217" s="46" t="s">
        <v>60</v>
      </c>
      <c r="X217" s="46" t="s">
        <v>2419</v>
      </c>
      <c r="Y217" s="46" t="s">
        <v>538</v>
      </c>
      <c r="Z217" s="74" t="s">
        <v>1289</v>
      </c>
      <c r="AA217" s="10"/>
    </row>
    <row r="218" spans="1:27" x14ac:dyDescent="0.25">
      <c r="A218" s="58">
        <v>241</v>
      </c>
      <c r="B218" s="33" t="s">
        <v>60</v>
      </c>
      <c r="C218" s="34" t="s">
        <v>60</v>
      </c>
      <c r="D218" s="35" t="s">
        <v>40</v>
      </c>
      <c r="E218" s="35" t="s">
        <v>199</v>
      </c>
      <c r="F218" s="35" t="s">
        <v>452</v>
      </c>
      <c r="G218" s="36" t="s">
        <v>1417</v>
      </c>
      <c r="H218" s="35" t="s">
        <v>1288</v>
      </c>
      <c r="I218" s="37" t="s">
        <v>60</v>
      </c>
      <c r="J218" s="37" t="s">
        <v>60</v>
      </c>
      <c r="K218" s="35" t="s">
        <v>1421</v>
      </c>
      <c r="L218" s="46" t="s">
        <v>1421</v>
      </c>
      <c r="M218" s="46" t="s">
        <v>1869</v>
      </c>
      <c r="N218" s="46" t="s">
        <v>60</v>
      </c>
      <c r="O218" s="46" t="s">
        <v>2360</v>
      </c>
      <c r="P218" s="46" t="s">
        <v>2102</v>
      </c>
      <c r="Q218" s="46" t="s">
        <v>2348</v>
      </c>
      <c r="R218" s="46">
        <v>9999934588</v>
      </c>
      <c r="S218" s="47">
        <v>46127</v>
      </c>
      <c r="T218" s="46" t="s">
        <v>1990</v>
      </c>
      <c r="U218" s="48" t="s">
        <v>452</v>
      </c>
      <c r="V218" s="48" t="s">
        <v>199</v>
      </c>
      <c r="W218" s="46" t="s">
        <v>60</v>
      </c>
      <c r="X218" s="46" t="s">
        <v>2624</v>
      </c>
      <c r="Y218" s="46" t="s">
        <v>2625</v>
      </c>
      <c r="Z218" s="74" t="s">
        <v>1288</v>
      </c>
      <c r="AA218" s="10"/>
    </row>
    <row r="219" spans="1:27" x14ac:dyDescent="0.25">
      <c r="A219" s="58">
        <v>242</v>
      </c>
      <c r="B219" s="33" t="s">
        <v>60</v>
      </c>
      <c r="C219" s="34" t="s">
        <v>60</v>
      </c>
      <c r="D219" s="35" t="s">
        <v>40</v>
      </c>
      <c r="E219" s="35" t="s">
        <v>199</v>
      </c>
      <c r="F219" s="35" t="s">
        <v>1552</v>
      </c>
      <c r="G219" s="36" t="s">
        <v>1417</v>
      </c>
      <c r="H219" s="35" t="s">
        <v>1293</v>
      </c>
      <c r="I219" s="37" t="s">
        <v>60</v>
      </c>
      <c r="J219" s="37" t="s">
        <v>60</v>
      </c>
      <c r="K219" s="35" t="s">
        <v>1426</v>
      </c>
      <c r="L219" s="46" t="s">
        <v>1426</v>
      </c>
      <c r="M219" s="46" t="s">
        <v>1869</v>
      </c>
      <c r="N219" s="46" t="s">
        <v>60</v>
      </c>
      <c r="O219" s="46" t="s">
        <v>2360</v>
      </c>
      <c r="P219" s="46" t="s">
        <v>2322</v>
      </c>
      <c r="Q219" s="46" t="s">
        <v>2349</v>
      </c>
      <c r="R219" s="46">
        <v>9999934588</v>
      </c>
      <c r="S219" s="47">
        <v>46120</v>
      </c>
      <c r="T219" s="46" t="s">
        <v>1990</v>
      </c>
      <c r="U219" s="48" t="s">
        <v>1552</v>
      </c>
      <c r="V219" s="48" t="s">
        <v>199</v>
      </c>
      <c r="W219" s="46" t="s">
        <v>60</v>
      </c>
      <c r="X219" s="46" t="s">
        <v>60</v>
      </c>
      <c r="Y219" s="46" t="s">
        <v>538</v>
      </c>
      <c r="Z219" s="74" t="s">
        <v>1293</v>
      </c>
      <c r="AA219" s="10"/>
    </row>
    <row r="220" spans="1:27" x14ac:dyDescent="0.25">
      <c r="A220" s="58">
        <v>243</v>
      </c>
      <c r="B220" s="33" t="s">
        <v>60</v>
      </c>
      <c r="C220" s="34" t="s">
        <v>60</v>
      </c>
      <c r="D220" s="35" t="s">
        <v>40</v>
      </c>
      <c r="E220" s="35" t="s">
        <v>199</v>
      </c>
      <c r="F220" s="35" t="s">
        <v>1552</v>
      </c>
      <c r="G220" s="36" t="s">
        <v>1417</v>
      </c>
      <c r="H220" s="35" t="s">
        <v>1292</v>
      </c>
      <c r="I220" s="37" t="s">
        <v>60</v>
      </c>
      <c r="J220" s="37" t="s">
        <v>60</v>
      </c>
      <c r="K220" s="35" t="s">
        <v>1425</v>
      </c>
      <c r="L220" s="46" t="s">
        <v>1425</v>
      </c>
      <c r="M220" s="46" t="s">
        <v>1869</v>
      </c>
      <c r="N220" s="46" t="s">
        <v>60</v>
      </c>
      <c r="O220" s="46" t="s">
        <v>2360</v>
      </c>
      <c r="P220" s="46" t="s">
        <v>2106</v>
      </c>
      <c r="Q220" s="46" t="s">
        <v>2349</v>
      </c>
      <c r="R220" s="46">
        <v>9999934588</v>
      </c>
      <c r="S220" s="47">
        <v>46120</v>
      </c>
      <c r="T220" s="46" t="s">
        <v>1990</v>
      </c>
      <c r="U220" s="48" t="s">
        <v>1552</v>
      </c>
      <c r="V220" s="48" t="s">
        <v>199</v>
      </c>
      <c r="W220" s="46" t="s">
        <v>60</v>
      </c>
      <c r="X220" s="46" t="s">
        <v>2626</v>
      </c>
      <c r="Y220" s="46" t="s">
        <v>538</v>
      </c>
      <c r="Z220" s="74" t="s">
        <v>1292</v>
      </c>
      <c r="AA220" s="10"/>
    </row>
    <row r="221" spans="1:27" x14ac:dyDescent="0.25">
      <c r="A221" s="58">
        <v>244</v>
      </c>
      <c r="B221" s="33" t="s">
        <v>60</v>
      </c>
      <c r="C221" s="34" t="s">
        <v>60</v>
      </c>
      <c r="D221" s="35" t="s">
        <v>40</v>
      </c>
      <c r="E221" s="35" t="s">
        <v>199</v>
      </c>
      <c r="F221" s="35" t="s">
        <v>1555</v>
      </c>
      <c r="G221" s="36" t="s">
        <v>1417</v>
      </c>
      <c r="H221" s="35" t="s">
        <v>1297</v>
      </c>
      <c r="I221" s="37" t="s">
        <v>60</v>
      </c>
      <c r="J221" s="37" t="s">
        <v>60</v>
      </c>
      <c r="K221" s="35" t="s">
        <v>1430</v>
      </c>
      <c r="L221" s="46" t="s">
        <v>1430</v>
      </c>
      <c r="M221" s="46" t="s">
        <v>1869</v>
      </c>
      <c r="N221" s="46" t="s">
        <v>60</v>
      </c>
      <c r="O221" s="46" t="s">
        <v>2360</v>
      </c>
      <c r="P221" s="46" t="s">
        <v>2113</v>
      </c>
      <c r="Q221" s="46" t="s">
        <v>2114</v>
      </c>
      <c r="R221" s="46">
        <v>9999934588</v>
      </c>
      <c r="S221" s="47">
        <v>46122</v>
      </c>
      <c r="T221" s="46" t="s">
        <v>1990</v>
      </c>
      <c r="U221" s="48" t="s">
        <v>1555</v>
      </c>
      <c r="V221" s="48" t="s">
        <v>199</v>
      </c>
      <c r="W221" s="46" t="s">
        <v>60</v>
      </c>
      <c r="X221" s="46" t="s">
        <v>2591</v>
      </c>
      <c r="Y221" s="46" t="s">
        <v>2592</v>
      </c>
      <c r="Z221" s="74" t="s">
        <v>1297</v>
      </c>
      <c r="AA221" s="10"/>
    </row>
    <row r="222" spans="1:27" x14ac:dyDescent="0.25">
      <c r="A222" s="58">
        <v>245</v>
      </c>
      <c r="B222" s="33" t="s">
        <v>60</v>
      </c>
      <c r="C222" s="34" t="s">
        <v>60</v>
      </c>
      <c r="D222" s="35" t="s">
        <v>40</v>
      </c>
      <c r="E222" s="35" t="s">
        <v>199</v>
      </c>
      <c r="F222" s="35" t="s">
        <v>1559</v>
      </c>
      <c r="G222" s="36" t="s">
        <v>1417</v>
      </c>
      <c r="H222" s="35" t="s">
        <v>1301</v>
      </c>
      <c r="I222" s="37" t="s">
        <v>60</v>
      </c>
      <c r="J222" s="37" t="s">
        <v>60</v>
      </c>
      <c r="K222" s="35" t="s">
        <v>1434</v>
      </c>
      <c r="L222" s="46" t="s">
        <v>1434</v>
      </c>
      <c r="M222" s="46" t="s">
        <v>1869</v>
      </c>
      <c r="N222" s="46" t="s">
        <v>60</v>
      </c>
      <c r="O222" s="46" t="s">
        <v>2360</v>
      </c>
      <c r="P222" s="46" t="s">
        <v>60</v>
      </c>
      <c r="Q222" s="46" t="s">
        <v>2814</v>
      </c>
      <c r="R222" s="46">
        <v>9999934588</v>
      </c>
      <c r="S222" s="47">
        <v>46120</v>
      </c>
      <c r="T222" s="46" t="s">
        <v>1990</v>
      </c>
      <c r="U222" s="48" t="s">
        <v>1559</v>
      </c>
      <c r="V222" s="48" t="s">
        <v>199</v>
      </c>
      <c r="W222" s="46" t="s">
        <v>60</v>
      </c>
      <c r="X222" s="46" t="s">
        <v>2623</v>
      </c>
      <c r="Y222" s="46" t="s">
        <v>538</v>
      </c>
      <c r="Z222" s="74" t="s">
        <v>1301</v>
      </c>
      <c r="AA222" s="10"/>
    </row>
    <row r="223" spans="1:27" x14ac:dyDescent="0.25">
      <c r="A223" s="58">
        <v>246</v>
      </c>
      <c r="B223" s="33" t="s">
        <v>60</v>
      </c>
      <c r="C223" s="34" t="s">
        <v>60</v>
      </c>
      <c r="D223" s="35" t="s">
        <v>40</v>
      </c>
      <c r="E223" s="35" t="s">
        <v>199</v>
      </c>
      <c r="F223" s="35" t="s">
        <v>1559</v>
      </c>
      <c r="G223" s="36" t="s">
        <v>1417</v>
      </c>
      <c r="H223" s="35" t="s">
        <v>1302</v>
      </c>
      <c r="I223" s="37" t="s">
        <v>60</v>
      </c>
      <c r="J223" s="37" t="s">
        <v>60</v>
      </c>
      <c r="K223" s="35" t="s">
        <v>1435</v>
      </c>
      <c r="L223" s="46" t="s">
        <v>1435</v>
      </c>
      <c r="M223" s="46" t="s">
        <v>1869</v>
      </c>
      <c r="N223" s="46" t="s">
        <v>60</v>
      </c>
      <c r="O223" s="46" t="s">
        <v>2360</v>
      </c>
      <c r="P223" s="46" t="s">
        <v>2324</v>
      </c>
      <c r="Q223" s="46" t="s">
        <v>2350</v>
      </c>
      <c r="R223" s="46">
        <v>9999934588</v>
      </c>
      <c r="S223" s="47">
        <v>46120</v>
      </c>
      <c r="T223" s="46" t="s">
        <v>1990</v>
      </c>
      <c r="U223" s="48" t="s">
        <v>1559</v>
      </c>
      <c r="V223" s="48" t="s">
        <v>199</v>
      </c>
      <c r="W223" s="46" t="s">
        <v>60</v>
      </c>
      <c r="X223" s="46" t="s">
        <v>2623</v>
      </c>
      <c r="Y223" s="46" t="s">
        <v>538</v>
      </c>
      <c r="Z223" s="74" t="s">
        <v>1302</v>
      </c>
      <c r="AA223" s="10"/>
    </row>
    <row r="224" spans="1:27" x14ac:dyDescent="0.25">
      <c r="A224" s="58">
        <v>247</v>
      </c>
      <c r="B224" s="33" t="s">
        <v>60</v>
      </c>
      <c r="C224" s="34" t="s">
        <v>60</v>
      </c>
      <c r="D224" s="35" t="s">
        <v>40</v>
      </c>
      <c r="E224" s="35" t="s">
        <v>199</v>
      </c>
      <c r="F224" s="35" t="s">
        <v>1561</v>
      </c>
      <c r="G224" s="36" t="s">
        <v>1417</v>
      </c>
      <c r="H224" s="35" t="s">
        <v>1304</v>
      </c>
      <c r="I224" s="37" t="s">
        <v>60</v>
      </c>
      <c r="J224" s="37" t="s">
        <v>60</v>
      </c>
      <c r="K224" s="35" t="s">
        <v>1437</v>
      </c>
      <c r="L224" s="46" t="s">
        <v>1437</v>
      </c>
      <c r="M224" s="46" t="s">
        <v>1869</v>
      </c>
      <c r="N224" s="46" t="s">
        <v>60</v>
      </c>
      <c r="O224" s="46" t="s">
        <v>2360</v>
      </c>
      <c r="P224" s="46" t="s">
        <v>2122</v>
      </c>
      <c r="Q224" s="46" t="s">
        <v>2123</v>
      </c>
      <c r="R224" s="46">
        <v>9999934588</v>
      </c>
      <c r="S224" s="47">
        <v>46122</v>
      </c>
      <c r="T224" s="46" t="s">
        <v>1990</v>
      </c>
      <c r="U224" s="48" t="s">
        <v>1561</v>
      </c>
      <c r="V224" s="48" t="s">
        <v>199</v>
      </c>
      <c r="W224" s="46" t="s">
        <v>60</v>
      </c>
      <c r="X224" s="46" t="s">
        <v>2627</v>
      </c>
      <c r="Y224" s="46" t="s">
        <v>2552</v>
      </c>
      <c r="Z224" s="74" t="s">
        <v>1304</v>
      </c>
      <c r="AA224" s="10"/>
    </row>
    <row r="225" spans="1:27" x14ac:dyDescent="0.25">
      <c r="A225" s="58">
        <v>248</v>
      </c>
      <c r="B225" s="33" t="s">
        <v>60</v>
      </c>
      <c r="C225" s="34" t="s">
        <v>60</v>
      </c>
      <c r="D225" s="35" t="s">
        <v>40</v>
      </c>
      <c r="E225" s="35" t="s">
        <v>199</v>
      </c>
      <c r="F225" s="35" t="s">
        <v>1564</v>
      </c>
      <c r="G225" s="36" t="s">
        <v>1417</v>
      </c>
      <c r="H225" s="35" t="s">
        <v>1307</v>
      </c>
      <c r="I225" s="37" t="s">
        <v>60</v>
      </c>
      <c r="J225" s="37" t="s">
        <v>60</v>
      </c>
      <c r="K225" s="35" t="s">
        <v>1440</v>
      </c>
      <c r="L225" s="46" t="s">
        <v>1440</v>
      </c>
      <c r="M225" s="46" t="s">
        <v>1869</v>
      </c>
      <c r="N225" s="46" t="s">
        <v>60</v>
      </c>
      <c r="O225" s="46" t="s">
        <v>2360</v>
      </c>
      <c r="P225" s="46" t="s">
        <v>2326</v>
      </c>
      <c r="Q225" s="46" t="s">
        <v>2126</v>
      </c>
      <c r="R225" s="46">
        <v>9999934588</v>
      </c>
      <c r="S225" s="47">
        <v>46123</v>
      </c>
      <c r="T225" s="46" t="s">
        <v>1990</v>
      </c>
      <c r="U225" s="48" t="s">
        <v>1564</v>
      </c>
      <c r="V225" s="48" t="s">
        <v>199</v>
      </c>
      <c r="W225" s="46" t="s">
        <v>60</v>
      </c>
      <c r="X225" s="46" t="s">
        <v>2628</v>
      </c>
      <c r="Y225" s="46" t="s">
        <v>2554</v>
      </c>
      <c r="Z225" s="74" t="s">
        <v>1307</v>
      </c>
      <c r="AA225" s="10"/>
    </row>
    <row r="226" spans="1:27" x14ac:dyDescent="0.25">
      <c r="A226" s="58">
        <v>249</v>
      </c>
      <c r="B226" s="33" t="s">
        <v>60</v>
      </c>
      <c r="C226" s="34" t="s">
        <v>60</v>
      </c>
      <c r="D226" s="35" t="s">
        <v>40</v>
      </c>
      <c r="E226" s="35" t="s">
        <v>199</v>
      </c>
      <c r="F226" s="35" t="s">
        <v>1565</v>
      </c>
      <c r="G226" s="36" t="s">
        <v>1417</v>
      </c>
      <c r="H226" s="35" t="s">
        <v>1308</v>
      </c>
      <c r="I226" s="37" t="s">
        <v>60</v>
      </c>
      <c r="J226" s="37" t="s">
        <v>60</v>
      </c>
      <c r="K226" s="35" t="s">
        <v>1441</v>
      </c>
      <c r="L226" s="46" t="s">
        <v>1441</v>
      </c>
      <c r="M226" s="46" t="s">
        <v>1869</v>
      </c>
      <c r="N226" s="46" t="s">
        <v>60</v>
      </c>
      <c r="O226" s="46" t="s">
        <v>2360</v>
      </c>
      <c r="P226" s="46" t="s">
        <v>2127</v>
      </c>
      <c r="Q226" s="46" t="s">
        <v>2128</v>
      </c>
      <c r="R226" s="46">
        <v>9999934588</v>
      </c>
      <c r="S226" s="47">
        <v>46120</v>
      </c>
      <c r="T226" s="46" t="s">
        <v>1990</v>
      </c>
      <c r="U226" s="48" t="s">
        <v>1565</v>
      </c>
      <c r="V226" s="48" t="s">
        <v>199</v>
      </c>
      <c r="W226" s="46" t="s">
        <v>60</v>
      </c>
      <c r="X226" s="46" t="s">
        <v>2629</v>
      </c>
      <c r="Y226" s="46" t="s">
        <v>2630</v>
      </c>
      <c r="Z226" s="74" t="s">
        <v>1308</v>
      </c>
      <c r="AA226" s="10"/>
    </row>
    <row r="227" spans="1:27" x14ac:dyDescent="0.25">
      <c r="A227" s="58">
        <v>250</v>
      </c>
      <c r="B227" s="33" t="s">
        <v>60</v>
      </c>
      <c r="C227" s="34" t="s">
        <v>60</v>
      </c>
      <c r="D227" s="35" t="s">
        <v>40</v>
      </c>
      <c r="E227" s="35" t="s">
        <v>199</v>
      </c>
      <c r="F227" s="35" t="s">
        <v>200</v>
      </c>
      <c r="G227" s="36" t="s">
        <v>1417</v>
      </c>
      <c r="H227" s="35" t="s">
        <v>1311</v>
      </c>
      <c r="I227" s="37" t="s">
        <v>60</v>
      </c>
      <c r="J227" s="37" t="s">
        <v>60</v>
      </c>
      <c r="K227" s="35" t="s">
        <v>1444</v>
      </c>
      <c r="L227" s="46" t="s">
        <v>1444</v>
      </c>
      <c r="M227" s="46" t="s">
        <v>1869</v>
      </c>
      <c r="N227" s="46" t="s">
        <v>60</v>
      </c>
      <c r="O227" s="46" t="s">
        <v>2360</v>
      </c>
      <c r="P227" s="46" t="s">
        <v>2131</v>
      </c>
      <c r="Q227" s="46" t="s">
        <v>2132</v>
      </c>
      <c r="R227" s="46">
        <v>9999934588</v>
      </c>
      <c r="S227" s="47">
        <v>46128</v>
      </c>
      <c r="T227" s="46" t="s">
        <v>1990</v>
      </c>
      <c r="U227" s="48" t="s">
        <v>200</v>
      </c>
      <c r="V227" s="48" t="s">
        <v>199</v>
      </c>
      <c r="W227" s="46" t="s">
        <v>60</v>
      </c>
      <c r="X227" s="46" t="s">
        <v>2419</v>
      </c>
      <c r="Y227" s="46" t="s">
        <v>538</v>
      </c>
      <c r="Z227" s="74" t="s">
        <v>1311</v>
      </c>
      <c r="AA227" s="10"/>
    </row>
    <row r="228" spans="1:27" x14ac:dyDescent="0.25">
      <c r="A228" s="58">
        <v>251</v>
      </c>
      <c r="B228" s="33" t="s">
        <v>60</v>
      </c>
      <c r="C228" s="34" t="s">
        <v>60</v>
      </c>
      <c r="D228" s="35" t="s">
        <v>40</v>
      </c>
      <c r="E228" s="35" t="s">
        <v>199</v>
      </c>
      <c r="F228" s="35" t="s">
        <v>1571</v>
      </c>
      <c r="G228" s="36" t="s">
        <v>1417</v>
      </c>
      <c r="H228" s="35" t="s">
        <v>1320</v>
      </c>
      <c r="I228" s="37" t="s">
        <v>60</v>
      </c>
      <c r="J228" s="37" t="s">
        <v>60</v>
      </c>
      <c r="K228" s="35" t="s">
        <v>1453</v>
      </c>
      <c r="L228" s="46" t="s">
        <v>1453</v>
      </c>
      <c r="M228" s="46" t="s">
        <v>1869</v>
      </c>
      <c r="N228" s="46" t="s">
        <v>60</v>
      </c>
      <c r="O228" s="46" t="s">
        <v>2360</v>
      </c>
      <c r="P228" s="46" t="s">
        <v>2144</v>
      </c>
      <c r="Q228" s="46" t="s">
        <v>2145</v>
      </c>
      <c r="R228" s="46">
        <v>9999934588</v>
      </c>
      <c r="S228" s="47">
        <v>46125</v>
      </c>
      <c r="T228" s="46" t="s">
        <v>1990</v>
      </c>
      <c r="U228" s="48" t="s">
        <v>1571</v>
      </c>
      <c r="V228" s="48" t="s">
        <v>199</v>
      </c>
      <c r="W228" s="46" t="s">
        <v>60</v>
      </c>
      <c r="X228" s="46" t="s">
        <v>2631</v>
      </c>
      <c r="Y228" s="46" t="s">
        <v>2632</v>
      </c>
      <c r="Z228" s="74" t="s">
        <v>1320</v>
      </c>
      <c r="AA228" s="10"/>
    </row>
    <row r="229" spans="1:27" x14ac:dyDescent="0.25">
      <c r="A229" s="58">
        <v>252</v>
      </c>
      <c r="B229" s="33" t="s">
        <v>60</v>
      </c>
      <c r="C229" s="34" t="s">
        <v>60</v>
      </c>
      <c r="D229" s="35" t="s">
        <v>40</v>
      </c>
      <c r="E229" s="35" t="s">
        <v>199</v>
      </c>
      <c r="F229" s="35" t="s">
        <v>1574</v>
      </c>
      <c r="G229" s="36" t="s">
        <v>1417</v>
      </c>
      <c r="H229" s="35" t="s">
        <v>1325</v>
      </c>
      <c r="I229" s="37" t="s">
        <v>60</v>
      </c>
      <c r="J229" s="37" t="s">
        <v>60</v>
      </c>
      <c r="K229" s="35" t="s">
        <v>1458</v>
      </c>
      <c r="L229" s="46" t="s">
        <v>1458</v>
      </c>
      <c r="M229" s="46" t="s">
        <v>1869</v>
      </c>
      <c r="N229" s="46" t="s">
        <v>60</v>
      </c>
      <c r="O229" s="46" t="s">
        <v>2360</v>
      </c>
      <c r="P229" s="46" t="s">
        <v>2152</v>
      </c>
      <c r="Q229" s="46" t="s">
        <v>2153</v>
      </c>
      <c r="R229" s="46">
        <v>9999934588</v>
      </c>
      <c r="S229" s="47">
        <v>46123</v>
      </c>
      <c r="T229" s="46" t="s">
        <v>1990</v>
      </c>
      <c r="U229" s="48" t="s">
        <v>1574</v>
      </c>
      <c r="V229" s="48" t="s">
        <v>199</v>
      </c>
      <c r="W229" s="46" t="s">
        <v>60</v>
      </c>
      <c r="X229" s="46" t="s">
        <v>2633</v>
      </c>
      <c r="Y229" s="46" t="s">
        <v>1042</v>
      </c>
      <c r="Z229" s="74" t="s">
        <v>1325</v>
      </c>
      <c r="AA229" s="10"/>
    </row>
    <row r="230" spans="1:27" x14ac:dyDescent="0.25">
      <c r="A230" s="58">
        <v>253</v>
      </c>
      <c r="B230" s="33" t="s">
        <v>60</v>
      </c>
      <c r="C230" s="34" t="s">
        <v>60</v>
      </c>
      <c r="D230" s="35" t="s">
        <v>40</v>
      </c>
      <c r="E230" s="35" t="s">
        <v>199</v>
      </c>
      <c r="F230" s="35" t="s">
        <v>1574</v>
      </c>
      <c r="G230" s="36" t="s">
        <v>1417</v>
      </c>
      <c r="H230" s="35" t="s">
        <v>1326</v>
      </c>
      <c r="I230" s="37" t="s">
        <v>60</v>
      </c>
      <c r="J230" s="37" t="s">
        <v>60</v>
      </c>
      <c r="K230" s="35" t="s">
        <v>1459</v>
      </c>
      <c r="L230" s="46" t="s">
        <v>1459</v>
      </c>
      <c r="M230" s="46" t="s">
        <v>1869</v>
      </c>
      <c r="N230" s="46" t="s">
        <v>60</v>
      </c>
      <c r="O230" s="46" t="s">
        <v>2360</v>
      </c>
      <c r="P230" s="46" t="s">
        <v>2154</v>
      </c>
      <c r="Q230" s="46" t="s">
        <v>2153</v>
      </c>
      <c r="R230" s="46">
        <v>9999934588</v>
      </c>
      <c r="S230" s="47">
        <v>46122</v>
      </c>
      <c r="T230" s="46" t="s">
        <v>1990</v>
      </c>
      <c r="U230" s="48" t="s">
        <v>1574</v>
      </c>
      <c r="V230" s="48" t="s">
        <v>199</v>
      </c>
      <c r="W230" s="46" t="s">
        <v>60</v>
      </c>
      <c r="X230" s="46" t="s">
        <v>2634</v>
      </c>
      <c r="Y230" s="46" t="s">
        <v>79</v>
      </c>
      <c r="Z230" s="74" t="s">
        <v>1326</v>
      </c>
      <c r="AA230" s="10"/>
    </row>
    <row r="231" spans="1:27" x14ac:dyDescent="0.25">
      <c r="A231" s="58">
        <v>254</v>
      </c>
      <c r="B231" s="33" t="s">
        <v>60</v>
      </c>
      <c r="C231" s="34" t="s">
        <v>60</v>
      </c>
      <c r="D231" s="35" t="s">
        <v>40</v>
      </c>
      <c r="E231" s="35" t="s">
        <v>199</v>
      </c>
      <c r="F231" s="35" t="s">
        <v>1585</v>
      </c>
      <c r="G231" s="36" t="s">
        <v>1417</v>
      </c>
      <c r="H231" s="35" t="s">
        <v>1344</v>
      </c>
      <c r="I231" s="37" t="s">
        <v>60</v>
      </c>
      <c r="J231" s="37" t="s">
        <v>60</v>
      </c>
      <c r="K231" s="35" t="s">
        <v>1477</v>
      </c>
      <c r="L231" s="46" t="s">
        <v>1477</v>
      </c>
      <c r="M231" s="46" t="s">
        <v>1869</v>
      </c>
      <c r="N231" s="46" t="s">
        <v>60</v>
      </c>
      <c r="O231" s="46" t="s">
        <v>2360</v>
      </c>
      <c r="P231" s="46" t="s">
        <v>2179</v>
      </c>
      <c r="Q231" s="46" t="s">
        <v>2180</v>
      </c>
      <c r="R231" s="46">
        <v>9999934588</v>
      </c>
      <c r="S231" s="47">
        <v>46120</v>
      </c>
      <c r="T231" s="46" t="s">
        <v>1990</v>
      </c>
      <c r="U231" s="48" t="s">
        <v>1585</v>
      </c>
      <c r="V231" s="48" t="s">
        <v>199</v>
      </c>
      <c r="W231" s="46" t="s">
        <v>60</v>
      </c>
      <c r="X231" s="46" t="s">
        <v>2635</v>
      </c>
      <c r="Y231" s="46" t="s">
        <v>538</v>
      </c>
      <c r="Z231" s="74" t="s">
        <v>1344</v>
      </c>
      <c r="AA231" s="10"/>
    </row>
    <row r="232" spans="1:27" x14ac:dyDescent="0.25">
      <c r="A232" s="58">
        <v>255</v>
      </c>
      <c r="B232" s="33" t="s">
        <v>60</v>
      </c>
      <c r="C232" s="34" t="s">
        <v>60</v>
      </c>
      <c r="D232" s="35" t="s">
        <v>40</v>
      </c>
      <c r="E232" s="35" t="s">
        <v>199</v>
      </c>
      <c r="F232" s="35" t="s">
        <v>214</v>
      </c>
      <c r="G232" s="36" t="s">
        <v>1417</v>
      </c>
      <c r="H232" s="35" t="s">
        <v>1352</v>
      </c>
      <c r="I232" s="37" t="s">
        <v>60</v>
      </c>
      <c r="J232" s="37" t="s">
        <v>60</v>
      </c>
      <c r="K232" s="35" t="s">
        <v>1485</v>
      </c>
      <c r="L232" s="46" t="s">
        <v>1485</v>
      </c>
      <c r="M232" s="46" t="s">
        <v>1869</v>
      </c>
      <c r="N232" s="46" t="s">
        <v>60</v>
      </c>
      <c r="O232" s="46" t="s">
        <v>2360</v>
      </c>
      <c r="P232" s="46" t="s">
        <v>2191</v>
      </c>
      <c r="Q232" s="46" t="s">
        <v>2190</v>
      </c>
      <c r="R232" s="46">
        <v>9999934588</v>
      </c>
      <c r="S232" s="47">
        <v>46122</v>
      </c>
      <c r="T232" s="46" t="s">
        <v>1990</v>
      </c>
      <c r="U232" s="48" t="s">
        <v>214</v>
      </c>
      <c r="V232" s="48" t="s">
        <v>199</v>
      </c>
      <c r="W232" s="46" t="s">
        <v>60</v>
      </c>
      <c r="X232" s="46" t="s">
        <v>2589</v>
      </c>
      <c r="Y232" s="46" t="s">
        <v>60</v>
      </c>
      <c r="Z232" s="74" t="s">
        <v>1352</v>
      </c>
      <c r="AA232" s="10"/>
    </row>
    <row r="233" spans="1:27" x14ac:dyDescent="0.25">
      <c r="A233" s="58">
        <v>256</v>
      </c>
      <c r="B233" s="33" t="s">
        <v>60</v>
      </c>
      <c r="C233" s="34" t="s">
        <v>60</v>
      </c>
      <c r="D233" s="35" t="s">
        <v>40</v>
      </c>
      <c r="E233" s="35" t="s">
        <v>199</v>
      </c>
      <c r="F233" s="35" t="s">
        <v>214</v>
      </c>
      <c r="G233" s="36" t="s">
        <v>1417</v>
      </c>
      <c r="H233" s="35" t="s">
        <v>1351</v>
      </c>
      <c r="I233" s="37" t="s">
        <v>60</v>
      </c>
      <c r="J233" s="37" t="s">
        <v>60</v>
      </c>
      <c r="K233" s="35" t="s">
        <v>1484</v>
      </c>
      <c r="L233" s="46" t="s">
        <v>1484</v>
      </c>
      <c r="M233" s="46" t="s">
        <v>1869</v>
      </c>
      <c r="N233" s="46" t="s">
        <v>60</v>
      </c>
      <c r="O233" s="46" t="s">
        <v>2360</v>
      </c>
      <c r="P233" s="46" t="s">
        <v>2189</v>
      </c>
      <c r="Q233" s="46" t="s">
        <v>2190</v>
      </c>
      <c r="R233" s="46">
        <v>9999934588</v>
      </c>
      <c r="S233" s="47">
        <v>46122</v>
      </c>
      <c r="T233" s="46" t="s">
        <v>1990</v>
      </c>
      <c r="U233" s="48" t="s">
        <v>214</v>
      </c>
      <c r="V233" s="48" t="s">
        <v>199</v>
      </c>
      <c r="W233" s="46" t="s">
        <v>60</v>
      </c>
      <c r="X233" s="46" t="s">
        <v>2636</v>
      </c>
      <c r="Y233" s="46" t="s">
        <v>60</v>
      </c>
      <c r="Z233" s="74" t="s">
        <v>1351</v>
      </c>
      <c r="AA233" s="10"/>
    </row>
    <row r="234" spans="1:27" x14ac:dyDescent="0.25">
      <c r="A234" s="58">
        <v>257</v>
      </c>
      <c r="B234" s="33" t="s">
        <v>60</v>
      </c>
      <c r="C234" s="34" t="s">
        <v>60</v>
      </c>
      <c r="D234" s="35" t="s">
        <v>40</v>
      </c>
      <c r="E234" s="35" t="s">
        <v>199</v>
      </c>
      <c r="F234" s="35" t="s">
        <v>214</v>
      </c>
      <c r="G234" s="36" t="s">
        <v>1417</v>
      </c>
      <c r="H234" s="35" t="s">
        <v>1353</v>
      </c>
      <c r="I234" s="37" t="s">
        <v>60</v>
      </c>
      <c r="J234" s="37" t="s">
        <v>60</v>
      </c>
      <c r="K234" s="35" t="s">
        <v>1486</v>
      </c>
      <c r="L234" s="46" t="s">
        <v>1486</v>
      </c>
      <c r="M234" s="46" t="s">
        <v>1869</v>
      </c>
      <c r="N234" s="46" t="s">
        <v>60</v>
      </c>
      <c r="O234" s="46" t="s">
        <v>2360</v>
      </c>
      <c r="P234" s="46" t="s">
        <v>2192</v>
      </c>
      <c r="Q234" s="46" t="s">
        <v>2193</v>
      </c>
      <c r="R234" s="46">
        <v>9999934588</v>
      </c>
      <c r="S234" s="47">
        <v>46123</v>
      </c>
      <c r="T234" s="46" t="s">
        <v>1990</v>
      </c>
      <c r="U234" s="48" t="s">
        <v>214</v>
      </c>
      <c r="V234" s="48" t="s">
        <v>199</v>
      </c>
      <c r="W234" s="46" t="s">
        <v>60</v>
      </c>
      <c r="X234" s="46" t="s">
        <v>2637</v>
      </c>
      <c r="Y234" s="46" t="s">
        <v>1042</v>
      </c>
      <c r="Z234" s="74" t="s">
        <v>1353</v>
      </c>
      <c r="AA234" s="10"/>
    </row>
    <row r="235" spans="1:27" x14ac:dyDescent="0.25">
      <c r="A235" s="58">
        <v>258</v>
      </c>
      <c r="B235" s="33" t="s">
        <v>60</v>
      </c>
      <c r="C235" s="34" t="s">
        <v>60</v>
      </c>
      <c r="D235" s="35" t="s">
        <v>40</v>
      </c>
      <c r="E235" s="35" t="s">
        <v>237</v>
      </c>
      <c r="F235" s="35" t="s">
        <v>1590</v>
      </c>
      <c r="G235" s="36" t="s">
        <v>1417</v>
      </c>
      <c r="H235" s="35" t="s">
        <v>1355</v>
      </c>
      <c r="I235" s="37" t="s">
        <v>60</v>
      </c>
      <c r="J235" s="37" t="s">
        <v>60</v>
      </c>
      <c r="K235" s="35" t="s">
        <v>1488</v>
      </c>
      <c r="L235" s="46" t="s">
        <v>1488</v>
      </c>
      <c r="M235" s="46" t="s">
        <v>1869</v>
      </c>
      <c r="N235" s="46" t="s">
        <v>60</v>
      </c>
      <c r="O235" s="46" t="s">
        <v>2360</v>
      </c>
      <c r="P235" s="46" t="s">
        <v>2196</v>
      </c>
      <c r="Q235" s="46" t="s">
        <v>2195</v>
      </c>
      <c r="R235" s="46">
        <v>9999934588</v>
      </c>
      <c r="S235" s="47">
        <v>46129</v>
      </c>
      <c r="T235" s="46" t="s">
        <v>1990</v>
      </c>
      <c r="U235" s="48" t="s">
        <v>1590</v>
      </c>
      <c r="V235" s="48" t="s">
        <v>199</v>
      </c>
      <c r="W235" s="46" t="s">
        <v>60</v>
      </c>
      <c r="X235" s="46" t="s">
        <v>2577</v>
      </c>
      <c r="Y235" s="46" t="s">
        <v>60</v>
      </c>
      <c r="Z235" s="74" t="s">
        <v>1355</v>
      </c>
      <c r="AA235" s="10"/>
    </row>
    <row r="236" spans="1:27" x14ac:dyDescent="0.25">
      <c r="A236" s="58">
        <v>259</v>
      </c>
      <c r="B236" s="33" t="s">
        <v>60</v>
      </c>
      <c r="C236" s="34" t="s">
        <v>60</v>
      </c>
      <c r="D236" s="35" t="s">
        <v>40</v>
      </c>
      <c r="E236" s="35" t="s">
        <v>199</v>
      </c>
      <c r="F236" s="35" t="s">
        <v>1592</v>
      </c>
      <c r="G236" s="36" t="s">
        <v>1417</v>
      </c>
      <c r="H236" s="35" t="s">
        <v>1362</v>
      </c>
      <c r="I236" s="37" t="s">
        <v>60</v>
      </c>
      <c r="J236" s="37" t="s">
        <v>60</v>
      </c>
      <c r="K236" s="35" t="s">
        <v>1495</v>
      </c>
      <c r="L236" s="46" t="s">
        <v>1495</v>
      </c>
      <c r="M236" s="46" t="s">
        <v>1869</v>
      </c>
      <c r="N236" s="46" t="s">
        <v>60</v>
      </c>
      <c r="O236" s="46" t="s">
        <v>2360</v>
      </c>
      <c r="P236" s="46" t="s">
        <v>2204</v>
      </c>
      <c r="Q236" s="46" t="s">
        <v>2351</v>
      </c>
      <c r="R236" s="46">
        <v>9999934588</v>
      </c>
      <c r="S236" s="47">
        <v>46120</v>
      </c>
      <c r="T236" s="46" t="s">
        <v>1990</v>
      </c>
      <c r="U236" s="48" t="s">
        <v>1592</v>
      </c>
      <c r="V236" s="48" t="s">
        <v>199</v>
      </c>
      <c r="W236" s="46" t="s">
        <v>60</v>
      </c>
      <c r="X236" s="46" t="s">
        <v>2638</v>
      </c>
      <c r="Y236" s="46" t="s">
        <v>60</v>
      </c>
      <c r="Z236" s="74" t="s">
        <v>1362</v>
      </c>
      <c r="AA236" s="10"/>
    </row>
    <row r="237" spans="1:27" x14ac:dyDescent="0.25">
      <c r="A237" s="58">
        <v>260</v>
      </c>
      <c r="B237" s="33" t="s">
        <v>60</v>
      </c>
      <c r="C237" s="34" t="s">
        <v>60</v>
      </c>
      <c r="D237" s="35" t="s">
        <v>40</v>
      </c>
      <c r="E237" s="35" t="s">
        <v>199</v>
      </c>
      <c r="F237" s="35" t="s">
        <v>837</v>
      </c>
      <c r="G237" s="36" t="s">
        <v>1417</v>
      </c>
      <c r="H237" s="35" t="s">
        <v>1365</v>
      </c>
      <c r="I237" s="37" t="s">
        <v>60</v>
      </c>
      <c r="J237" s="37" t="s">
        <v>60</v>
      </c>
      <c r="K237" s="35" t="s">
        <v>1499</v>
      </c>
      <c r="L237" s="46" t="s">
        <v>1499</v>
      </c>
      <c r="M237" s="46" t="s">
        <v>1869</v>
      </c>
      <c r="N237" s="46" t="s">
        <v>60</v>
      </c>
      <c r="O237" s="46" t="s">
        <v>2360</v>
      </c>
      <c r="P237" s="46" t="s">
        <v>2208</v>
      </c>
      <c r="Q237" s="46" t="s">
        <v>2207</v>
      </c>
      <c r="R237" s="46">
        <v>9999934588</v>
      </c>
      <c r="S237" s="47">
        <v>46121</v>
      </c>
      <c r="T237" s="46" t="s">
        <v>1990</v>
      </c>
      <c r="U237" s="48" t="s">
        <v>837</v>
      </c>
      <c r="V237" s="48" t="s">
        <v>199</v>
      </c>
      <c r="W237" s="46" t="s">
        <v>60</v>
      </c>
      <c r="X237" s="46" t="s">
        <v>2639</v>
      </c>
      <c r="Y237" s="46" t="s">
        <v>2640</v>
      </c>
      <c r="Z237" s="74" t="s">
        <v>1365</v>
      </c>
      <c r="AA237" s="10"/>
    </row>
    <row r="238" spans="1:27" x14ac:dyDescent="0.25">
      <c r="A238" s="58">
        <v>261</v>
      </c>
      <c r="B238" s="33" t="s">
        <v>60</v>
      </c>
      <c r="C238" s="34" t="s">
        <v>60</v>
      </c>
      <c r="D238" s="35" t="s">
        <v>40</v>
      </c>
      <c r="E238" s="35" t="s">
        <v>199</v>
      </c>
      <c r="F238" s="35" t="s">
        <v>837</v>
      </c>
      <c r="G238" s="36" t="s">
        <v>1417</v>
      </c>
      <c r="H238" s="35" t="s">
        <v>1364</v>
      </c>
      <c r="I238" s="37" t="s">
        <v>60</v>
      </c>
      <c r="J238" s="37" t="s">
        <v>60</v>
      </c>
      <c r="K238" s="35" t="s">
        <v>1498</v>
      </c>
      <c r="L238" s="46" t="s">
        <v>1498</v>
      </c>
      <c r="M238" s="46" t="s">
        <v>1869</v>
      </c>
      <c r="N238" s="46" t="s">
        <v>60</v>
      </c>
      <c r="O238" s="46" t="s">
        <v>2360</v>
      </c>
      <c r="P238" s="46" t="s">
        <v>2333</v>
      </c>
      <c r="Q238" s="46" t="s">
        <v>2207</v>
      </c>
      <c r="R238" s="46">
        <v>9999934588</v>
      </c>
      <c r="S238" s="47">
        <v>46123</v>
      </c>
      <c r="T238" s="46" t="s">
        <v>1990</v>
      </c>
      <c r="U238" s="48" t="s">
        <v>837</v>
      </c>
      <c r="V238" s="48" t="s">
        <v>199</v>
      </c>
      <c r="W238" s="46" t="s">
        <v>60</v>
      </c>
      <c r="X238" s="46" t="s">
        <v>2641</v>
      </c>
      <c r="Y238" s="46" t="s">
        <v>2603</v>
      </c>
      <c r="Z238" s="74" t="s">
        <v>1364</v>
      </c>
      <c r="AA238" s="10"/>
    </row>
    <row r="239" spans="1:27" x14ac:dyDescent="0.25">
      <c r="A239" s="58">
        <v>262</v>
      </c>
      <c r="B239" s="33" t="s">
        <v>60</v>
      </c>
      <c r="C239" s="34" t="s">
        <v>60</v>
      </c>
      <c r="D239" s="35" t="s">
        <v>40</v>
      </c>
      <c r="E239" s="35" t="s">
        <v>199</v>
      </c>
      <c r="F239" s="35" t="s">
        <v>1594</v>
      </c>
      <c r="G239" s="36" t="s">
        <v>1417</v>
      </c>
      <c r="H239" s="35" t="s">
        <v>1369</v>
      </c>
      <c r="I239" s="37" t="s">
        <v>60</v>
      </c>
      <c r="J239" s="37" t="s">
        <v>60</v>
      </c>
      <c r="K239" s="35" t="s">
        <v>1503</v>
      </c>
      <c r="L239" s="46" t="s">
        <v>1503</v>
      </c>
      <c r="M239" s="46" t="s">
        <v>1869</v>
      </c>
      <c r="N239" s="46" t="s">
        <v>60</v>
      </c>
      <c r="O239" s="46" t="s">
        <v>2360</v>
      </c>
      <c r="P239" s="46" t="s">
        <v>2212</v>
      </c>
      <c r="Q239" s="46" t="s">
        <v>2213</v>
      </c>
      <c r="R239" s="46">
        <v>9999934588</v>
      </c>
      <c r="S239" s="47">
        <v>46123</v>
      </c>
      <c r="T239" s="46" t="s">
        <v>1990</v>
      </c>
      <c r="U239" s="48" t="s">
        <v>1594</v>
      </c>
      <c r="V239" s="48" t="s">
        <v>199</v>
      </c>
      <c r="W239" s="46" t="s">
        <v>60</v>
      </c>
      <c r="X239" s="46" t="s">
        <v>2560</v>
      </c>
      <c r="Y239" s="46" t="s">
        <v>79</v>
      </c>
      <c r="Z239" s="74" t="s">
        <v>1369</v>
      </c>
      <c r="AA239" s="10"/>
    </row>
    <row r="240" spans="1:27" x14ac:dyDescent="0.25">
      <c r="A240" s="58">
        <v>263</v>
      </c>
      <c r="B240" s="33" t="s">
        <v>60</v>
      </c>
      <c r="C240" s="34" t="s">
        <v>60</v>
      </c>
      <c r="D240" s="35" t="s">
        <v>40</v>
      </c>
      <c r="E240" s="35" t="s">
        <v>199</v>
      </c>
      <c r="F240" s="35" t="s">
        <v>1598</v>
      </c>
      <c r="G240" s="36" t="s">
        <v>1417</v>
      </c>
      <c r="H240" s="35" t="s">
        <v>1374</v>
      </c>
      <c r="I240" s="37" t="s">
        <v>60</v>
      </c>
      <c r="J240" s="37" t="s">
        <v>60</v>
      </c>
      <c r="K240" s="35" t="s">
        <v>1508</v>
      </c>
      <c r="L240" s="46" t="s">
        <v>1508</v>
      </c>
      <c r="M240" s="46" t="s">
        <v>1869</v>
      </c>
      <c r="N240" s="46" t="s">
        <v>60</v>
      </c>
      <c r="O240" s="46" t="s">
        <v>2360</v>
      </c>
      <c r="P240" s="46" t="s">
        <v>2104</v>
      </c>
      <c r="Q240" s="46" t="s">
        <v>2218</v>
      </c>
      <c r="R240" s="46">
        <v>9999934588</v>
      </c>
      <c r="S240" s="47">
        <v>46128</v>
      </c>
      <c r="T240" s="46" t="s">
        <v>1990</v>
      </c>
      <c r="U240" s="48" t="s">
        <v>1598</v>
      </c>
      <c r="V240" s="48" t="s">
        <v>199</v>
      </c>
      <c r="W240" s="46" t="s">
        <v>60</v>
      </c>
      <c r="X240" s="46" t="s">
        <v>2623</v>
      </c>
      <c r="Y240" s="46" t="s">
        <v>538</v>
      </c>
      <c r="Z240" s="74" t="s">
        <v>1374</v>
      </c>
      <c r="AA240" s="10"/>
    </row>
    <row r="241" spans="1:27" x14ac:dyDescent="0.25">
      <c r="A241" s="58">
        <v>264</v>
      </c>
      <c r="B241" s="33" t="s">
        <v>60</v>
      </c>
      <c r="C241" s="34" t="s">
        <v>60</v>
      </c>
      <c r="D241" s="35" t="s">
        <v>40</v>
      </c>
      <c r="E241" s="35" t="s">
        <v>199</v>
      </c>
      <c r="F241" s="35" t="s">
        <v>1598</v>
      </c>
      <c r="G241" s="36" t="s">
        <v>1417</v>
      </c>
      <c r="H241" s="35" t="s">
        <v>1375</v>
      </c>
      <c r="I241" s="37" t="s">
        <v>60</v>
      </c>
      <c r="J241" s="37" t="s">
        <v>60</v>
      </c>
      <c r="K241" s="35" t="s">
        <v>1509</v>
      </c>
      <c r="L241" s="46" t="s">
        <v>1509</v>
      </c>
      <c r="M241" s="46" t="s">
        <v>1869</v>
      </c>
      <c r="N241" s="46" t="s">
        <v>60</v>
      </c>
      <c r="O241" s="46" t="s">
        <v>2360</v>
      </c>
      <c r="P241" s="46" t="s">
        <v>2219</v>
      </c>
      <c r="Q241" s="46" t="s">
        <v>2218</v>
      </c>
      <c r="R241" s="46">
        <v>9999934588</v>
      </c>
      <c r="S241" s="47">
        <v>46128</v>
      </c>
      <c r="T241" s="46" t="s">
        <v>1990</v>
      </c>
      <c r="U241" s="48" t="s">
        <v>1598</v>
      </c>
      <c r="V241" s="48" t="s">
        <v>199</v>
      </c>
      <c r="W241" s="46" t="s">
        <v>60</v>
      </c>
      <c r="X241" s="46" t="s">
        <v>2623</v>
      </c>
      <c r="Y241" s="46" t="s">
        <v>538</v>
      </c>
      <c r="Z241" s="74" t="s">
        <v>1375</v>
      </c>
      <c r="AA241" s="10"/>
    </row>
    <row r="242" spans="1:27" x14ac:dyDescent="0.25">
      <c r="A242" s="58">
        <v>265</v>
      </c>
      <c r="B242" s="33" t="s">
        <v>60</v>
      </c>
      <c r="C242" s="34" t="s">
        <v>60</v>
      </c>
      <c r="D242" s="35" t="s">
        <v>40</v>
      </c>
      <c r="E242" s="35" t="s">
        <v>199</v>
      </c>
      <c r="F242" s="35" t="s">
        <v>1605</v>
      </c>
      <c r="G242" s="36" t="s">
        <v>1417</v>
      </c>
      <c r="H242" s="35" t="s">
        <v>1388</v>
      </c>
      <c r="I242" s="37" t="s">
        <v>60</v>
      </c>
      <c r="J242" s="37" t="s">
        <v>60</v>
      </c>
      <c r="K242" s="35" t="s">
        <v>1522</v>
      </c>
      <c r="L242" s="46" t="s">
        <v>1522</v>
      </c>
      <c r="M242" s="46" t="s">
        <v>1869</v>
      </c>
      <c r="N242" s="46" t="s">
        <v>60</v>
      </c>
      <c r="O242" s="46" t="s">
        <v>2360</v>
      </c>
      <c r="P242" s="46" t="s">
        <v>2232</v>
      </c>
      <c r="Q242" s="46" t="s">
        <v>2233</v>
      </c>
      <c r="R242" s="46">
        <v>9999934588</v>
      </c>
      <c r="S242" s="47">
        <v>46123</v>
      </c>
      <c r="T242" s="46" t="s">
        <v>1990</v>
      </c>
      <c r="U242" s="48" t="s">
        <v>1605</v>
      </c>
      <c r="V242" s="48" t="s">
        <v>199</v>
      </c>
      <c r="W242" s="46" t="s">
        <v>60</v>
      </c>
      <c r="X242" s="46" t="s">
        <v>2419</v>
      </c>
      <c r="Y242" s="46" t="s">
        <v>538</v>
      </c>
      <c r="Z242" s="74" t="s">
        <v>1388</v>
      </c>
      <c r="AA242" s="10"/>
    </row>
    <row r="243" spans="1:27" x14ac:dyDescent="0.25">
      <c r="A243" s="58">
        <v>266</v>
      </c>
      <c r="B243" s="33" t="s">
        <v>60</v>
      </c>
      <c r="C243" s="34" t="s">
        <v>60</v>
      </c>
      <c r="D243" s="35" t="s">
        <v>40</v>
      </c>
      <c r="E243" s="35" t="s">
        <v>199</v>
      </c>
      <c r="F243" s="35" t="s">
        <v>1607</v>
      </c>
      <c r="G243" s="36" t="s">
        <v>1417</v>
      </c>
      <c r="H243" s="35" t="s">
        <v>1391</v>
      </c>
      <c r="I243" s="37" t="s">
        <v>60</v>
      </c>
      <c r="J243" s="37" t="s">
        <v>60</v>
      </c>
      <c r="K243" s="35" t="s">
        <v>1525</v>
      </c>
      <c r="L243" s="46" t="s">
        <v>1525</v>
      </c>
      <c r="M243" s="46" t="s">
        <v>1869</v>
      </c>
      <c r="N243" s="46" t="s">
        <v>60</v>
      </c>
      <c r="O243" s="46" t="s">
        <v>2360</v>
      </c>
      <c r="P243" s="46" t="s">
        <v>2339</v>
      </c>
      <c r="Q243" s="46" t="s">
        <v>2237</v>
      </c>
      <c r="R243" s="46">
        <v>9999934588</v>
      </c>
      <c r="S243" s="47">
        <v>46122</v>
      </c>
      <c r="T243" s="46" t="s">
        <v>1990</v>
      </c>
      <c r="U243" s="48" t="s">
        <v>1607</v>
      </c>
      <c r="V243" s="48" t="s">
        <v>199</v>
      </c>
      <c r="W243" s="46" t="s">
        <v>60</v>
      </c>
      <c r="X243" s="46" t="s">
        <v>60</v>
      </c>
      <c r="Y243" s="46" t="s">
        <v>538</v>
      </c>
      <c r="Z243" s="74" t="s">
        <v>1391</v>
      </c>
      <c r="AA243" s="10"/>
    </row>
    <row r="244" spans="1:27" x14ac:dyDescent="0.25">
      <c r="A244" s="58">
        <v>267</v>
      </c>
      <c r="B244" s="33" t="s">
        <v>60</v>
      </c>
      <c r="C244" s="34" t="s">
        <v>60</v>
      </c>
      <c r="D244" s="35" t="s">
        <v>40</v>
      </c>
      <c r="E244" s="35" t="s">
        <v>199</v>
      </c>
      <c r="F244" s="35" t="s">
        <v>1613</v>
      </c>
      <c r="G244" s="36" t="s">
        <v>1417</v>
      </c>
      <c r="H244" s="35" t="s">
        <v>1404</v>
      </c>
      <c r="I244" s="37" t="s">
        <v>60</v>
      </c>
      <c r="J244" s="37" t="s">
        <v>60</v>
      </c>
      <c r="K244" s="35" t="s">
        <v>1538</v>
      </c>
      <c r="L244" s="46" t="s">
        <v>1538</v>
      </c>
      <c r="M244" s="46" t="s">
        <v>1869</v>
      </c>
      <c r="N244" s="46" t="s">
        <v>60</v>
      </c>
      <c r="O244" s="46" t="s">
        <v>2360</v>
      </c>
      <c r="P244" s="46" t="s">
        <v>2256</v>
      </c>
      <c r="Q244" s="46" t="s">
        <v>1652</v>
      </c>
      <c r="R244" s="46">
        <v>9999934588</v>
      </c>
      <c r="S244" s="47">
        <v>46120</v>
      </c>
      <c r="T244" s="46" t="s">
        <v>1990</v>
      </c>
      <c r="U244" s="48" t="s">
        <v>1613</v>
      </c>
      <c r="V244" s="48" t="s">
        <v>199</v>
      </c>
      <c r="W244" s="46" t="s">
        <v>60</v>
      </c>
      <c r="X244" s="46" t="s">
        <v>2589</v>
      </c>
      <c r="Y244" s="46" t="s">
        <v>1042</v>
      </c>
      <c r="Z244" s="74" t="s">
        <v>1404</v>
      </c>
      <c r="AA244" s="10"/>
    </row>
    <row r="245" spans="1:27" x14ac:dyDescent="0.25">
      <c r="A245" s="58">
        <v>268</v>
      </c>
      <c r="B245" s="33" t="s">
        <v>60</v>
      </c>
      <c r="C245" s="34" t="s">
        <v>60</v>
      </c>
      <c r="D245" s="35" t="s">
        <v>40</v>
      </c>
      <c r="E245" s="35" t="s">
        <v>199</v>
      </c>
      <c r="F245" s="35" t="s">
        <v>1047</v>
      </c>
      <c r="G245" s="36" t="s">
        <v>1417</v>
      </c>
      <c r="H245" s="35" t="s">
        <v>1406</v>
      </c>
      <c r="I245" s="37" t="s">
        <v>60</v>
      </c>
      <c r="J245" s="37" t="s">
        <v>60</v>
      </c>
      <c r="K245" s="35" t="s">
        <v>1540</v>
      </c>
      <c r="L245" s="46" t="s">
        <v>1540</v>
      </c>
      <c r="M245" s="46" t="s">
        <v>1869</v>
      </c>
      <c r="N245" s="46" t="s">
        <v>60</v>
      </c>
      <c r="O245" s="46" t="s">
        <v>2360</v>
      </c>
      <c r="P245" s="46" t="s">
        <v>2191</v>
      </c>
      <c r="Q245" s="46" t="s">
        <v>2226</v>
      </c>
      <c r="R245" s="46">
        <v>9999934588</v>
      </c>
      <c r="S245" s="47">
        <v>46121</v>
      </c>
      <c r="T245" s="46" t="s">
        <v>1990</v>
      </c>
      <c r="U245" s="48" t="s">
        <v>1047</v>
      </c>
      <c r="V245" s="48" t="s">
        <v>199</v>
      </c>
      <c r="W245" s="46" t="s">
        <v>60</v>
      </c>
      <c r="X245" s="46" t="s">
        <v>2642</v>
      </c>
      <c r="Y245" s="46" t="s">
        <v>2643</v>
      </c>
      <c r="Z245" s="74" t="s">
        <v>1406</v>
      </c>
      <c r="AA245" s="10"/>
    </row>
    <row r="246" spans="1:27" x14ac:dyDescent="0.25">
      <c r="A246" s="58">
        <v>269</v>
      </c>
      <c r="B246" s="33" t="s">
        <v>60</v>
      </c>
      <c r="C246" s="34" t="s">
        <v>60</v>
      </c>
      <c r="D246" s="35" t="s">
        <v>40</v>
      </c>
      <c r="E246" s="35" t="s">
        <v>199</v>
      </c>
      <c r="F246" s="35" t="s">
        <v>1047</v>
      </c>
      <c r="G246" s="36" t="s">
        <v>1417</v>
      </c>
      <c r="H246" s="35" t="s">
        <v>1405</v>
      </c>
      <c r="I246" s="37" t="s">
        <v>60</v>
      </c>
      <c r="J246" s="37" t="s">
        <v>60</v>
      </c>
      <c r="K246" s="35" t="s">
        <v>1539</v>
      </c>
      <c r="L246" s="46" t="s">
        <v>1539</v>
      </c>
      <c r="M246" s="46" t="s">
        <v>1869</v>
      </c>
      <c r="N246" s="46" t="s">
        <v>60</v>
      </c>
      <c r="O246" s="46" t="s">
        <v>2360</v>
      </c>
      <c r="P246" s="46" t="s">
        <v>2257</v>
      </c>
      <c r="Q246" s="46" t="s">
        <v>2226</v>
      </c>
      <c r="R246" s="46">
        <v>9999934588</v>
      </c>
      <c r="S246" s="47">
        <v>46121</v>
      </c>
      <c r="T246" s="46" t="s">
        <v>1990</v>
      </c>
      <c r="U246" s="48" t="s">
        <v>1047</v>
      </c>
      <c r="V246" s="48" t="s">
        <v>199</v>
      </c>
      <c r="W246" s="46" t="s">
        <v>60</v>
      </c>
      <c r="X246" s="46" t="s">
        <v>2644</v>
      </c>
      <c r="Y246" s="46" t="s">
        <v>79</v>
      </c>
      <c r="Z246" s="74" t="s">
        <v>1405</v>
      </c>
      <c r="AA246" s="10"/>
    </row>
    <row r="247" spans="1:27" x14ac:dyDescent="0.25">
      <c r="A247" s="58">
        <v>270</v>
      </c>
      <c r="B247" s="33" t="s">
        <v>60</v>
      </c>
      <c r="C247" s="34" t="s">
        <v>60</v>
      </c>
      <c r="D247" s="35" t="s">
        <v>40</v>
      </c>
      <c r="E247" s="35" t="s">
        <v>199</v>
      </c>
      <c r="F247" s="35" t="s">
        <v>1615</v>
      </c>
      <c r="G247" s="36" t="s">
        <v>1417</v>
      </c>
      <c r="H247" s="35" t="s">
        <v>1408</v>
      </c>
      <c r="I247" s="37" t="s">
        <v>60</v>
      </c>
      <c r="J247" s="37" t="s">
        <v>60</v>
      </c>
      <c r="K247" s="35" t="s">
        <v>1542</v>
      </c>
      <c r="L247" s="46" t="s">
        <v>1542</v>
      </c>
      <c r="M247" s="46" t="s">
        <v>1869</v>
      </c>
      <c r="N247" s="46" t="s">
        <v>60</v>
      </c>
      <c r="O247" s="46" t="s">
        <v>2360</v>
      </c>
      <c r="P247" s="46" t="s">
        <v>2342</v>
      </c>
      <c r="Q247" s="46" t="s">
        <v>2259</v>
      </c>
      <c r="R247" s="46">
        <v>9999934588</v>
      </c>
      <c r="S247" s="47">
        <v>46123</v>
      </c>
      <c r="T247" s="46" t="s">
        <v>1990</v>
      </c>
      <c r="U247" s="48" t="s">
        <v>1615</v>
      </c>
      <c r="V247" s="48" t="s">
        <v>199</v>
      </c>
      <c r="W247" s="46" t="s">
        <v>60</v>
      </c>
      <c r="X247" s="46" t="s">
        <v>2645</v>
      </c>
      <c r="Y247" s="46" t="s">
        <v>538</v>
      </c>
      <c r="Z247" s="74" t="s">
        <v>1408</v>
      </c>
      <c r="AA247" s="10"/>
    </row>
    <row r="248" spans="1:27" x14ac:dyDescent="0.25">
      <c r="A248" s="58">
        <v>271</v>
      </c>
      <c r="B248" s="33" t="s">
        <v>60</v>
      </c>
      <c r="C248" s="34" t="s">
        <v>60</v>
      </c>
      <c r="D248" s="35" t="s">
        <v>40</v>
      </c>
      <c r="E248" s="35" t="s">
        <v>199</v>
      </c>
      <c r="F248" s="35" t="s">
        <v>540</v>
      </c>
      <c r="G248" s="36" t="s">
        <v>1417</v>
      </c>
      <c r="H248" s="35" t="s">
        <v>1411</v>
      </c>
      <c r="I248" s="37" t="s">
        <v>60</v>
      </c>
      <c r="J248" s="37" t="s">
        <v>60</v>
      </c>
      <c r="K248" s="35" t="s">
        <v>1545</v>
      </c>
      <c r="L248" s="46" t="s">
        <v>1545</v>
      </c>
      <c r="M248" s="46" t="s">
        <v>1869</v>
      </c>
      <c r="N248" s="46" t="s">
        <v>60</v>
      </c>
      <c r="O248" s="46" t="s">
        <v>2360</v>
      </c>
      <c r="P248" s="46" t="s">
        <v>2262</v>
      </c>
      <c r="Q248" s="46" t="s">
        <v>2263</v>
      </c>
      <c r="R248" s="46">
        <v>9999934588</v>
      </c>
      <c r="S248" s="47">
        <v>46121</v>
      </c>
      <c r="T248" s="46" t="s">
        <v>1990</v>
      </c>
      <c r="U248" s="48" t="s">
        <v>540</v>
      </c>
      <c r="V248" s="48" t="s">
        <v>199</v>
      </c>
      <c r="W248" s="46" t="s">
        <v>60</v>
      </c>
      <c r="X248" s="46" t="s">
        <v>2646</v>
      </c>
      <c r="Y248" s="46" t="s">
        <v>538</v>
      </c>
      <c r="Z248" s="74" t="s">
        <v>1411</v>
      </c>
      <c r="AA248" s="10"/>
    </row>
    <row r="249" spans="1:27" x14ac:dyDescent="0.25">
      <c r="A249" s="58">
        <v>272</v>
      </c>
      <c r="B249" s="33" t="s">
        <v>60</v>
      </c>
      <c r="C249" s="34" t="s">
        <v>60</v>
      </c>
      <c r="D249" s="35" t="s">
        <v>40</v>
      </c>
      <c r="E249" s="35" t="s">
        <v>61</v>
      </c>
      <c r="F249" s="35" t="s">
        <v>593</v>
      </c>
      <c r="G249" s="36" t="s">
        <v>1417</v>
      </c>
      <c r="H249" s="35" t="s">
        <v>1286</v>
      </c>
      <c r="I249" s="37" t="s">
        <v>60</v>
      </c>
      <c r="J249" s="37" t="s">
        <v>60</v>
      </c>
      <c r="K249" s="35" t="s">
        <v>1419</v>
      </c>
      <c r="L249" s="46" t="s">
        <v>1419</v>
      </c>
      <c r="M249" s="46" t="s">
        <v>1869</v>
      </c>
      <c r="N249" s="46" t="s">
        <v>60</v>
      </c>
      <c r="O249" s="46" t="s">
        <v>2360</v>
      </c>
      <c r="P249" s="46" t="s">
        <v>60</v>
      </c>
      <c r="Q249" s="46" t="s">
        <v>2100</v>
      </c>
      <c r="R249" s="46">
        <v>9999934588</v>
      </c>
      <c r="S249" s="47">
        <v>46120</v>
      </c>
      <c r="T249" s="46" t="s">
        <v>1990</v>
      </c>
      <c r="U249" s="48" t="s">
        <v>593</v>
      </c>
      <c r="V249" s="48" t="s">
        <v>61</v>
      </c>
      <c r="W249" s="46" t="s">
        <v>60</v>
      </c>
      <c r="X249" s="46" t="s">
        <v>2647</v>
      </c>
      <c r="Y249" s="46" t="s">
        <v>2559</v>
      </c>
      <c r="Z249" s="74" t="s">
        <v>1286</v>
      </c>
      <c r="AA249" s="10"/>
    </row>
    <row r="250" spans="1:27" x14ac:dyDescent="0.25">
      <c r="A250" s="58">
        <v>273</v>
      </c>
      <c r="B250" s="33" t="s">
        <v>60</v>
      </c>
      <c r="C250" s="34" t="s">
        <v>60</v>
      </c>
      <c r="D250" s="35" t="s">
        <v>40</v>
      </c>
      <c r="E250" s="35" t="s">
        <v>61</v>
      </c>
      <c r="F250" s="35" t="s">
        <v>593</v>
      </c>
      <c r="G250" s="36" t="s">
        <v>1417</v>
      </c>
      <c r="H250" s="35" t="s">
        <v>1285</v>
      </c>
      <c r="I250" s="37" t="s">
        <v>60</v>
      </c>
      <c r="J250" s="37" t="s">
        <v>60</v>
      </c>
      <c r="K250" s="35" t="s">
        <v>1418</v>
      </c>
      <c r="L250" s="46" t="s">
        <v>1418</v>
      </c>
      <c r="M250" s="46" t="s">
        <v>1869</v>
      </c>
      <c r="N250" s="46" t="s">
        <v>60</v>
      </c>
      <c r="O250" s="46" t="s">
        <v>2360</v>
      </c>
      <c r="P250" s="46" t="s">
        <v>2099</v>
      </c>
      <c r="Q250" s="46" t="s">
        <v>2100</v>
      </c>
      <c r="R250" s="46">
        <v>9999934588</v>
      </c>
      <c r="S250" s="47">
        <v>46120</v>
      </c>
      <c r="T250" s="46" t="s">
        <v>1990</v>
      </c>
      <c r="U250" s="48" t="s">
        <v>593</v>
      </c>
      <c r="V250" s="48" t="s">
        <v>61</v>
      </c>
      <c r="W250" s="46" t="s">
        <v>60</v>
      </c>
      <c r="X250" s="46" t="s">
        <v>2648</v>
      </c>
      <c r="Y250" s="46" t="s">
        <v>2649</v>
      </c>
      <c r="Z250" s="74" t="s">
        <v>1285</v>
      </c>
      <c r="AA250" s="10"/>
    </row>
    <row r="251" spans="1:27" x14ac:dyDescent="0.25">
      <c r="A251" s="58">
        <v>274</v>
      </c>
      <c r="B251" s="33" t="s">
        <v>60</v>
      </c>
      <c r="C251" s="34" t="s">
        <v>60</v>
      </c>
      <c r="D251" s="35" t="s">
        <v>40</v>
      </c>
      <c r="E251" s="35" t="s">
        <v>61</v>
      </c>
      <c r="F251" s="35" t="s">
        <v>1551</v>
      </c>
      <c r="G251" s="36" t="s">
        <v>1417</v>
      </c>
      <c r="H251" s="35" t="s">
        <v>1290</v>
      </c>
      <c r="I251" s="37" t="s">
        <v>60</v>
      </c>
      <c r="J251" s="37" t="s">
        <v>60</v>
      </c>
      <c r="K251" s="35" t="s">
        <v>1423</v>
      </c>
      <c r="L251" s="46" t="s">
        <v>1423</v>
      </c>
      <c r="M251" s="46" t="s">
        <v>1869</v>
      </c>
      <c r="N251" s="46" t="s">
        <v>60</v>
      </c>
      <c r="O251" s="46" t="s">
        <v>2360</v>
      </c>
      <c r="P251" s="46" t="s">
        <v>60</v>
      </c>
      <c r="Q251" s="46" t="s">
        <v>2100</v>
      </c>
      <c r="R251" s="46">
        <v>9999934588</v>
      </c>
      <c r="S251" s="47">
        <v>46121</v>
      </c>
      <c r="T251" s="46" t="s">
        <v>1990</v>
      </c>
      <c r="U251" s="48" t="s">
        <v>1551</v>
      </c>
      <c r="V251" s="48" t="s">
        <v>61</v>
      </c>
      <c r="W251" s="46" t="s">
        <v>60</v>
      </c>
      <c r="X251" s="46" t="s">
        <v>2650</v>
      </c>
      <c r="Y251" s="46" t="s">
        <v>2651</v>
      </c>
      <c r="Z251" s="74" t="s">
        <v>1290</v>
      </c>
      <c r="AA251" s="10"/>
    </row>
    <row r="252" spans="1:27" x14ac:dyDescent="0.25">
      <c r="A252" s="58">
        <v>275</v>
      </c>
      <c r="B252" s="33" t="s">
        <v>60</v>
      </c>
      <c r="C252" s="34" t="s">
        <v>60</v>
      </c>
      <c r="D252" s="35" t="s">
        <v>40</v>
      </c>
      <c r="E252" s="35" t="s">
        <v>61</v>
      </c>
      <c r="F252" s="35" t="s">
        <v>889</v>
      </c>
      <c r="G252" s="36" t="s">
        <v>1417</v>
      </c>
      <c r="H252" s="35" t="s">
        <v>1291</v>
      </c>
      <c r="I252" s="37" t="s">
        <v>60</v>
      </c>
      <c r="J252" s="37" t="s">
        <v>60</v>
      </c>
      <c r="K252" s="35" t="s">
        <v>1424</v>
      </c>
      <c r="L252" s="46" t="s">
        <v>1424</v>
      </c>
      <c r="M252" s="46" t="s">
        <v>1869</v>
      </c>
      <c r="N252" s="46" t="s">
        <v>60</v>
      </c>
      <c r="O252" s="46" t="s">
        <v>2360</v>
      </c>
      <c r="P252" s="46" t="s">
        <v>2104</v>
      </c>
      <c r="Q252" s="46" t="s">
        <v>2105</v>
      </c>
      <c r="R252" s="46">
        <v>9999934588</v>
      </c>
      <c r="S252" s="47">
        <v>46126</v>
      </c>
      <c r="T252" s="46" t="s">
        <v>1990</v>
      </c>
      <c r="U252" s="48" t="s">
        <v>889</v>
      </c>
      <c r="V252" s="48" t="s">
        <v>61</v>
      </c>
      <c r="W252" s="46" t="s">
        <v>60</v>
      </c>
      <c r="X252" s="46" t="s">
        <v>2652</v>
      </c>
      <c r="Y252" s="46" t="s">
        <v>1042</v>
      </c>
      <c r="Z252" s="74" t="s">
        <v>1291</v>
      </c>
      <c r="AA252" s="10"/>
    </row>
    <row r="253" spans="1:27" x14ac:dyDescent="0.25">
      <c r="A253" s="58">
        <v>276</v>
      </c>
      <c r="B253" s="33" t="s">
        <v>60</v>
      </c>
      <c r="C253" s="34" t="s">
        <v>60</v>
      </c>
      <c r="D253" s="35" t="s">
        <v>40</v>
      </c>
      <c r="E253" s="35" t="s">
        <v>61</v>
      </c>
      <c r="F253" s="35" t="s">
        <v>1556</v>
      </c>
      <c r="G253" s="36" t="s">
        <v>1417</v>
      </c>
      <c r="H253" s="35" t="s">
        <v>1298</v>
      </c>
      <c r="I253" s="37" t="s">
        <v>60</v>
      </c>
      <c r="J253" s="37" t="s">
        <v>60</v>
      </c>
      <c r="K253" s="35" t="s">
        <v>1431</v>
      </c>
      <c r="L253" s="46" t="s">
        <v>1431</v>
      </c>
      <c r="M253" s="46" t="s">
        <v>1869</v>
      </c>
      <c r="N253" s="46" t="s">
        <v>60</v>
      </c>
      <c r="O253" s="46" t="s">
        <v>2360</v>
      </c>
      <c r="P253" s="46" t="s">
        <v>2115</v>
      </c>
      <c r="Q253" s="46" t="s">
        <v>2116</v>
      </c>
      <c r="R253" s="46">
        <v>9999934588</v>
      </c>
      <c r="S253" s="47">
        <v>46126</v>
      </c>
      <c r="T253" s="46" t="s">
        <v>1990</v>
      </c>
      <c r="U253" s="48" t="s">
        <v>1556</v>
      </c>
      <c r="V253" s="48" t="s">
        <v>61</v>
      </c>
      <c r="W253" s="46" t="s">
        <v>60</v>
      </c>
      <c r="X253" s="46" t="s">
        <v>2653</v>
      </c>
      <c r="Y253" s="46" t="s">
        <v>79</v>
      </c>
      <c r="Z253" s="74" t="s">
        <v>1298</v>
      </c>
      <c r="AA253" s="10"/>
    </row>
    <row r="254" spans="1:27" x14ac:dyDescent="0.25">
      <c r="A254" s="58">
        <v>277</v>
      </c>
      <c r="B254" s="33" t="s">
        <v>60</v>
      </c>
      <c r="C254" s="34" t="s">
        <v>60</v>
      </c>
      <c r="D254" s="35" t="s">
        <v>40</v>
      </c>
      <c r="E254" s="35" t="s">
        <v>61</v>
      </c>
      <c r="F254" s="35" t="s">
        <v>1560</v>
      </c>
      <c r="G254" s="36" t="s">
        <v>1417</v>
      </c>
      <c r="H254" s="35" t="s">
        <v>1303</v>
      </c>
      <c r="I254" s="37" t="s">
        <v>60</v>
      </c>
      <c r="J254" s="37" t="s">
        <v>60</v>
      </c>
      <c r="K254" s="35" t="s">
        <v>1436</v>
      </c>
      <c r="L254" s="46" t="s">
        <v>1436</v>
      </c>
      <c r="M254" s="46" t="s">
        <v>1869</v>
      </c>
      <c r="N254" s="46" t="s">
        <v>60</v>
      </c>
      <c r="O254" s="46" t="s">
        <v>2359</v>
      </c>
      <c r="P254" s="46" t="s">
        <v>2120</v>
      </c>
      <c r="Q254" s="46" t="s">
        <v>2121</v>
      </c>
      <c r="R254" s="46">
        <v>9999934588</v>
      </c>
      <c r="S254" s="47">
        <v>46125</v>
      </c>
      <c r="T254" s="46" t="s">
        <v>1990</v>
      </c>
      <c r="U254" s="48" t="s">
        <v>1560</v>
      </c>
      <c r="V254" s="48" t="s">
        <v>61</v>
      </c>
      <c r="W254" s="46" t="s">
        <v>60</v>
      </c>
      <c r="X254" s="46" t="s">
        <v>2560</v>
      </c>
      <c r="Y254" s="46" t="s">
        <v>60</v>
      </c>
      <c r="Z254" s="74" t="s">
        <v>1303</v>
      </c>
      <c r="AA254" s="10"/>
    </row>
    <row r="255" spans="1:27" x14ac:dyDescent="0.25">
      <c r="A255" s="58">
        <v>278</v>
      </c>
      <c r="B255" s="33" t="s">
        <v>60</v>
      </c>
      <c r="C255" s="34" t="s">
        <v>60</v>
      </c>
      <c r="D255" s="35" t="s">
        <v>40</v>
      </c>
      <c r="E255" s="35" t="s">
        <v>61</v>
      </c>
      <c r="F255" s="35" t="s">
        <v>1569</v>
      </c>
      <c r="G255" s="36" t="s">
        <v>1417</v>
      </c>
      <c r="H255" s="35" t="s">
        <v>1314</v>
      </c>
      <c r="I255" s="37" t="s">
        <v>60</v>
      </c>
      <c r="J255" s="37" t="s">
        <v>60</v>
      </c>
      <c r="K255" s="35" t="s">
        <v>1447</v>
      </c>
      <c r="L255" s="46" t="s">
        <v>1447</v>
      </c>
      <c r="M255" s="46" t="s">
        <v>1869</v>
      </c>
      <c r="N255" s="46" t="s">
        <v>60</v>
      </c>
      <c r="O255" s="46" t="s">
        <v>2360</v>
      </c>
      <c r="P255" s="46" t="s">
        <v>60</v>
      </c>
      <c r="Q255" s="46" t="s">
        <v>2815</v>
      </c>
      <c r="R255" s="46">
        <v>9999934588</v>
      </c>
      <c r="S255" s="47">
        <v>46128</v>
      </c>
      <c r="T255" s="46" t="s">
        <v>1990</v>
      </c>
      <c r="U255" s="48" t="s">
        <v>1569</v>
      </c>
      <c r="V255" s="48" t="s">
        <v>61</v>
      </c>
      <c r="W255" s="46" t="s">
        <v>60</v>
      </c>
      <c r="X255" s="46" t="s">
        <v>2589</v>
      </c>
      <c r="Y255" s="46" t="s">
        <v>143</v>
      </c>
      <c r="Z255" s="74" t="s">
        <v>1314</v>
      </c>
      <c r="AA255" s="10"/>
    </row>
    <row r="256" spans="1:27" x14ac:dyDescent="0.25">
      <c r="A256" s="58">
        <v>279</v>
      </c>
      <c r="B256" s="33" t="s">
        <v>60</v>
      </c>
      <c r="C256" s="34" t="s">
        <v>60</v>
      </c>
      <c r="D256" s="35" t="s">
        <v>40</v>
      </c>
      <c r="E256" s="35" t="s">
        <v>61</v>
      </c>
      <c r="F256" s="35" t="s">
        <v>1570</v>
      </c>
      <c r="G256" s="36" t="s">
        <v>1417</v>
      </c>
      <c r="H256" s="35" t="s">
        <v>1315</v>
      </c>
      <c r="I256" s="37" t="s">
        <v>60</v>
      </c>
      <c r="J256" s="37" t="s">
        <v>60</v>
      </c>
      <c r="K256" s="35" t="s">
        <v>1448</v>
      </c>
      <c r="L256" s="46" t="s">
        <v>1448</v>
      </c>
      <c r="M256" s="46" t="s">
        <v>1869</v>
      </c>
      <c r="N256" s="46" t="s">
        <v>60</v>
      </c>
      <c r="O256" s="46" t="s">
        <v>2360</v>
      </c>
      <c r="P256" s="46" t="s">
        <v>2135</v>
      </c>
      <c r="Q256" s="46" t="s">
        <v>2136</v>
      </c>
      <c r="R256" s="46">
        <v>9999934588</v>
      </c>
      <c r="S256" s="47">
        <v>46130</v>
      </c>
      <c r="T256" s="46" t="s">
        <v>1990</v>
      </c>
      <c r="U256" s="48" t="s">
        <v>1570</v>
      </c>
      <c r="V256" s="48" t="s">
        <v>61</v>
      </c>
      <c r="W256" s="46" t="s">
        <v>60</v>
      </c>
      <c r="X256" s="46" t="s">
        <v>2575</v>
      </c>
      <c r="Y256" s="46" t="s">
        <v>60</v>
      </c>
      <c r="Z256" s="74" t="s">
        <v>1315</v>
      </c>
      <c r="AA256" s="10"/>
    </row>
    <row r="257" spans="1:27" x14ac:dyDescent="0.25">
      <c r="A257" s="58">
        <v>280</v>
      </c>
      <c r="B257" s="33" t="s">
        <v>60</v>
      </c>
      <c r="C257" s="34" t="s">
        <v>60</v>
      </c>
      <c r="D257" s="35" t="s">
        <v>40</v>
      </c>
      <c r="E257" s="35" t="s">
        <v>61</v>
      </c>
      <c r="F257" s="35" t="s">
        <v>1570</v>
      </c>
      <c r="G257" s="36" t="s">
        <v>1417</v>
      </c>
      <c r="H257" s="35" t="s">
        <v>1316</v>
      </c>
      <c r="I257" s="37" t="s">
        <v>60</v>
      </c>
      <c r="J257" s="37" t="s">
        <v>60</v>
      </c>
      <c r="K257" s="35" t="s">
        <v>1449</v>
      </c>
      <c r="L257" s="46" t="s">
        <v>1449</v>
      </c>
      <c r="M257" s="46" t="s">
        <v>1869</v>
      </c>
      <c r="N257" s="46" t="s">
        <v>60</v>
      </c>
      <c r="O257" s="46" t="s">
        <v>2359</v>
      </c>
      <c r="P257" s="46" t="s">
        <v>2137</v>
      </c>
      <c r="Q257" s="46" t="s">
        <v>2136</v>
      </c>
      <c r="R257" s="46">
        <v>9999934588</v>
      </c>
      <c r="S257" s="47">
        <v>46130</v>
      </c>
      <c r="T257" s="46" t="s">
        <v>1990</v>
      </c>
      <c r="U257" s="48" t="s">
        <v>1570</v>
      </c>
      <c r="V257" s="48" t="s">
        <v>61</v>
      </c>
      <c r="W257" s="46" t="s">
        <v>60</v>
      </c>
      <c r="X257" s="46" t="s">
        <v>2589</v>
      </c>
      <c r="Y257" s="46" t="s">
        <v>2654</v>
      </c>
      <c r="Z257" s="74" t="s">
        <v>1316</v>
      </c>
      <c r="AA257" s="10"/>
    </row>
    <row r="258" spans="1:27" x14ac:dyDescent="0.25">
      <c r="A258" s="58">
        <v>281</v>
      </c>
      <c r="B258" s="33" t="s">
        <v>60</v>
      </c>
      <c r="C258" s="34" t="s">
        <v>60</v>
      </c>
      <c r="D258" s="35" t="s">
        <v>40</v>
      </c>
      <c r="E258" s="35" t="s">
        <v>61</v>
      </c>
      <c r="F258" s="35" t="s">
        <v>1578</v>
      </c>
      <c r="G258" s="36" t="s">
        <v>1417</v>
      </c>
      <c r="H258" s="35" t="s">
        <v>1332</v>
      </c>
      <c r="I258" s="37" t="s">
        <v>60</v>
      </c>
      <c r="J258" s="37" t="s">
        <v>60</v>
      </c>
      <c r="K258" s="35" t="s">
        <v>1465</v>
      </c>
      <c r="L258" s="46" t="s">
        <v>1465</v>
      </c>
      <c r="M258" s="46" t="s">
        <v>1869</v>
      </c>
      <c r="N258" s="46" t="s">
        <v>60</v>
      </c>
      <c r="O258" s="46" t="s">
        <v>2360</v>
      </c>
      <c r="P258" s="46" t="s">
        <v>2163</v>
      </c>
      <c r="Q258" s="46" t="s">
        <v>2164</v>
      </c>
      <c r="R258" s="46">
        <v>9999934588</v>
      </c>
      <c r="S258" s="47">
        <v>46127</v>
      </c>
      <c r="T258" s="46" t="s">
        <v>1990</v>
      </c>
      <c r="U258" s="48" t="s">
        <v>1578</v>
      </c>
      <c r="V258" s="48" t="s">
        <v>61</v>
      </c>
      <c r="W258" s="46" t="s">
        <v>60</v>
      </c>
      <c r="X258" s="46" t="s">
        <v>2655</v>
      </c>
      <c r="Y258" s="46" t="s">
        <v>2656</v>
      </c>
      <c r="Z258" s="74" t="s">
        <v>1332</v>
      </c>
      <c r="AA258" s="10"/>
    </row>
    <row r="259" spans="1:27" x14ac:dyDescent="0.25">
      <c r="A259" s="58">
        <v>282</v>
      </c>
      <c r="B259" s="33" t="s">
        <v>60</v>
      </c>
      <c r="C259" s="34" t="s">
        <v>60</v>
      </c>
      <c r="D259" s="35" t="s">
        <v>40</v>
      </c>
      <c r="E259" s="35" t="s">
        <v>61</v>
      </c>
      <c r="F259" s="35" t="s">
        <v>1579</v>
      </c>
      <c r="G259" s="36" t="s">
        <v>1417</v>
      </c>
      <c r="H259" s="35" t="s">
        <v>1333</v>
      </c>
      <c r="I259" s="37" t="s">
        <v>60</v>
      </c>
      <c r="J259" s="37" t="s">
        <v>60</v>
      </c>
      <c r="K259" s="35" t="s">
        <v>1466</v>
      </c>
      <c r="L259" s="46" t="s">
        <v>1466</v>
      </c>
      <c r="M259" s="46" t="s">
        <v>1869</v>
      </c>
      <c r="N259" s="46" t="s">
        <v>60</v>
      </c>
      <c r="O259" s="46" t="s">
        <v>2360</v>
      </c>
      <c r="P259" s="46" t="s">
        <v>2165</v>
      </c>
      <c r="Q259" s="46" t="s">
        <v>2166</v>
      </c>
      <c r="R259" s="46">
        <v>9999934588</v>
      </c>
      <c r="S259" s="47">
        <v>46125</v>
      </c>
      <c r="T259" s="46" t="s">
        <v>1990</v>
      </c>
      <c r="U259" s="48" t="s">
        <v>1579</v>
      </c>
      <c r="V259" s="48" t="s">
        <v>61</v>
      </c>
      <c r="W259" s="46" t="s">
        <v>60</v>
      </c>
      <c r="X259" s="46" t="s">
        <v>2560</v>
      </c>
      <c r="Y259" s="46" t="s">
        <v>60</v>
      </c>
      <c r="Z259" s="74" t="s">
        <v>1333</v>
      </c>
      <c r="AA259" s="10"/>
    </row>
    <row r="260" spans="1:27" x14ac:dyDescent="0.25">
      <c r="A260" s="58">
        <v>283</v>
      </c>
      <c r="B260" s="33" t="s">
        <v>60</v>
      </c>
      <c r="C260" s="34" t="s">
        <v>60</v>
      </c>
      <c r="D260" s="35" t="s">
        <v>40</v>
      </c>
      <c r="E260" s="35" t="s">
        <v>61</v>
      </c>
      <c r="F260" s="35" t="s">
        <v>1581</v>
      </c>
      <c r="G260" s="36" t="s">
        <v>1417</v>
      </c>
      <c r="H260" s="35" t="s">
        <v>1335</v>
      </c>
      <c r="I260" s="37" t="s">
        <v>60</v>
      </c>
      <c r="J260" s="37" t="s">
        <v>60</v>
      </c>
      <c r="K260" s="35" t="s">
        <v>1468</v>
      </c>
      <c r="L260" s="46" t="s">
        <v>1468</v>
      </c>
      <c r="M260" s="46" t="s">
        <v>1869</v>
      </c>
      <c r="N260" s="46" t="s">
        <v>60</v>
      </c>
      <c r="O260" s="46" t="s">
        <v>2360</v>
      </c>
      <c r="P260" s="46" t="s">
        <v>2169</v>
      </c>
      <c r="Q260" s="46" t="s">
        <v>2170</v>
      </c>
      <c r="R260" s="46">
        <v>9999934588</v>
      </c>
      <c r="S260" s="47">
        <v>46128</v>
      </c>
      <c r="T260" s="46" t="s">
        <v>1990</v>
      </c>
      <c r="U260" s="48" t="s">
        <v>1581</v>
      </c>
      <c r="V260" s="48" t="s">
        <v>61</v>
      </c>
      <c r="W260" s="46" t="s">
        <v>60</v>
      </c>
      <c r="X260" s="46" t="s">
        <v>2572</v>
      </c>
      <c r="Y260" s="46" t="s">
        <v>60</v>
      </c>
      <c r="Z260" s="74" t="s">
        <v>1335</v>
      </c>
      <c r="AA260" s="10"/>
    </row>
    <row r="261" spans="1:27" x14ac:dyDescent="0.25">
      <c r="A261" s="58">
        <v>284</v>
      </c>
      <c r="B261" s="33" t="s">
        <v>60</v>
      </c>
      <c r="C261" s="34" t="s">
        <v>60</v>
      </c>
      <c r="D261" s="35" t="s">
        <v>40</v>
      </c>
      <c r="E261" s="35" t="s">
        <v>61</v>
      </c>
      <c r="F261" s="35" t="s">
        <v>1582</v>
      </c>
      <c r="G261" s="36" t="s">
        <v>1417</v>
      </c>
      <c r="H261" s="35" t="s">
        <v>1337</v>
      </c>
      <c r="I261" s="37" t="s">
        <v>60</v>
      </c>
      <c r="J261" s="37" t="s">
        <v>60</v>
      </c>
      <c r="K261" s="35" t="s">
        <v>1470</v>
      </c>
      <c r="L261" s="46" t="s">
        <v>1470</v>
      </c>
      <c r="M261" s="46" t="s">
        <v>1869</v>
      </c>
      <c r="N261" s="46" t="s">
        <v>60</v>
      </c>
      <c r="O261" s="46" t="s">
        <v>2360</v>
      </c>
      <c r="P261" s="46" t="s">
        <v>2171</v>
      </c>
      <c r="Q261" s="46" t="s">
        <v>2116</v>
      </c>
      <c r="R261" s="46">
        <v>9999934588</v>
      </c>
      <c r="S261" s="47">
        <v>46122</v>
      </c>
      <c r="T261" s="46" t="s">
        <v>1990</v>
      </c>
      <c r="U261" s="48" t="s">
        <v>1582</v>
      </c>
      <c r="V261" s="48" t="s">
        <v>61</v>
      </c>
      <c r="W261" s="46" t="s">
        <v>60</v>
      </c>
      <c r="X261" s="46" t="s">
        <v>2653</v>
      </c>
      <c r="Y261" s="46" t="s">
        <v>143</v>
      </c>
      <c r="Z261" s="74" t="s">
        <v>1337</v>
      </c>
      <c r="AA261" s="10"/>
    </row>
    <row r="262" spans="1:27" x14ac:dyDescent="0.25">
      <c r="A262" s="58">
        <v>285</v>
      </c>
      <c r="B262" s="33" t="s">
        <v>60</v>
      </c>
      <c r="C262" s="34" t="s">
        <v>60</v>
      </c>
      <c r="D262" s="35" t="s">
        <v>40</v>
      </c>
      <c r="E262" s="35" t="s">
        <v>61</v>
      </c>
      <c r="F262" s="35" t="s">
        <v>1582</v>
      </c>
      <c r="G262" s="36" t="s">
        <v>1417</v>
      </c>
      <c r="H262" s="35" t="s">
        <v>1339</v>
      </c>
      <c r="I262" s="37" t="s">
        <v>60</v>
      </c>
      <c r="J262" s="37" t="s">
        <v>60</v>
      </c>
      <c r="K262" s="35" t="s">
        <v>1472</v>
      </c>
      <c r="L262" s="46" t="s">
        <v>1472</v>
      </c>
      <c r="M262" s="46" t="s">
        <v>1869</v>
      </c>
      <c r="N262" s="46" t="s">
        <v>60</v>
      </c>
      <c r="O262" s="46" t="s">
        <v>2360</v>
      </c>
      <c r="P262" s="46" t="s">
        <v>2173</v>
      </c>
      <c r="Q262" s="46" t="s">
        <v>2116</v>
      </c>
      <c r="R262" s="46">
        <v>9999934588</v>
      </c>
      <c r="S262" s="47">
        <v>46123</v>
      </c>
      <c r="T262" s="46" t="s">
        <v>1990</v>
      </c>
      <c r="U262" s="48" t="s">
        <v>1582</v>
      </c>
      <c r="V262" s="48" t="s">
        <v>61</v>
      </c>
      <c r="W262" s="46" t="s">
        <v>60</v>
      </c>
      <c r="X262" s="46" t="s">
        <v>2657</v>
      </c>
      <c r="Y262" s="46" t="s">
        <v>2364</v>
      </c>
      <c r="Z262" s="74" t="s">
        <v>1339</v>
      </c>
      <c r="AA262" s="10"/>
    </row>
    <row r="263" spans="1:27" x14ac:dyDescent="0.25">
      <c r="A263" s="58">
        <v>286</v>
      </c>
      <c r="B263" s="33" t="s">
        <v>60</v>
      </c>
      <c r="C263" s="34" t="s">
        <v>60</v>
      </c>
      <c r="D263" s="35" t="s">
        <v>40</v>
      </c>
      <c r="E263" s="35" t="s">
        <v>61</v>
      </c>
      <c r="F263" s="35" t="s">
        <v>1582</v>
      </c>
      <c r="G263" s="36" t="s">
        <v>1417</v>
      </c>
      <c r="H263" s="35" t="s">
        <v>1338</v>
      </c>
      <c r="I263" s="37" t="s">
        <v>60</v>
      </c>
      <c r="J263" s="37" t="s">
        <v>60</v>
      </c>
      <c r="K263" s="35" t="s">
        <v>1471</v>
      </c>
      <c r="L263" s="46" t="s">
        <v>1471</v>
      </c>
      <c r="M263" s="46" t="s">
        <v>1869</v>
      </c>
      <c r="N263" s="46" t="s">
        <v>60</v>
      </c>
      <c r="O263" s="46" t="s">
        <v>2360</v>
      </c>
      <c r="P263" s="46" t="s">
        <v>2172</v>
      </c>
      <c r="Q263" s="46" t="s">
        <v>2116</v>
      </c>
      <c r="R263" s="46">
        <v>9999934588</v>
      </c>
      <c r="S263" s="47">
        <v>46121</v>
      </c>
      <c r="T263" s="46" t="s">
        <v>1990</v>
      </c>
      <c r="U263" s="48" t="s">
        <v>1582</v>
      </c>
      <c r="V263" s="48" t="s">
        <v>61</v>
      </c>
      <c r="W263" s="46" t="s">
        <v>60</v>
      </c>
      <c r="X263" s="46" t="s">
        <v>2706</v>
      </c>
      <c r="Y263" s="46" t="s">
        <v>2533</v>
      </c>
      <c r="Z263" s="74" t="s">
        <v>1338</v>
      </c>
      <c r="AA263" s="10"/>
    </row>
    <row r="264" spans="1:27" x14ac:dyDescent="0.25">
      <c r="A264" s="58">
        <v>287</v>
      </c>
      <c r="B264" s="33" t="s">
        <v>60</v>
      </c>
      <c r="C264" s="34" t="s">
        <v>60</v>
      </c>
      <c r="D264" s="35" t="s">
        <v>40</v>
      </c>
      <c r="E264" s="35" t="s">
        <v>61</v>
      </c>
      <c r="F264" s="35" t="s">
        <v>1582</v>
      </c>
      <c r="G264" s="36" t="s">
        <v>1417</v>
      </c>
      <c r="H264" s="35" t="s">
        <v>1336</v>
      </c>
      <c r="I264" s="37" t="s">
        <v>60</v>
      </c>
      <c r="J264" s="37" t="s">
        <v>60</v>
      </c>
      <c r="K264" s="35" t="s">
        <v>1469</v>
      </c>
      <c r="L264" s="46" t="s">
        <v>1469</v>
      </c>
      <c r="M264" s="46" t="s">
        <v>1869</v>
      </c>
      <c r="N264" s="46" t="s">
        <v>60</v>
      </c>
      <c r="O264" s="46" t="s">
        <v>2360</v>
      </c>
      <c r="P264" s="46" t="s">
        <v>1633</v>
      </c>
      <c r="Q264" s="46" t="s">
        <v>2116</v>
      </c>
      <c r="R264" s="46">
        <v>9999934588</v>
      </c>
      <c r="S264" s="47">
        <v>46122</v>
      </c>
      <c r="T264" s="46" t="s">
        <v>1990</v>
      </c>
      <c r="U264" s="48" t="s">
        <v>1582</v>
      </c>
      <c r="V264" s="48" t="s">
        <v>61</v>
      </c>
      <c r="W264" s="46" t="s">
        <v>60</v>
      </c>
      <c r="X264" s="46" t="s">
        <v>2707</v>
      </c>
      <c r="Y264" s="46" t="s">
        <v>2392</v>
      </c>
      <c r="Z264" s="74" t="s">
        <v>1336</v>
      </c>
      <c r="AA264" s="10"/>
    </row>
    <row r="265" spans="1:27" x14ac:dyDescent="0.25">
      <c r="A265" s="58">
        <v>288</v>
      </c>
      <c r="B265" s="33" t="s">
        <v>60</v>
      </c>
      <c r="C265" s="34" t="s">
        <v>60</v>
      </c>
      <c r="D265" s="35" t="s">
        <v>40</v>
      </c>
      <c r="E265" s="35" t="s">
        <v>61</v>
      </c>
      <c r="F265" s="35" t="s">
        <v>1584</v>
      </c>
      <c r="G265" s="36" t="s">
        <v>1417</v>
      </c>
      <c r="H265" s="35" t="s">
        <v>1341</v>
      </c>
      <c r="I265" s="37" t="s">
        <v>60</v>
      </c>
      <c r="J265" s="37" t="s">
        <v>60</v>
      </c>
      <c r="K265" s="35" t="s">
        <v>1474</v>
      </c>
      <c r="L265" s="46" t="s">
        <v>1474</v>
      </c>
      <c r="M265" s="46" t="s">
        <v>1869</v>
      </c>
      <c r="N265" s="46" t="s">
        <v>60</v>
      </c>
      <c r="O265" s="46" t="s">
        <v>2360</v>
      </c>
      <c r="P265" s="46" t="s">
        <v>2174</v>
      </c>
      <c r="Q265" s="46" t="s">
        <v>2175</v>
      </c>
      <c r="R265" s="46">
        <v>9999934588</v>
      </c>
      <c r="S265" s="47">
        <v>46125</v>
      </c>
      <c r="T265" s="46" t="s">
        <v>1990</v>
      </c>
      <c r="U265" s="48" t="s">
        <v>1584</v>
      </c>
      <c r="V265" s="48" t="s">
        <v>61</v>
      </c>
      <c r="W265" s="46" t="s">
        <v>60</v>
      </c>
      <c r="X265" s="46" t="s">
        <v>2658</v>
      </c>
      <c r="Y265" s="46" t="s">
        <v>2603</v>
      </c>
      <c r="Z265" s="74" t="s">
        <v>1341</v>
      </c>
      <c r="AA265" s="10"/>
    </row>
    <row r="266" spans="1:27" x14ac:dyDescent="0.25">
      <c r="A266" s="58">
        <v>289</v>
      </c>
      <c r="B266" s="33" t="s">
        <v>60</v>
      </c>
      <c r="C266" s="34" t="s">
        <v>60</v>
      </c>
      <c r="D266" s="35" t="s">
        <v>40</v>
      </c>
      <c r="E266" s="35" t="s">
        <v>61</v>
      </c>
      <c r="F266" s="35" t="s">
        <v>1586</v>
      </c>
      <c r="G266" s="36" t="s">
        <v>1417</v>
      </c>
      <c r="H266" s="35" t="s">
        <v>1345</v>
      </c>
      <c r="I266" s="37" t="s">
        <v>60</v>
      </c>
      <c r="J266" s="37" t="s">
        <v>60</v>
      </c>
      <c r="K266" s="35" t="s">
        <v>1478</v>
      </c>
      <c r="L266" s="46" t="s">
        <v>1478</v>
      </c>
      <c r="M266" s="46" t="s">
        <v>1869</v>
      </c>
      <c r="N266" s="46" t="s">
        <v>60</v>
      </c>
      <c r="O266" s="46" t="s">
        <v>2360</v>
      </c>
      <c r="P266" s="46" t="s">
        <v>2181</v>
      </c>
      <c r="Q266" s="46" t="s">
        <v>2116</v>
      </c>
      <c r="R266" s="46">
        <v>9999934588</v>
      </c>
      <c r="S266" s="47">
        <v>46126</v>
      </c>
      <c r="T266" s="46" t="s">
        <v>1990</v>
      </c>
      <c r="U266" s="48" t="s">
        <v>1586</v>
      </c>
      <c r="V266" s="48" t="s">
        <v>61</v>
      </c>
      <c r="W266" s="46" t="s">
        <v>60</v>
      </c>
      <c r="X266" s="46" t="s">
        <v>2536</v>
      </c>
      <c r="Y266" s="46" t="s">
        <v>60</v>
      </c>
      <c r="Z266" s="74" t="s">
        <v>1345</v>
      </c>
      <c r="AA266" s="10"/>
    </row>
    <row r="267" spans="1:27" x14ac:dyDescent="0.25">
      <c r="A267" s="58">
        <v>290</v>
      </c>
      <c r="B267" s="33" t="s">
        <v>60</v>
      </c>
      <c r="C267" s="34" t="s">
        <v>60</v>
      </c>
      <c r="D267" s="35" t="s">
        <v>40</v>
      </c>
      <c r="E267" s="35" t="s">
        <v>61</v>
      </c>
      <c r="F267" s="35" t="s">
        <v>270</v>
      </c>
      <c r="G267" s="36" t="s">
        <v>1417</v>
      </c>
      <c r="H267" s="35" t="s">
        <v>1368</v>
      </c>
      <c r="I267" s="37" t="s">
        <v>60</v>
      </c>
      <c r="J267" s="37" t="s">
        <v>60</v>
      </c>
      <c r="K267" s="35" t="s">
        <v>1502</v>
      </c>
      <c r="L267" s="46" t="s">
        <v>1502</v>
      </c>
      <c r="M267" s="46" t="s">
        <v>1869</v>
      </c>
      <c r="N267" s="46" t="s">
        <v>60</v>
      </c>
      <c r="O267" s="46" t="s">
        <v>2360</v>
      </c>
      <c r="P267" s="46" t="s">
        <v>60</v>
      </c>
      <c r="Q267" s="46" t="s">
        <v>2816</v>
      </c>
      <c r="R267" s="46">
        <v>9999934588</v>
      </c>
      <c r="S267" s="47">
        <v>46120</v>
      </c>
      <c r="T267" s="46" t="s">
        <v>1990</v>
      </c>
      <c r="U267" s="48" t="s">
        <v>270</v>
      </c>
      <c r="V267" s="48" t="s">
        <v>61</v>
      </c>
      <c r="W267" s="46" t="s">
        <v>60</v>
      </c>
      <c r="X267" s="46" t="s">
        <v>2659</v>
      </c>
      <c r="Y267" s="46" t="s">
        <v>143</v>
      </c>
      <c r="Z267" s="74" t="s">
        <v>1368</v>
      </c>
      <c r="AA267" s="10"/>
    </row>
    <row r="268" spans="1:27" x14ac:dyDescent="0.25">
      <c r="A268" s="58">
        <v>291</v>
      </c>
      <c r="B268" s="33" t="s">
        <v>60</v>
      </c>
      <c r="C268" s="34" t="s">
        <v>60</v>
      </c>
      <c r="D268" s="35" t="s">
        <v>40</v>
      </c>
      <c r="E268" s="35" t="s">
        <v>61</v>
      </c>
      <c r="F268" s="35" t="s">
        <v>270</v>
      </c>
      <c r="G268" s="36" t="s">
        <v>1417</v>
      </c>
      <c r="H268" s="35" t="s">
        <v>1366</v>
      </c>
      <c r="I268" s="37" t="s">
        <v>60</v>
      </c>
      <c r="J268" s="37" t="s">
        <v>60</v>
      </c>
      <c r="K268" s="35" t="s">
        <v>1500</v>
      </c>
      <c r="L268" s="46" t="s">
        <v>1500</v>
      </c>
      <c r="M268" s="46" t="s">
        <v>1869</v>
      </c>
      <c r="N268" s="46" t="s">
        <v>60</v>
      </c>
      <c r="O268" s="46" t="s">
        <v>2360</v>
      </c>
      <c r="P268" s="46" t="s">
        <v>2209</v>
      </c>
      <c r="Q268" s="46" t="s">
        <v>2210</v>
      </c>
      <c r="R268" s="46">
        <v>9999934588</v>
      </c>
      <c r="S268" s="47">
        <v>46119</v>
      </c>
      <c r="T268" s="46" t="s">
        <v>1990</v>
      </c>
      <c r="U268" s="48" t="s">
        <v>270</v>
      </c>
      <c r="V268" s="48" t="s">
        <v>61</v>
      </c>
      <c r="W268" s="46" t="s">
        <v>60</v>
      </c>
      <c r="X268" s="46" t="s">
        <v>2574</v>
      </c>
      <c r="Y268" s="46" t="s">
        <v>79</v>
      </c>
      <c r="Z268" s="74" t="s">
        <v>1366</v>
      </c>
      <c r="AA268" s="10"/>
    </row>
    <row r="269" spans="1:27" x14ac:dyDescent="0.25">
      <c r="A269" s="58">
        <v>292</v>
      </c>
      <c r="B269" s="33" t="s">
        <v>60</v>
      </c>
      <c r="C269" s="34" t="s">
        <v>60</v>
      </c>
      <c r="D269" s="35" t="s">
        <v>40</v>
      </c>
      <c r="E269" s="35" t="s">
        <v>61</v>
      </c>
      <c r="F269" s="35" t="s">
        <v>270</v>
      </c>
      <c r="G269" s="36" t="s">
        <v>1417</v>
      </c>
      <c r="H269" s="35" t="s">
        <v>1367</v>
      </c>
      <c r="I269" s="37" t="s">
        <v>60</v>
      </c>
      <c r="J269" s="37" t="s">
        <v>60</v>
      </c>
      <c r="K269" s="35" t="s">
        <v>1501</v>
      </c>
      <c r="L269" s="46" t="s">
        <v>1501</v>
      </c>
      <c r="M269" s="46" t="s">
        <v>1869</v>
      </c>
      <c r="N269" s="46" t="s">
        <v>60</v>
      </c>
      <c r="O269" s="46" t="s">
        <v>2360</v>
      </c>
      <c r="P269" s="46" t="s">
        <v>2211</v>
      </c>
      <c r="Q269" s="46" t="s">
        <v>2210</v>
      </c>
      <c r="R269" s="46">
        <v>9999934588</v>
      </c>
      <c r="S269" s="47">
        <v>46119</v>
      </c>
      <c r="T269" s="46" t="s">
        <v>1990</v>
      </c>
      <c r="U269" s="48" t="s">
        <v>270</v>
      </c>
      <c r="V269" s="48" t="s">
        <v>61</v>
      </c>
      <c r="W269" s="46" t="s">
        <v>60</v>
      </c>
      <c r="X269" s="46" t="s">
        <v>2527</v>
      </c>
      <c r="Y269" s="46" t="s">
        <v>143</v>
      </c>
      <c r="Z269" s="74" t="s">
        <v>1367</v>
      </c>
      <c r="AA269" s="10"/>
    </row>
    <row r="270" spans="1:27" x14ac:dyDescent="0.25">
      <c r="A270" s="58">
        <v>293</v>
      </c>
      <c r="B270" s="33" t="s">
        <v>60</v>
      </c>
      <c r="C270" s="34" t="s">
        <v>60</v>
      </c>
      <c r="D270" s="35" t="s">
        <v>40</v>
      </c>
      <c r="E270" s="35" t="s">
        <v>61</v>
      </c>
      <c r="F270" s="35" t="s">
        <v>62</v>
      </c>
      <c r="G270" s="36" t="s">
        <v>1417</v>
      </c>
      <c r="H270" s="35" t="s">
        <v>1380</v>
      </c>
      <c r="I270" s="37" t="s">
        <v>60</v>
      </c>
      <c r="J270" s="37" t="s">
        <v>60</v>
      </c>
      <c r="K270" s="35" t="s">
        <v>1514</v>
      </c>
      <c r="L270" s="46" t="s">
        <v>1514</v>
      </c>
      <c r="M270" s="46" t="s">
        <v>1869</v>
      </c>
      <c r="N270" s="46" t="s">
        <v>60</v>
      </c>
      <c r="O270" s="46" t="s">
        <v>2360</v>
      </c>
      <c r="P270" s="46" t="s">
        <v>2225</v>
      </c>
      <c r="Q270" s="46" t="s">
        <v>2223</v>
      </c>
      <c r="R270" s="46">
        <v>9999934588</v>
      </c>
      <c r="S270" s="47">
        <v>46122</v>
      </c>
      <c r="T270" s="46" t="s">
        <v>1990</v>
      </c>
      <c r="U270" s="48" t="s">
        <v>62</v>
      </c>
      <c r="V270" s="48" t="s">
        <v>61</v>
      </c>
      <c r="W270" s="46" t="s">
        <v>60</v>
      </c>
      <c r="X270" s="46" t="s">
        <v>2660</v>
      </c>
      <c r="Y270" s="46" t="s">
        <v>2533</v>
      </c>
      <c r="Z270" s="74" t="s">
        <v>1380</v>
      </c>
      <c r="AA270" s="10"/>
    </row>
    <row r="271" spans="1:27" x14ac:dyDescent="0.25">
      <c r="A271" s="58">
        <v>294</v>
      </c>
      <c r="B271" s="33" t="s">
        <v>60</v>
      </c>
      <c r="C271" s="34" t="s">
        <v>60</v>
      </c>
      <c r="D271" s="35" t="s">
        <v>40</v>
      </c>
      <c r="E271" s="35" t="s">
        <v>61</v>
      </c>
      <c r="F271" s="35" t="s">
        <v>62</v>
      </c>
      <c r="G271" s="36" t="s">
        <v>1417</v>
      </c>
      <c r="H271" s="35" t="s">
        <v>1378</v>
      </c>
      <c r="I271" s="37" t="s">
        <v>60</v>
      </c>
      <c r="J271" s="37" t="s">
        <v>60</v>
      </c>
      <c r="K271" s="35" t="s">
        <v>1512</v>
      </c>
      <c r="L271" s="46" t="s">
        <v>1512</v>
      </c>
      <c r="M271" s="46" t="s">
        <v>1869</v>
      </c>
      <c r="N271" s="46" t="s">
        <v>60</v>
      </c>
      <c r="O271" s="46" t="s">
        <v>2360</v>
      </c>
      <c r="P271" s="46" t="s">
        <v>2222</v>
      </c>
      <c r="Q271" s="46" t="s">
        <v>2223</v>
      </c>
      <c r="R271" s="46">
        <v>9999934588</v>
      </c>
      <c r="S271" s="47">
        <v>46123</v>
      </c>
      <c r="T271" s="46" t="s">
        <v>1990</v>
      </c>
      <c r="U271" s="48" t="s">
        <v>62</v>
      </c>
      <c r="V271" s="48" t="s">
        <v>61</v>
      </c>
      <c r="W271" s="46" t="s">
        <v>60</v>
      </c>
      <c r="X271" s="46" t="s">
        <v>2573</v>
      </c>
      <c r="Y271" s="46" t="s">
        <v>60</v>
      </c>
      <c r="Z271" s="74" t="s">
        <v>1378</v>
      </c>
      <c r="AA271" s="10"/>
    </row>
    <row r="272" spans="1:27" x14ac:dyDescent="0.25">
      <c r="A272" s="58">
        <v>295</v>
      </c>
      <c r="B272" s="33" t="s">
        <v>60</v>
      </c>
      <c r="C272" s="34" t="s">
        <v>60</v>
      </c>
      <c r="D272" s="35" t="s">
        <v>40</v>
      </c>
      <c r="E272" s="35" t="s">
        <v>61</v>
      </c>
      <c r="F272" s="35" t="s">
        <v>62</v>
      </c>
      <c r="G272" s="36" t="s">
        <v>1417</v>
      </c>
      <c r="H272" s="35" t="s">
        <v>1379</v>
      </c>
      <c r="I272" s="37" t="s">
        <v>60</v>
      </c>
      <c r="J272" s="37" t="s">
        <v>60</v>
      </c>
      <c r="K272" s="35" t="s">
        <v>1513</v>
      </c>
      <c r="L272" s="46" t="s">
        <v>1513</v>
      </c>
      <c r="M272" s="46" t="s">
        <v>1869</v>
      </c>
      <c r="N272" s="46" t="s">
        <v>60</v>
      </c>
      <c r="O272" s="46" t="s">
        <v>2360</v>
      </c>
      <c r="P272" s="46" t="s">
        <v>2224</v>
      </c>
      <c r="Q272" s="46" t="s">
        <v>2223</v>
      </c>
      <c r="R272" s="46">
        <v>9999934588</v>
      </c>
      <c r="S272" s="47">
        <v>46123</v>
      </c>
      <c r="T272" s="46" t="s">
        <v>1990</v>
      </c>
      <c r="U272" s="48" t="s">
        <v>62</v>
      </c>
      <c r="V272" s="48" t="s">
        <v>61</v>
      </c>
      <c r="W272" s="46" t="s">
        <v>60</v>
      </c>
      <c r="X272" s="46" t="s">
        <v>2572</v>
      </c>
      <c r="Y272" s="46" t="s">
        <v>1067</v>
      </c>
      <c r="Z272" s="74" t="s">
        <v>1379</v>
      </c>
      <c r="AA272" s="10"/>
    </row>
    <row r="273" spans="1:27" x14ac:dyDescent="0.25">
      <c r="A273" s="58">
        <v>296</v>
      </c>
      <c r="B273" s="33" t="s">
        <v>60</v>
      </c>
      <c r="C273" s="34" t="s">
        <v>60</v>
      </c>
      <c r="D273" s="35" t="s">
        <v>40</v>
      </c>
      <c r="E273" s="35" t="s">
        <v>61</v>
      </c>
      <c r="F273" s="35" t="s">
        <v>1601</v>
      </c>
      <c r="G273" s="36" t="s">
        <v>1417</v>
      </c>
      <c r="H273" s="35" t="s">
        <v>1383</v>
      </c>
      <c r="I273" s="37" t="s">
        <v>60</v>
      </c>
      <c r="J273" s="37" t="s">
        <v>60</v>
      </c>
      <c r="K273" s="35" t="s">
        <v>1517</v>
      </c>
      <c r="L273" s="46" t="s">
        <v>1517</v>
      </c>
      <c r="M273" s="46" t="s">
        <v>1869</v>
      </c>
      <c r="N273" s="46" t="s">
        <v>60</v>
      </c>
      <c r="O273" s="46" t="s">
        <v>2360</v>
      </c>
      <c r="P273" s="46" t="s">
        <v>2228</v>
      </c>
      <c r="Q273" s="46" t="s">
        <v>2211</v>
      </c>
      <c r="R273" s="46">
        <v>9999934588</v>
      </c>
      <c r="S273" s="47">
        <v>46130</v>
      </c>
      <c r="T273" s="46" t="s">
        <v>1990</v>
      </c>
      <c r="U273" s="48" t="s">
        <v>1601</v>
      </c>
      <c r="V273" s="48" t="s">
        <v>61</v>
      </c>
      <c r="W273" s="46" t="s">
        <v>60</v>
      </c>
      <c r="X273" s="46" t="s">
        <v>2661</v>
      </c>
      <c r="Y273" s="46" t="s">
        <v>2364</v>
      </c>
      <c r="Z273" s="74" t="s">
        <v>1383</v>
      </c>
      <c r="AA273" s="10"/>
    </row>
    <row r="274" spans="1:27" x14ac:dyDescent="0.25">
      <c r="A274" s="58">
        <v>297</v>
      </c>
      <c r="B274" s="33" t="s">
        <v>60</v>
      </c>
      <c r="C274" s="34" t="s">
        <v>60</v>
      </c>
      <c r="D274" s="35" t="s">
        <v>40</v>
      </c>
      <c r="E274" s="35" t="s">
        <v>61</v>
      </c>
      <c r="F274" s="35" t="s">
        <v>1602</v>
      </c>
      <c r="G274" s="36" t="s">
        <v>1417</v>
      </c>
      <c r="H274" s="35" t="s">
        <v>1384</v>
      </c>
      <c r="I274" s="37" t="s">
        <v>60</v>
      </c>
      <c r="J274" s="37" t="s">
        <v>60</v>
      </c>
      <c r="K274" s="35" t="s">
        <v>1518</v>
      </c>
      <c r="L274" s="46" t="s">
        <v>1518</v>
      </c>
      <c r="M274" s="46" t="s">
        <v>1869</v>
      </c>
      <c r="N274" s="46" t="s">
        <v>60</v>
      </c>
      <c r="O274" s="46" t="s">
        <v>2360</v>
      </c>
      <c r="P274" s="46" t="s">
        <v>60</v>
      </c>
      <c r="Q274" s="46" t="s">
        <v>2817</v>
      </c>
      <c r="R274" s="46">
        <v>9999934588</v>
      </c>
      <c r="S274" s="47">
        <v>46126</v>
      </c>
      <c r="T274" s="46" t="s">
        <v>1990</v>
      </c>
      <c r="U274" s="48" t="s">
        <v>1602</v>
      </c>
      <c r="V274" s="48" t="s">
        <v>61</v>
      </c>
      <c r="W274" s="46" t="s">
        <v>60</v>
      </c>
      <c r="X274" s="46" t="s">
        <v>2662</v>
      </c>
      <c r="Y274" s="46" t="s">
        <v>60</v>
      </c>
      <c r="Z274" s="74" t="s">
        <v>1384</v>
      </c>
      <c r="AA274" s="10"/>
    </row>
    <row r="275" spans="1:27" x14ac:dyDescent="0.25">
      <c r="A275" s="58">
        <v>298</v>
      </c>
      <c r="B275" s="33" t="s">
        <v>60</v>
      </c>
      <c r="C275" s="34" t="s">
        <v>60</v>
      </c>
      <c r="D275" s="35" t="s">
        <v>40</v>
      </c>
      <c r="E275" s="35" t="s">
        <v>61</v>
      </c>
      <c r="F275" s="35" t="s">
        <v>1608</v>
      </c>
      <c r="G275" s="36" t="s">
        <v>1417</v>
      </c>
      <c r="H275" s="35" t="s">
        <v>1394</v>
      </c>
      <c r="I275" s="37" t="s">
        <v>60</v>
      </c>
      <c r="J275" s="37" t="s">
        <v>60</v>
      </c>
      <c r="K275" s="35" t="s">
        <v>1528</v>
      </c>
      <c r="L275" s="46" t="s">
        <v>1528</v>
      </c>
      <c r="M275" s="46" t="s">
        <v>1869</v>
      </c>
      <c r="N275" s="46" t="s">
        <v>60</v>
      </c>
      <c r="O275" s="46" t="s">
        <v>2360</v>
      </c>
      <c r="P275" s="46" t="s">
        <v>2340</v>
      </c>
      <c r="Q275" s="46" t="s">
        <v>2116</v>
      </c>
      <c r="R275" s="46">
        <v>9999934588</v>
      </c>
      <c r="S275" s="47">
        <v>46123</v>
      </c>
      <c r="T275" s="46" t="s">
        <v>1990</v>
      </c>
      <c r="U275" s="48" t="s">
        <v>1608</v>
      </c>
      <c r="V275" s="48" t="s">
        <v>61</v>
      </c>
      <c r="W275" s="46" t="s">
        <v>60</v>
      </c>
      <c r="X275" s="46" t="s">
        <v>2536</v>
      </c>
      <c r="Y275" s="46" t="s">
        <v>1042</v>
      </c>
      <c r="Z275" s="74" t="s">
        <v>1394</v>
      </c>
      <c r="AA275" s="10"/>
    </row>
    <row r="276" spans="1:27" x14ac:dyDescent="0.25">
      <c r="A276" s="58">
        <v>299</v>
      </c>
      <c r="B276" s="33" t="s">
        <v>60</v>
      </c>
      <c r="C276" s="34" t="s">
        <v>60</v>
      </c>
      <c r="D276" s="35" t="s">
        <v>40</v>
      </c>
      <c r="E276" s="35" t="s">
        <v>61</v>
      </c>
      <c r="F276" s="35" t="s">
        <v>1610</v>
      </c>
      <c r="G276" s="36" t="s">
        <v>1417</v>
      </c>
      <c r="H276" s="35" t="s">
        <v>1397</v>
      </c>
      <c r="I276" s="37" t="s">
        <v>60</v>
      </c>
      <c r="J276" s="37" t="s">
        <v>60</v>
      </c>
      <c r="K276" s="35" t="s">
        <v>1531</v>
      </c>
      <c r="L276" s="46" t="s">
        <v>1531</v>
      </c>
      <c r="M276" s="46" t="s">
        <v>1869</v>
      </c>
      <c r="N276" s="46" t="s">
        <v>60</v>
      </c>
      <c r="O276" s="46" t="s">
        <v>2360</v>
      </c>
      <c r="P276" s="46" t="s">
        <v>2242</v>
      </c>
      <c r="Q276" s="46" t="s">
        <v>2243</v>
      </c>
      <c r="R276" s="46">
        <v>9999934588</v>
      </c>
      <c r="S276" s="47">
        <v>46126</v>
      </c>
      <c r="T276" s="46" t="s">
        <v>1990</v>
      </c>
      <c r="U276" s="48" t="s">
        <v>1610</v>
      </c>
      <c r="V276" s="48" t="s">
        <v>61</v>
      </c>
      <c r="W276" s="46" t="s">
        <v>60</v>
      </c>
      <c r="X276" s="46" t="s">
        <v>2659</v>
      </c>
      <c r="Y276" s="46" t="s">
        <v>143</v>
      </c>
      <c r="Z276" s="74" t="s">
        <v>1397</v>
      </c>
      <c r="AA276" s="10"/>
    </row>
    <row r="277" spans="1:27" x14ac:dyDescent="0.25">
      <c r="A277" s="58">
        <v>300</v>
      </c>
      <c r="B277" s="33" t="s">
        <v>60</v>
      </c>
      <c r="C277" s="34" t="s">
        <v>60</v>
      </c>
      <c r="D277" s="35" t="s">
        <v>40</v>
      </c>
      <c r="E277" s="35" t="s">
        <v>61</v>
      </c>
      <c r="F277" s="35" t="s">
        <v>654</v>
      </c>
      <c r="G277" s="36" t="s">
        <v>1417</v>
      </c>
      <c r="H277" s="35" t="s">
        <v>1402</v>
      </c>
      <c r="I277" s="37" t="s">
        <v>60</v>
      </c>
      <c r="J277" s="37" t="s">
        <v>60</v>
      </c>
      <c r="K277" s="35" t="s">
        <v>1536</v>
      </c>
      <c r="L277" s="46" t="s">
        <v>1536</v>
      </c>
      <c r="M277" s="46" t="s">
        <v>1869</v>
      </c>
      <c r="N277" s="46" t="s">
        <v>60</v>
      </c>
      <c r="O277" s="46" t="s">
        <v>2360</v>
      </c>
      <c r="P277" s="46" t="s">
        <v>2252</v>
      </c>
      <c r="Q277" s="46" t="s">
        <v>2253</v>
      </c>
      <c r="R277" s="46">
        <v>9999934588</v>
      </c>
      <c r="S277" s="47">
        <v>46130</v>
      </c>
      <c r="T277" s="46" t="s">
        <v>1990</v>
      </c>
      <c r="U277" s="48" t="s">
        <v>654</v>
      </c>
      <c r="V277" s="48" t="s">
        <v>61</v>
      </c>
      <c r="W277" s="46" t="s">
        <v>60</v>
      </c>
      <c r="X277" s="46" t="s">
        <v>2571</v>
      </c>
      <c r="Y277" s="46" t="s">
        <v>60</v>
      </c>
      <c r="Z277" s="74" t="s">
        <v>1402</v>
      </c>
      <c r="AA277" s="10"/>
    </row>
    <row r="278" spans="1:27" x14ac:dyDescent="0.25">
      <c r="A278" s="58">
        <v>301</v>
      </c>
      <c r="B278" s="33" t="s">
        <v>60</v>
      </c>
      <c r="C278" s="34" t="s">
        <v>60</v>
      </c>
      <c r="D278" s="35" t="s">
        <v>40</v>
      </c>
      <c r="E278" s="35" t="s">
        <v>61</v>
      </c>
      <c r="F278" s="35" t="s">
        <v>1619</v>
      </c>
      <c r="G278" s="36" t="s">
        <v>1417</v>
      </c>
      <c r="H278" s="35" t="s">
        <v>1413</v>
      </c>
      <c r="I278" s="37" t="s">
        <v>60</v>
      </c>
      <c r="J278" s="37" t="s">
        <v>60</v>
      </c>
      <c r="K278" s="35" t="s">
        <v>1547</v>
      </c>
      <c r="L278" s="46" t="s">
        <v>1547</v>
      </c>
      <c r="M278" s="46" t="s">
        <v>1869</v>
      </c>
      <c r="N278" s="46" t="s">
        <v>60</v>
      </c>
      <c r="O278" s="46" t="s">
        <v>2360</v>
      </c>
      <c r="P278" s="46" t="s">
        <v>2266</v>
      </c>
      <c r="Q278" s="46" t="s">
        <v>2210</v>
      </c>
      <c r="R278" s="46">
        <v>9999934588</v>
      </c>
      <c r="S278" s="47">
        <v>46120</v>
      </c>
      <c r="T278" s="46" t="s">
        <v>1990</v>
      </c>
      <c r="U278" s="48" t="s">
        <v>1619</v>
      </c>
      <c r="V278" s="48" t="s">
        <v>61</v>
      </c>
      <c r="W278" s="46" t="s">
        <v>60</v>
      </c>
      <c r="X278" s="46" t="s">
        <v>2663</v>
      </c>
      <c r="Y278" s="46" t="s">
        <v>2554</v>
      </c>
      <c r="Z278" s="74" t="s">
        <v>1413</v>
      </c>
      <c r="AA278" s="10"/>
    </row>
    <row r="279" spans="1:27" x14ac:dyDescent="0.25">
      <c r="A279" s="58">
        <v>302</v>
      </c>
      <c r="B279" s="33" t="s">
        <v>60</v>
      </c>
      <c r="C279" s="34" t="s">
        <v>60</v>
      </c>
      <c r="D279" s="35" t="s">
        <v>40</v>
      </c>
      <c r="E279" s="35" t="s">
        <v>61</v>
      </c>
      <c r="F279" s="35" t="s">
        <v>986</v>
      </c>
      <c r="G279" s="36" t="s">
        <v>1417</v>
      </c>
      <c r="H279" s="35" t="s">
        <v>1415</v>
      </c>
      <c r="I279" s="37" t="s">
        <v>60</v>
      </c>
      <c r="J279" s="37" t="s">
        <v>60</v>
      </c>
      <c r="K279" s="35" t="s">
        <v>1549</v>
      </c>
      <c r="L279" s="46" t="s">
        <v>1549</v>
      </c>
      <c r="M279" s="46" t="s">
        <v>1869</v>
      </c>
      <c r="N279" s="46" t="s">
        <v>60</v>
      </c>
      <c r="O279" s="46" t="s">
        <v>2360</v>
      </c>
      <c r="P279" s="46" t="s">
        <v>2344</v>
      </c>
      <c r="Q279" s="46" t="s">
        <v>2268</v>
      </c>
      <c r="R279" s="46">
        <v>9999934588</v>
      </c>
      <c r="S279" s="47">
        <v>46121</v>
      </c>
      <c r="T279" s="46" t="s">
        <v>1990</v>
      </c>
      <c r="U279" s="48" t="s">
        <v>986</v>
      </c>
      <c r="V279" s="48" t="s">
        <v>61</v>
      </c>
      <c r="W279" s="46" t="s">
        <v>60</v>
      </c>
      <c r="X279" s="46" t="s">
        <v>2664</v>
      </c>
      <c r="Y279" s="46" t="s">
        <v>2392</v>
      </c>
      <c r="Z279" s="74" t="s">
        <v>1415</v>
      </c>
      <c r="AA279" s="10"/>
    </row>
    <row r="280" spans="1:27" x14ac:dyDescent="0.25">
      <c r="A280" s="58">
        <v>303</v>
      </c>
      <c r="B280" s="33" t="s">
        <v>60</v>
      </c>
      <c r="C280" s="34" t="s">
        <v>60</v>
      </c>
      <c r="D280" s="35" t="s">
        <v>40</v>
      </c>
      <c r="E280" s="35" t="s">
        <v>61</v>
      </c>
      <c r="F280" s="35" t="s">
        <v>986</v>
      </c>
      <c r="G280" s="36" t="s">
        <v>1417</v>
      </c>
      <c r="H280" s="35" t="s">
        <v>1416</v>
      </c>
      <c r="I280" s="37" t="s">
        <v>60</v>
      </c>
      <c r="J280" s="37" t="s">
        <v>60</v>
      </c>
      <c r="K280" s="35" t="s">
        <v>1550</v>
      </c>
      <c r="L280" s="46" t="s">
        <v>1550</v>
      </c>
      <c r="M280" s="46" t="s">
        <v>1869</v>
      </c>
      <c r="N280" s="46" t="s">
        <v>60</v>
      </c>
      <c r="O280" s="46" t="s">
        <v>2360</v>
      </c>
      <c r="P280" s="46" t="s">
        <v>2345</v>
      </c>
      <c r="Q280" s="46" t="s">
        <v>2268</v>
      </c>
      <c r="R280" s="46">
        <v>9999934588</v>
      </c>
      <c r="S280" s="47">
        <v>46121</v>
      </c>
      <c r="T280" s="46" t="s">
        <v>1990</v>
      </c>
      <c r="U280" s="48" t="s">
        <v>986</v>
      </c>
      <c r="V280" s="48" t="s">
        <v>61</v>
      </c>
      <c r="W280" s="46" t="s">
        <v>60</v>
      </c>
      <c r="X280" s="46" t="s">
        <v>2665</v>
      </c>
      <c r="Y280" s="46" t="s">
        <v>79</v>
      </c>
      <c r="Z280" s="74" t="s">
        <v>1416</v>
      </c>
      <c r="AA280" s="10"/>
    </row>
    <row r="281" spans="1:27" x14ac:dyDescent="0.25">
      <c r="A281" s="58">
        <v>304</v>
      </c>
      <c r="B281" s="33" t="s">
        <v>60</v>
      </c>
      <c r="C281" s="34" t="s">
        <v>60</v>
      </c>
      <c r="D281" s="35" t="s">
        <v>40</v>
      </c>
      <c r="E281" s="35" t="s">
        <v>938</v>
      </c>
      <c r="F281" s="35" t="s">
        <v>939</v>
      </c>
      <c r="G281" s="36" t="s">
        <v>1417</v>
      </c>
      <c r="H281" s="35" t="s">
        <v>1346</v>
      </c>
      <c r="I281" s="37" t="s">
        <v>60</v>
      </c>
      <c r="J281" s="37" t="s">
        <v>60</v>
      </c>
      <c r="K281" s="35" t="s">
        <v>1479</v>
      </c>
      <c r="L281" s="46" t="s">
        <v>1479</v>
      </c>
      <c r="M281" s="46" t="s">
        <v>1869</v>
      </c>
      <c r="N281" s="46" t="s">
        <v>60</v>
      </c>
      <c r="O281" s="46" t="s">
        <v>2360</v>
      </c>
      <c r="P281" s="46" t="s">
        <v>2182</v>
      </c>
      <c r="Q281" s="46" t="s">
        <v>2183</v>
      </c>
      <c r="R281" s="46">
        <v>9999934588</v>
      </c>
      <c r="S281" s="47">
        <v>46121</v>
      </c>
      <c r="T281" s="46" t="s">
        <v>1990</v>
      </c>
      <c r="U281" s="48" t="s">
        <v>939</v>
      </c>
      <c r="V281" s="48" t="s">
        <v>938</v>
      </c>
      <c r="W281" s="46" t="s">
        <v>60</v>
      </c>
      <c r="X281" s="46" t="s">
        <v>2666</v>
      </c>
      <c r="Y281" s="46" t="s">
        <v>1042</v>
      </c>
      <c r="Z281" s="74" t="s">
        <v>1346</v>
      </c>
      <c r="AA281" s="10"/>
    </row>
    <row r="282" spans="1:27" x14ac:dyDescent="0.25">
      <c r="A282" s="58">
        <v>305</v>
      </c>
      <c r="B282" s="33" t="s">
        <v>60</v>
      </c>
      <c r="C282" s="34" t="s">
        <v>60</v>
      </c>
      <c r="D282" s="35" t="s">
        <v>40</v>
      </c>
      <c r="E282" s="35" t="s">
        <v>938</v>
      </c>
      <c r="F282" s="35" t="s">
        <v>1596</v>
      </c>
      <c r="G282" s="36" t="s">
        <v>1417</v>
      </c>
      <c r="H282" s="35" t="s">
        <v>1372</v>
      </c>
      <c r="I282" s="37" t="s">
        <v>60</v>
      </c>
      <c r="J282" s="37" t="s">
        <v>60</v>
      </c>
      <c r="K282" s="35" t="s">
        <v>1506</v>
      </c>
      <c r="L282" s="46" t="s">
        <v>1506</v>
      </c>
      <c r="M282" s="46" t="s">
        <v>1869</v>
      </c>
      <c r="N282" s="46" t="s">
        <v>60</v>
      </c>
      <c r="O282" s="46" t="s">
        <v>2360</v>
      </c>
      <c r="P282" s="46" t="s">
        <v>60</v>
      </c>
      <c r="Q282" s="46" t="s">
        <v>2133</v>
      </c>
      <c r="R282" s="46">
        <v>9999934588</v>
      </c>
      <c r="S282" s="47">
        <v>46128</v>
      </c>
      <c r="T282" s="46" t="s">
        <v>1990</v>
      </c>
      <c r="U282" s="48" t="s">
        <v>1596</v>
      </c>
      <c r="V282" s="48" t="s">
        <v>938</v>
      </c>
      <c r="W282" s="46" t="s">
        <v>60</v>
      </c>
      <c r="X282" s="46" t="s">
        <v>60</v>
      </c>
      <c r="Y282" s="46" t="s">
        <v>143</v>
      </c>
      <c r="Z282" s="74" t="s">
        <v>1372</v>
      </c>
      <c r="AA282" s="10"/>
    </row>
    <row r="283" spans="1:27" x14ac:dyDescent="0.25">
      <c r="A283" s="58">
        <v>306</v>
      </c>
      <c r="B283" s="33" t="s">
        <v>60</v>
      </c>
      <c r="C283" s="34" t="s">
        <v>60</v>
      </c>
      <c r="D283" s="35" t="s">
        <v>103</v>
      </c>
      <c r="E283" s="35" t="s">
        <v>104</v>
      </c>
      <c r="F283" s="35" t="s">
        <v>1558</v>
      </c>
      <c r="G283" s="36" t="s">
        <v>1417</v>
      </c>
      <c r="H283" s="35" t="s">
        <v>1300</v>
      </c>
      <c r="I283" s="37" t="s">
        <v>60</v>
      </c>
      <c r="J283" s="37" t="s">
        <v>60</v>
      </c>
      <c r="K283" s="35" t="s">
        <v>1433</v>
      </c>
      <c r="L283" s="46" t="s">
        <v>1433</v>
      </c>
      <c r="M283" s="46" t="s">
        <v>1869</v>
      </c>
      <c r="N283" s="46" t="s">
        <v>60</v>
      </c>
      <c r="O283" s="46" t="s">
        <v>2360</v>
      </c>
      <c r="P283" s="46" t="s">
        <v>2118</v>
      </c>
      <c r="Q283" s="46" t="s">
        <v>2119</v>
      </c>
      <c r="R283" s="46">
        <v>9999934588</v>
      </c>
      <c r="S283" s="47">
        <v>46129</v>
      </c>
      <c r="T283" s="46" t="s">
        <v>1990</v>
      </c>
      <c r="U283" s="48" t="s">
        <v>1558</v>
      </c>
      <c r="V283" s="48" t="s">
        <v>104</v>
      </c>
      <c r="W283" s="46" t="s">
        <v>60</v>
      </c>
      <c r="X283" s="46" t="s">
        <v>2667</v>
      </c>
      <c r="Y283" s="46" t="s">
        <v>2538</v>
      </c>
      <c r="Z283" s="74" t="s">
        <v>1300</v>
      </c>
      <c r="AA283" s="10"/>
    </row>
    <row r="284" spans="1:27" x14ac:dyDescent="0.25">
      <c r="A284" s="58">
        <v>307</v>
      </c>
      <c r="B284" s="33" t="s">
        <v>60</v>
      </c>
      <c r="C284" s="34" t="s">
        <v>60</v>
      </c>
      <c r="D284" s="35" t="s">
        <v>103</v>
      </c>
      <c r="E284" s="35" t="s">
        <v>104</v>
      </c>
      <c r="F284" s="35" t="s">
        <v>1562</v>
      </c>
      <c r="G284" s="36" t="s">
        <v>1417</v>
      </c>
      <c r="H284" s="35" t="s">
        <v>1305</v>
      </c>
      <c r="I284" s="37" t="s">
        <v>60</v>
      </c>
      <c r="J284" s="37" t="s">
        <v>60</v>
      </c>
      <c r="K284" s="35" t="s">
        <v>1438</v>
      </c>
      <c r="L284" s="46" t="s">
        <v>1438</v>
      </c>
      <c r="M284" s="46" t="s">
        <v>1869</v>
      </c>
      <c r="N284" s="46" t="s">
        <v>60</v>
      </c>
      <c r="O284" s="46" t="s">
        <v>2360</v>
      </c>
      <c r="P284" s="46" t="s">
        <v>2325</v>
      </c>
      <c r="Q284" s="46" t="s">
        <v>2124</v>
      </c>
      <c r="R284" s="46">
        <v>9999934588</v>
      </c>
      <c r="S284" s="47">
        <v>46121</v>
      </c>
      <c r="T284" s="46" t="s">
        <v>1990</v>
      </c>
      <c r="U284" s="48" t="s">
        <v>1562</v>
      </c>
      <c r="V284" s="48" t="s">
        <v>104</v>
      </c>
      <c r="W284" s="46" t="s">
        <v>60</v>
      </c>
      <c r="X284" s="46" t="s">
        <v>2668</v>
      </c>
      <c r="Y284" s="46" t="s">
        <v>427</v>
      </c>
      <c r="Z284" s="74" t="s">
        <v>1305</v>
      </c>
      <c r="AA284" s="10"/>
    </row>
    <row r="285" spans="1:27" x14ac:dyDescent="0.25">
      <c r="A285" s="58">
        <v>308</v>
      </c>
      <c r="B285" s="33" t="s">
        <v>60</v>
      </c>
      <c r="C285" s="34" t="s">
        <v>60</v>
      </c>
      <c r="D285" s="35" t="s">
        <v>103</v>
      </c>
      <c r="E285" s="35" t="s">
        <v>104</v>
      </c>
      <c r="F285" s="35" t="s">
        <v>1563</v>
      </c>
      <c r="G285" s="36" t="s">
        <v>1417</v>
      </c>
      <c r="H285" s="35" t="s">
        <v>1306</v>
      </c>
      <c r="I285" s="37" t="s">
        <v>60</v>
      </c>
      <c r="J285" s="37" t="s">
        <v>60</v>
      </c>
      <c r="K285" s="35" t="s">
        <v>1439</v>
      </c>
      <c r="L285" s="46" t="s">
        <v>1439</v>
      </c>
      <c r="M285" s="46" t="s">
        <v>1869</v>
      </c>
      <c r="N285" s="46" t="s">
        <v>60</v>
      </c>
      <c r="O285" s="46" t="s">
        <v>2360</v>
      </c>
      <c r="P285" s="46" t="s">
        <v>2125</v>
      </c>
      <c r="Q285" s="46" t="s">
        <v>2124</v>
      </c>
      <c r="R285" s="46">
        <v>9999934588</v>
      </c>
      <c r="S285" s="47">
        <v>46123</v>
      </c>
      <c r="T285" s="46" t="s">
        <v>1990</v>
      </c>
      <c r="U285" s="48" t="s">
        <v>1563</v>
      </c>
      <c r="V285" s="48" t="s">
        <v>104</v>
      </c>
      <c r="W285" s="46" t="s">
        <v>60</v>
      </c>
      <c r="X285" s="46" t="s">
        <v>2669</v>
      </c>
      <c r="Y285" s="46" t="s">
        <v>427</v>
      </c>
      <c r="Z285" s="74" t="s">
        <v>1306</v>
      </c>
      <c r="AA285" s="10"/>
    </row>
    <row r="286" spans="1:27" x14ac:dyDescent="0.25">
      <c r="A286" s="58">
        <v>309</v>
      </c>
      <c r="B286" s="33" t="s">
        <v>60</v>
      </c>
      <c r="C286" s="34" t="s">
        <v>60</v>
      </c>
      <c r="D286" s="35" t="s">
        <v>103</v>
      </c>
      <c r="E286" s="35" t="s">
        <v>104</v>
      </c>
      <c r="F286" s="35" t="s">
        <v>1572</v>
      </c>
      <c r="G286" s="36" t="s">
        <v>1417</v>
      </c>
      <c r="H286" s="35" t="s">
        <v>1321</v>
      </c>
      <c r="I286" s="37" t="s">
        <v>60</v>
      </c>
      <c r="J286" s="37" t="s">
        <v>60</v>
      </c>
      <c r="K286" s="35" t="s">
        <v>1454</v>
      </c>
      <c r="L286" s="46" t="s">
        <v>1454</v>
      </c>
      <c r="M286" s="46" t="s">
        <v>1869</v>
      </c>
      <c r="N286" s="46" t="s">
        <v>60</v>
      </c>
      <c r="O286" s="46" t="s">
        <v>2360</v>
      </c>
      <c r="P286" s="46" t="s">
        <v>2146</v>
      </c>
      <c r="Q286" s="46" t="s">
        <v>2147</v>
      </c>
      <c r="R286" s="46">
        <v>9999934588</v>
      </c>
      <c r="S286" s="47">
        <v>46128</v>
      </c>
      <c r="T286" s="46" t="s">
        <v>1990</v>
      </c>
      <c r="U286" s="48" t="s">
        <v>1572</v>
      </c>
      <c r="V286" s="48" t="s">
        <v>104</v>
      </c>
      <c r="W286" s="46" t="s">
        <v>60</v>
      </c>
      <c r="X286" s="46" t="s">
        <v>2728</v>
      </c>
      <c r="Y286" s="46" t="s">
        <v>322</v>
      </c>
      <c r="Z286" s="74" t="s">
        <v>1321</v>
      </c>
      <c r="AA286" s="10"/>
    </row>
    <row r="287" spans="1:27" x14ac:dyDescent="0.25">
      <c r="A287" s="58">
        <v>310</v>
      </c>
      <c r="B287" s="33" t="s">
        <v>60</v>
      </c>
      <c r="C287" s="34" t="s">
        <v>60</v>
      </c>
      <c r="D287" s="35" t="s">
        <v>103</v>
      </c>
      <c r="E287" s="35" t="s">
        <v>104</v>
      </c>
      <c r="F287" s="35" t="s">
        <v>1573</v>
      </c>
      <c r="G287" s="36" t="s">
        <v>1417</v>
      </c>
      <c r="H287" s="35" t="s">
        <v>1322</v>
      </c>
      <c r="I287" s="37" t="s">
        <v>60</v>
      </c>
      <c r="J287" s="37" t="s">
        <v>60</v>
      </c>
      <c r="K287" s="35" t="s">
        <v>1455</v>
      </c>
      <c r="L287" s="46" t="s">
        <v>1455</v>
      </c>
      <c r="M287" s="46" t="s">
        <v>1869</v>
      </c>
      <c r="N287" s="46" t="s">
        <v>60</v>
      </c>
      <c r="O287" s="46" t="s">
        <v>2360</v>
      </c>
      <c r="P287" s="46" t="s">
        <v>2148</v>
      </c>
      <c r="Q287" s="46" t="s">
        <v>2149</v>
      </c>
      <c r="R287" s="46">
        <v>9999934588</v>
      </c>
      <c r="S287" s="47">
        <v>46126</v>
      </c>
      <c r="T287" s="46" t="s">
        <v>1990</v>
      </c>
      <c r="U287" s="48" t="s">
        <v>1573</v>
      </c>
      <c r="V287" s="48" t="s">
        <v>104</v>
      </c>
      <c r="W287" s="46" t="s">
        <v>60</v>
      </c>
      <c r="X287" s="46" t="s">
        <v>2670</v>
      </c>
      <c r="Y287" s="46" t="s">
        <v>322</v>
      </c>
      <c r="Z287" s="74" t="s">
        <v>1322</v>
      </c>
      <c r="AA287" s="10"/>
    </row>
    <row r="288" spans="1:27" x14ac:dyDescent="0.25">
      <c r="A288" s="58">
        <v>311</v>
      </c>
      <c r="B288" s="33" t="s">
        <v>60</v>
      </c>
      <c r="C288" s="34" t="s">
        <v>60</v>
      </c>
      <c r="D288" s="35" t="s">
        <v>103</v>
      </c>
      <c r="E288" s="35" t="s">
        <v>104</v>
      </c>
      <c r="F288" s="35" t="s">
        <v>1575</v>
      </c>
      <c r="G288" s="36" t="s">
        <v>1417</v>
      </c>
      <c r="H288" s="35" t="s">
        <v>1329</v>
      </c>
      <c r="I288" s="37" t="s">
        <v>60</v>
      </c>
      <c r="J288" s="37" t="s">
        <v>60</v>
      </c>
      <c r="K288" s="35" t="s">
        <v>1462</v>
      </c>
      <c r="L288" s="46" t="s">
        <v>1462</v>
      </c>
      <c r="M288" s="46" t="s">
        <v>1869</v>
      </c>
      <c r="N288" s="46" t="s">
        <v>60</v>
      </c>
      <c r="O288" s="46" t="s">
        <v>2360</v>
      </c>
      <c r="P288" s="46" t="s">
        <v>2158</v>
      </c>
      <c r="Q288" s="46" t="s">
        <v>2124</v>
      </c>
      <c r="R288" s="46">
        <v>9999934588</v>
      </c>
      <c r="S288" s="47">
        <v>46123</v>
      </c>
      <c r="T288" s="46" t="s">
        <v>1990</v>
      </c>
      <c r="U288" s="48" t="s">
        <v>1575</v>
      </c>
      <c r="V288" s="48" t="s">
        <v>104</v>
      </c>
      <c r="W288" s="46" t="s">
        <v>60</v>
      </c>
      <c r="X288" s="46" t="s">
        <v>2671</v>
      </c>
      <c r="Y288" s="46" t="s">
        <v>60</v>
      </c>
      <c r="Z288" s="74" t="s">
        <v>1329</v>
      </c>
      <c r="AA288" s="10"/>
    </row>
    <row r="289" spans="1:27" x14ac:dyDescent="0.25">
      <c r="A289" s="58">
        <v>312</v>
      </c>
      <c r="B289" s="33" t="s">
        <v>60</v>
      </c>
      <c r="C289" s="34" t="s">
        <v>60</v>
      </c>
      <c r="D289" s="35" t="s">
        <v>103</v>
      </c>
      <c r="E289" s="35" t="s">
        <v>104</v>
      </c>
      <c r="F289" s="35" t="s">
        <v>1588</v>
      </c>
      <c r="G289" s="36" t="s">
        <v>1417</v>
      </c>
      <c r="H289" s="35" t="s">
        <v>1349</v>
      </c>
      <c r="I289" s="37" t="s">
        <v>60</v>
      </c>
      <c r="J289" s="37" t="s">
        <v>60</v>
      </c>
      <c r="K289" s="35" t="s">
        <v>1482</v>
      </c>
      <c r="L289" s="46" t="s">
        <v>1482</v>
      </c>
      <c r="M289" s="46" t="s">
        <v>1869</v>
      </c>
      <c r="N289" s="46" t="s">
        <v>60</v>
      </c>
      <c r="O289" s="46" t="s">
        <v>2360</v>
      </c>
      <c r="P289" s="46" t="s">
        <v>2330</v>
      </c>
      <c r="Q289" s="46" t="s">
        <v>2187</v>
      </c>
      <c r="R289" s="46">
        <v>9999934588</v>
      </c>
      <c r="S289" s="47">
        <v>46136</v>
      </c>
      <c r="T289" s="46" t="s">
        <v>1990</v>
      </c>
      <c r="U289" s="48" t="s">
        <v>1588</v>
      </c>
      <c r="V289" s="48" t="s">
        <v>104</v>
      </c>
      <c r="W289" s="46" t="s">
        <v>60</v>
      </c>
      <c r="X289" s="46" t="s">
        <v>2672</v>
      </c>
      <c r="Y289" s="46" t="s">
        <v>322</v>
      </c>
      <c r="Z289" s="74" t="s">
        <v>1349</v>
      </c>
      <c r="AA289" s="10"/>
    </row>
    <row r="290" spans="1:27" x14ac:dyDescent="0.25">
      <c r="A290" s="58">
        <v>313</v>
      </c>
      <c r="B290" s="33" t="s">
        <v>60</v>
      </c>
      <c r="C290" s="34" t="s">
        <v>60</v>
      </c>
      <c r="D290" s="35" t="s">
        <v>103</v>
      </c>
      <c r="E290" s="35" t="s">
        <v>104</v>
      </c>
      <c r="F290" s="35" t="s">
        <v>1588</v>
      </c>
      <c r="G290" s="36" t="s">
        <v>1417</v>
      </c>
      <c r="H290" s="35" t="s">
        <v>1348</v>
      </c>
      <c r="I290" s="37" t="s">
        <v>60</v>
      </c>
      <c r="J290" s="37" t="s">
        <v>60</v>
      </c>
      <c r="K290" s="35" t="s">
        <v>1481</v>
      </c>
      <c r="L290" s="46" t="s">
        <v>1481</v>
      </c>
      <c r="M290" s="46" t="s">
        <v>1869</v>
      </c>
      <c r="N290" s="46" t="s">
        <v>60</v>
      </c>
      <c r="O290" s="46" t="s">
        <v>2360</v>
      </c>
      <c r="P290" s="46" t="s">
        <v>2186</v>
      </c>
      <c r="Q290" s="46" t="s">
        <v>2124</v>
      </c>
      <c r="R290" s="46">
        <v>9999934588</v>
      </c>
      <c r="S290" s="47">
        <v>46122</v>
      </c>
      <c r="T290" s="46" t="s">
        <v>1990</v>
      </c>
      <c r="U290" s="48" t="s">
        <v>1588</v>
      </c>
      <c r="V290" s="48" t="s">
        <v>104</v>
      </c>
      <c r="W290" s="46" t="s">
        <v>60</v>
      </c>
      <c r="X290" s="46" t="s">
        <v>2570</v>
      </c>
      <c r="Y290" s="46" t="s">
        <v>2797</v>
      </c>
      <c r="Z290" s="74" t="s">
        <v>1348</v>
      </c>
      <c r="AA290" s="10"/>
    </row>
    <row r="291" spans="1:27" x14ac:dyDescent="0.25">
      <c r="A291" s="58">
        <v>314</v>
      </c>
      <c r="B291" s="33" t="s">
        <v>60</v>
      </c>
      <c r="C291" s="34" t="s">
        <v>60</v>
      </c>
      <c r="D291" s="35" t="s">
        <v>103</v>
      </c>
      <c r="E291" s="35" t="s">
        <v>104</v>
      </c>
      <c r="F291" s="35" t="s">
        <v>1597</v>
      </c>
      <c r="G291" s="36" t="s">
        <v>1417</v>
      </c>
      <c r="H291" s="35" t="s">
        <v>1373</v>
      </c>
      <c r="I291" s="37" t="s">
        <v>60</v>
      </c>
      <c r="J291" s="37" t="s">
        <v>60</v>
      </c>
      <c r="K291" s="35" t="s">
        <v>1507</v>
      </c>
      <c r="L291" s="46" t="s">
        <v>1507</v>
      </c>
      <c r="M291" s="46" t="s">
        <v>1869</v>
      </c>
      <c r="N291" s="46" t="s">
        <v>60</v>
      </c>
      <c r="O291" s="46" t="s">
        <v>2360</v>
      </c>
      <c r="P291" s="46" t="s">
        <v>2334</v>
      </c>
      <c r="Q291" s="46" t="s">
        <v>2217</v>
      </c>
      <c r="R291" s="46">
        <v>9999934588</v>
      </c>
      <c r="S291" s="47">
        <v>46126</v>
      </c>
      <c r="T291" s="46" t="s">
        <v>1990</v>
      </c>
      <c r="U291" s="48" t="s">
        <v>1597</v>
      </c>
      <c r="V291" s="48" t="s">
        <v>104</v>
      </c>
      <c r="W291" s="46" t="s">
        <v>60</v>
      </c>
      <c r="X291" s="46" t="s">
        <v>2673</v>
      </c>
      <c r="Y291" s="46" t="s">
        <v>427</v>
      </c>
      <c r="Z291" s="74" t="s">
        <v>1373</v>
      </c>
      <c r="AA291" s="10"/>
    </row>
    <row r="292" spans="1:27" x14ac:dyDescent="0.25">
      <c r="A292" s="58">
        <v>315</v>
      </c>
      <c r="B292" s="33" t="s">
        <v>60</v>
      </c>
      <c r="C292" s="34" t="s">
        <v>60</v>
      </c>
      <c r="D292" s="35" t="s">
        <v>103</v>
      </c>
      <c r="E292" s="35" t="s">
        <v>104</v>
      </c>
      <c r="F292" s="35" t="s">
        <v>1599</v>
      </c>
      <c r="G292" s="36" t="s">
        <v>1417</v>
      </c>
      <c r="H292" s="35" t="s">
        <v>1376</v>
      </c>
      <c r="I292" s="37" t="s">
        <v>60</v>
      </c>
      <c r="J292" s="37" t="s">
        <v>60</v>
      </c>
      <c r="K292" s="35" t="s">
        <v>1510</v>
      </c>
      <c r="L292" s="46" t="s">
        <v>1510</v>
      </c>
      <c r="M292" s="46" t="s">
        <v>1869</v>
      </c>
      <c r="N292" s="46" t="s">
        <v>60</v>
      </c>
      <c r="O292" s="46" t="s">
        <v>2360</v>
      </c>
      <c r="P292" s="46" t="s">
        <v>2220</v>
      </c>
      <c r="Q292" s="46" t="s">
        <v>2221</v>
      </c>
      <c r="R292" s="46">
        <v>9999934588</v>
      </c>
      <c r="S292" s="47">
        <v>46129</v>
      </c>
      <c r="T292" s="46" t="s">
        <v>1990</v>
      </c>
      <c r="U292" s="48" t="s">
        <v>1599</v>
      </c>
      <c r="V292" s="48" t="s">
        <v>104</v>
      </c>
      <c r="W292" s="46" t="s">
        <v>60</v>
      </c>
      <c r="X292" s="46" t="s">
        <v>2674</v>
      </c>
      <c r="Y292" s="46" t="s">
        <v>322</v>
      </c>
      <c r="Z292" s="74" t="s">
        <v>1376</v>
      </c>
      <c r="AA292" s="10"/>
    </row>
    <row r="293" spans="1:27" x14ac:dyDescent="0.25">
      <c r="A293" s="58">
        <v>316</v>
      </c>
      <c r="B293" s="33" t="s">
        <v>60</v>
      </c>
      <c r="C293" s="34" t="s">
        <v>60</v>
      </c>
      <c r="D293" s="35" t="s">
        <v>103</v>
      </c>
      <c r="E293" s="35" t="s">
        <v>104</v>
      </c>
      <c r="F293" s="35" t="s">
        <v>1614</v>
      </c>
      <c r="G293" s="36" t="s">
        <v>1417</v>
      </c>
      <c r="H293" s="35" t="s">
        <v>1407</v>
      </c>
      <c r="I293" s="37" t="s">
        <v>60</v>
      </c>
      <c r="J293" s="37" t="s">
        <v>60</v>
      </c>
      <c r="K293" s="35" t="s">
        <v>1541</v>
      </c>
      <c r="L293" s="46" t="s">
        <v>1541</v>
      </c>
      <c r="M293" s="46" t="s">
        <v>1869</v>
      </c>
      <c r="N293" s="46" t="s">
        <v>60</v>
      </c>
      <c r="O293" s="46" t="s">
        <v>2360</v>
      </c>
      <c r="P293" s="46" t="s">
        <v>2258</v>
      </c>
      <c r="Q293" s="46" t="s">
        <v>2149</v>
      </c>
      <c r="R293" s="46">
        <v>9999934588</v>
      </c>
      <c r="S293" s="47">
        <v>46127</v>
      </c>
      <c r="T293" s="46" t="s">
        <v>1990</v>
      </c>
      <c r="U293" s="48" t="s">
        <v>1614</v>
      </c>
      <c r="V293" s="48" t="s">
        <v>104</v>
      </c>
      <c r="W293" s="46" t="s">
        <v>60</v>
      </c>
      <c r="X293" s="46" t="s">
        <v>2569</v>
      </c>
      <c r="Y293" s="46" t="s">
        <v>2568</v>
      </c>
      <c r="Z293" s="74" t="s">
        <v>1407</v>
      </c>
      <c r="AA293" s="10"/>
    </row>
    <row r="294" spans="1:27" x14ac:dyDescent="0.25">
      <c r="A294" s="58">
        <v>317</v>
      </c>
      <c r="B294" s="33" t="s">
        <v>60</v>
      </c>
      <c r="C294" s="34" t="s">
        <v>60</v>
      </c>
      <c r="D294" s="35" t="s">
        <v>103</v>
      </c>
      <c r="E294" s="35" t="s">
        <v>104</v>
      </c>
      <c r="F294" s="35" t="s">
        <v>1617</v>
      </c>
      <c r="G294" s="36" t="s">
        <v>1417</v>
      </c>
      <c r="H294" s="35" t="s">
        <v>1410</v>
      </c>
      <c r="I294" s="37" t="s">
        <v>60</v>
      </c>
      <c r="J294" s="37" t="s">
        <v>60</v>
      </c>
      <c r="K294" s="35" t="s">
        <v>1544</v>
      </c>
      <c r="L294" s="46" t="s">
        <v>1544</v>
      </c>
      <c r="M294" s="46" t="s">
        <v>1869</v>
      </c>
      <c r="N294" s="46" t="s">
        <v>60</v>
      </c>
      <c r="O294" s="46" t="s">
        <v>2360</v>
      </c>
      <c r="P294" s="46" t="s">
        <v>2261</v>
      </c>
      <c r="Q294" s="46" t="s">
        <v>2124</v>
      </c>
      <c r="R294" s="46">
        <v>9999934588</v>
      </c>
      <c r="S294" s="47">
        <v>46121</v>
      </c>
      <c r="T294" s="46" t="s">
        <v>1990</v>
      </c>
      <c r="U294" s="48" t="s">
        <v>1617</v>
      </c>
      <c r="V294" s="48" t="s">
        <v>104</v>
      </c>
      <c r="W294" s="46" t="s">
        <v>60</v>
      </c>
      <c r="X294" s="46" t="s">
        <v>2675</v>
      </c>
      <c r="Y294" s="46" t="s">
        <v>2538</v>
      </c>
      <c r="Z294" s="74" t="s">
        <v>1410</v>
      </c>
      <c r="AA294" s="10"/>
    </row>
    <row r="295" spans="1:27" x14ac:dyDescent="0.25">
      <c r="A295" s="58">
        <v>318</v>
      </c>
      <c r="B295" s="33" t="s">
        <v>60</v>
      </c>
      <c r="C295" s="34" t="s">
        <v>60</v>
      </c>
      <c r="D295" s="35" t="s">
        <v>103</v>
      </c>
      <c r="E295" s="35" t="s">
        <v>104</v>
      </c>
      <c r="F295" s="35" t="s">
        <v>1620</v>
      </c>
      <c r="G295" s="36" t="s">
        <v>1417</v>
      </c>
      <c r="H295" s="35" t="s">
        <v>1414</v>
      </c>
      <c r="I295" s="37" t="s">
        <v>60</v>
      </c>
      <c r="J295" s="37" t="s">
        <v>60</v>
      </c>
      <c r="K295" s="35" t="s">
        <v>1548</v>
      </c>
      <c r="L295" s="46" t="s">
        <v>1548</v>
      </c>
      <c r="M295" s="46" t="s">
        <v>1869</v>
      </c>
      <c r="N295" s="46" t="s">
        <v>60</v>
      </c>
      <c r="O295" s="46" t="s">
        <v>2360</v>
      </c>
      <c r="P295" s="46" t="s">
        <v>2343</v>
      </c>
      <c r="Q295" s="46" t="s">
        <v>2267</v>
      </c>
      <c r="R295" s="46">
        <v>9999934588</v>
      </c>
      <c r="S295" s="47">
        <v>46132</v>
      </c>
      <c r="T295" s="46" t="s">
        <v>1990</v>
      </c>
      <c r="U295" s="48" t="s">
        <v>1620</v>
      </c>
      <c r="V295" s="48" t="s">
        <v>104</v>
      </c>
      <c r="W295" s="46" t="s">
        <v>60</v>
      </c>
      <c r="X295" s="46" t="s">
        <v>2671</v>
      </c>
      <c r="Y295" s="46" t="s">
        <v>60</v>
      </c>
      <c r="Z295" s="74" t="s">
        <v>1414</v>
      </c>
      <c r="AA295" s="10"/>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9037-6C4A-4C23-9F25-3AFCA3BC615D}">
  <sheetPr codeName="Sheet3"/>
  <dimension ref="A1:V295"/>
  <sheetViews>
    <sheetView workbookViewId="0">
      <pane ySplit="1" topLeftCell="A2" activePane="bottomLeft" state="frozen"/>
      <selection pane="bottomLeft" activeCell="I1" sqref="I1"/>
    </sheetView>
  </sheetViews>
  <sheetFormatPr defaultRowHeight="16.5" x14ac:dyDescent="0.3"/>
  <cols>
    <col min="1" max="1" width="6.42578125" bestFit="1" customWidth="1"/>
    <col min="2" max="2" width="12.42578125" bestFit="1" customWidth="1"/>
    <col min="3" max="3" width="7" bestFit="1" customWidth="1"/>
    <col min="4" max="4" width="5.42578125" bestFit="1" customWidth="1"/>
    <col min="5" max="5" width="17" bestFit="1" customWidth="1"/>
    <col min="6" max="6" width="14.5703125" bestFit="1" customWidth="1"/>
    <col min="7" max="7" width="28.42578125" hidden="1" customWidth="1"/>
    <col min="8" max="8" width="14.5703125" style="91" bestFit="1" customWidth="1"/>
    <col min="9" max="9" width="30.5703125" bestFit="1" customWidth="1"/>
    <col min="10" max="10" width="37.7109375" bestFit="1" customWidth="1"/>
    <col min="11" max="11" width="15.85546875" hidden="1" customWidth="1"/>
    <col min="12" max="12" width="27" hidden="1" customWidth="1"/>
    <col min="13" max="15" width="9.140625" hidden="1" customWidth="1"/>
    <col min="17" max="18" width="14.7109375" customWidth="1"/>
    <col min="19" max="20" width="20.7109375" style="83" customWidth="1"/>
    <col min="21" max="21" width="16.42578125" style="83" bestFit="1" customWidth="1"/>
    <col min="22" max="22" width="9.140625" style="83"/>
  </cols>
  <sheetData>
    <row r="1" spans="1:22" x14ac:dyDescent="0.3">
      <c r="A1" s="78" t="s">
        <v>0</v>
      </c>
      <c r="B1" s="78" t="s">
        <v>1</v>
      </c>
      <c r="C1" s="78" t="s">
        <v>1842</v>
      </c>
      <c r="D1" s="78" t="s">
        <v>3</v>
      </c>
      <c r="E1" s="78" t="s">
        <v>4</v>
      </c>
      <c r="F1" s="80" t="s">
        <v>5</v>
      </c>
      <c r="G1" s="94" t="s">
        <v>6</v>
      </c>
      <c r="H1" s="95" t="s">
        <v>3694</v>
      </c>
      <c r="I1" s="79" t="s">
        <v>1204</v>
      </c>
      <c r="J1" s="81" t="s">
        <v>35</v>
      </c>
      <c r="K1" s="82" t="s">
        <v>3407</v>
      </c>
      <c r="L1" s="82" t="s">
        <v>14</v>
      </c>
      <c r="M1" s="86" t="s">
        <v>1988</v>
      </c>
      <c r="N1" s="86" t="s">
        <v>1989</v>
      </c>
      <c r="O1" s="86" t="s">
        <v>2820</v>
      </c>
      <c r="P1" s="86" t="s">
        <v>3701</v>
      </c>
      <c r="Q1" s="86" t="s">
        <v>3216</v>
      </c>
      <c r="R1" s="87" t="s">
        <v>3217</v>
      </c>
      <c r="S1" s="85" t="s">
        <v>3421</v>
      </c>
      <c r="T1" s="85" t="s">
        <v>3423</v>
      </c>
      <c r="U1" s="85" t="s">
        <v>3424</v>
      </c>
      <c r="V1" s="85" t="s">
        <v>24</v>
      </c>
    </row>
    <row r="2" spans="1:22" x14ac:dyDescent="0.3">
      <c r="A2" s="1">
        <v>1</v>
      </c>
      <c r="B2" s="1">
        <v>66907</v>
      </c>
      <c r="C2" s="2">
        <v>66907</v>
      </c>
      <c r="D2" s="3" t="s">
        <v>103</v>
      </c>
      <c r="E2" s="3" t="s">
        <v>767</v>
      </c>
      <c r="F2" s="3" t="s">
        <v>768</v>
      </c>
      <c r="G2" s="88" t="s">
        <v>43</v>
      </c>
      <c r="H2" s="96">
        <v>1</v>
      </c>
      <c r="I2" s="3" t="s">
        <v>1709</v>
      </c>
      <c r="J2" s="7" t="s">
        <v>78</v>
      </c>
      <c r="K2" s="26" t="s">
        <v>3218</v>
      </c>
      <c r="L2" s="26" t="s">
        <v>826</v>
      </c>
      <c r="M2" s="86" t="s">
        <v>2821</v>
      </c>
      <c r="N2" s="86" t="s">
        <v>2822</v>
      </c>
      <c r="O2" s="86" t="s">
        <v>257</v>
      </c>
      <c r="P2" s="86" t="str">
        <f>VLOOKUP(I2,Schedule!H:AR,37,FALSE)</f>
        <v>NA</v>
      </c>
      <c r="Q2" s="86" t="s">
        <v>3288</v>
      </c>
      <c r="R2" s="86" t="str">
        <f>_xlfn.TEXTJOIN(",",TRUE,O2,N2,M2,"lonika.kotekar@yes.bank.in,shirajahmed.habib@yes.bank.in,Gaurav@kgac.in,AmanM@kgac.in,hariom@kgac.in")</f>
        <v>subhasis.banerjee@yes.bank.in,mdshabbir.alam@yes.bank.in,gautam.chowdhury@yes.bank.in,lonika.kotekar@yes.bank.in,shirajahmed.habib@yes.bank.in,Gaurav@kgac.in,AmanM@kgac.in,hariom@kgac.in</v>
      </c>
      <c r="S2" s="85" t="str">
        <f>_xlfn.CONCAT("Draft audit report of ",I2,"_Collection_",F2,"_April '26_ (Audit Period Jan'26 to Mar'26)")</f>
        <v>Draft audit report of Aba_Collection_Guwahati_April '26_ (Audit Period Jan'26 to Mar'26)</v>
      </c>
      <c r="T2" s="84" t="s">
        <v>3695</v>
      </c>
      <c r="U2" s="84" t="s">
        <v>3425</v>
      </c>
      <c r="V2" s="84"/>
    </row>
    <row r="3" spans="1:22" x14ac:dyDescent="0.3">
      <c r="A3" s="1">
        <v>3</v>
      </c>
      <c r="B3" s="1" t="s">
        <v>1847</v>
      </c>
      <c r="C3" s="2">
        <v>306987</v>
      </c>
      <c r="D3" s="3" t="s">
        <v>103</v>
      </c>
      <c r="E3" s="3" t="s">
        <v>767</v>
      </c>
      <c r="F3" s="3" t="s">
        <v>768</v>
      </c>
      <c r="G3" s="88" t="s">
        <v>43</v>
      </c>
      <c r="H3" s="96">
        <v>1</v>
      </c>
      <c r="I3" s="3" t="s">
        <v>1721</v>
      </c>
      <c r="J3" s="7" t="s">
        <v>78</v>
      </c>
      <c r="K3" s="26" t="s">
        <v>3219</v>
      </c>
      <c r="L3" s="26" t="s">
        <v>945</v>
      </c>
      <c r="M3" s="86" t="s">
        <v>2824</v>
      </c>
      <c r="N3" s="86" t="s">
        <v>2825</v>
      </c>
      <c r="O3" s="86" t="s">
        <v>257</v>
      </c>
      <c r="P3" s="86" t="str">
        <f>VLOOKUP(I3,Schedule!H:AR,37,FALSE)</f>
        <v>NA</v>
      </c>
      <c r="Q3" s="86" t="s">
        <v>3289</v>
      </c>
      <c r="R3" s="86" t="str">
        <f t="shared" ref="R3:R66" si="0">_xlfn.TEXTJOIN(",",TRUE,O3,N3,M3,"lonika.kotekar@yes.bank.in,shirajahmed.habib@yes.bank.in,Gaurav@kgac.in,AmanM@kgac.in,hariom@kgac.in")</f>
        <v>sekhar.mukharjee@yes.bank.in,mukesh.rawat2@yes.bank.in,sukhwant.singh2@yes.bank.in,nitumani.kalita@yes.bank.in,subhajit.bhowmik@yes.bank.in,vaibhav.mishra2@yes.bank.in,sidharth.rana@yes.bank.in,rupesh.singh1@yes.bank.in,nayanjyoti.deka@yes.bank.in,lonika.kotekar@yes.bank.in,shirajahmed.habib@yes.bank.in,Gaurav@kgac.in,AmanM@kgac.in,hariom@kgac.in</v>
      </c>
      <c r="S3" s="85" t="str">
        <f t="shared" ref="S3:S4" si="1">_xlfn.CONCAT("Draft audit report of ",I3,"_Collection_",F3,"_April '26_ (Audit Period Jan'26 to Mar'26)")</f>
        <v>Draft audit report of Gurseerat Legal Management Service_Collection_Guwahati_April '26_ (Audit Period Jan'26 to Mar'26)</v>
      </c>
      <c r="T3" s="84" t="str">
        <f t="shared" ref="T3:T66" si="2">_xlfn.CONCAT("Please find the attached ",S3)</f>
        <v>Please find the attached Draft audit report of Gurseerat Legal Management Service_Collection_Guwahati_April '26_ (Audit Period Jan'26 to Mar'26)</v>
      </c>
      <c r="U3" s="84" t="s">
        <v>3425</v>
      </c>
      <c r="V3" s="84"/>
    </row>
    <row r="4" spans="1:22" x14ac:dyDescent="0.3">
      <c r="A4" s="1">
        <v>4</v>
      </c>
      <c r="B4" s="1" t="s">
        <v>1844</v>
      </c>
      <c r="C4" s="2">
        <v>298994</v>
      </c>
      <c r="D4" s="3" t="s">
        <v>103</v>
      </c>
      <c r="E4" s="3" t="s">
        <v>767</v>
      </c>
      <c r="F4" s="3" t="s">
        <v>768</v>
      </c>
      <c r="G4" s="88" t="s">
        <v>43</v>
      </c>
      <c r="H4" s="96">
        <v>1</v>
      </c>
      <c r="I4" s="3" t="s">
        <v>1708</v>
      </c>
      <c r="J4" s="7" t="s">
        <v>78</v>
      </c>
      <c r="K4" s="26"/>
      <c r="L4" s="26" t="s">
        <v>770</v>
      </c>
      <c r="M4" s="86" t="s">
        <v>2826</v>
      </c>
      <c r="N4" s="86" t="s">
        <v>2827</v>
      </c>
      <c r="O4" s="86" t="s">
        <v>257</v>
      </c>
      <c r="P4" s="86" t="str">
        <f>VLOOKUP(I4,Schedule!H:AR,37,FALSE)</f>
        <v>NA</v>
      </c>
      <c r="Q4" s="86" t="s">
        <v>770</v>
      </c>
      <c r="R4" s="86" t="str">
        <f t="shared" si="0"/>
        <v>sekhar.mukharjee@yes.bank.in,ashutosh.gupta3@yes.bank.in,nayanjyoti.deka@yes.bank.in,rakesh.pathak@yes.bank.in,lonika.kotekar@yes.bank.in,shirajahmed.habib@yes.bank.in,Gaurav@kgac.in,AmanM@kgac.in,hariom@kgac.in</v>
      </c>
      <c r="S4" s="85" t="str">
        <f t="shared" si="1"/>
        <v>Draft audit report of Namanshee Associates_Collection_Guwahati_April '26_ (Audit Period Jan'26 to Mar'26)</v>
      </c>
      <c r="T4" s="84" t="str">
        <f t="shared" si="2"/>
        <v>Please find the attached Draft audit report of Namanshee Associates_Collection_Guwahati_April '26_ (Audit Period Jan'26 to Mar'26)</v>
      </c>
      <c r="U4" s="84" t="s">
        <v>3425</v>
      </c>
      <c r="V4" s="84"/>
    </row>
    <row r="5" spans="1:22" x14ac:dyDescent="0.3">
      <c r="A5" s="1">
        <v>5</v>
      </c>
      <c r="B5" s="1" t="s">
        <v>60</v>
      </c>
      <c r="C5" s="2">
        <v>327999</v>
      </c>
      <c r="D5" s="3" t="s">
        <v>103</v>
      </c>
      <c r="E5" s="3" t="s">
        <v>767</v>
      </c>
      <c r="F5" s="3" t="s">
        <v>768</v>
      </c>
      <c r="G5" s="88" t="s">
        <v>43</v>
      </c>
      <c r="H5" s="96">
        <v>1</v>
      </c>
      <c r="I5" s="3" t="s">
        <v>1058</v>
      </c>
      <c r="J5" s="7" t="s">
        <v>57</v>
      </c>
      <c r="K5" s="26" t="s">
        <v>3220</v>
      </c>
      <c r="L5" s="26" t="s">
        <v>1060</v>
      </c>
      <c r="M5" s="86" t="s">
        <v>2828</v>
      </c>
      <c r="N5" s="86" t="s">
        <v>2829</v>
      </c>
      <c r="O5" s="86" t="s">
        <v>2830</v>
      </c>
      <c r="P5" s="86" t="str">
        <f>VLOOKUP(I5,Schedule!H:AR,37,FALSE)</f>
        <v>NA</v>
      </c>
      <c r="Q5" s="86" t="s">
        <v>3290</v>
      </c>
      <c r="R5" s="86" t="str">
        <f t="shared" si="0"/>
        <v>ashutosh.gupta3@yes.bank.in,ashutosh.gupta3@yes.bank.in,biswarup.ghosh@yes.bank.in,sekhar.mukharjee@yes.bank.in,subhasis.banerjee@yes.bank.in,gitartha.sarma@yes.bank.in,roshmi.wary@yes.bank.in,nitumani.kalita@yes.bank.in,rakesh.pathak@yes.bank.in,nayanjyoti.deka@yes.bank.in,lonika.kotekar@yes.bank.in,shirajahmed.habib@yes.bank.in,Gaurav@kgac.in,AmanM@kgac.in,hariom@kgac.in</v>
      </c>
      <c r="S5" s="85" t="str">
        <f>_xlfn.CONCAT("Draft audit report of ",I5,"_Collection &amp; Repossession_",F5,"_April '26_ (Audit Period Jan'26 to Mar'26)")</f>
        <v>Draft audit report of Uttaran_Collection &amp; Repossession_Guwahati_April '26_ (Audit Period Jan'26 to Mar'26)</v>
      </c>
      <c r="T5" s="84" t="str">
        <f t="shared" si="2"/>
        <v>Please find the attached Draft audit report of Uttaran_Collection &amp; Repossession_Guwahati_April '26_ (Audit Period Jan'26 to Mar'26)</v>
      </c>
      <c r="U5" s="84" t="s">
        <v>1994</v>
      </c>
      <c r="V5" s="84" t="s">
        <v>3693</v>
      </c>
    </row>
    <row r="6" spans="1:22" x14ac:dyDescent="0.3">
      <c r="A6" s="1">
        <v>7</v>
      </c>
      <c r="B6" s="1" t="s">
        <v>311</v>
      </c>
      <c r="C6" s="2">
        <v>25557</v>
      </c>
      <c r="D6" s="3" t="s">
        <v>103</v>
      </c>
      <c r="E6" s="3" t="s">
        <v>968</v>
      </c>
      <c r="F6" s="3" t="s">
        <v>414</v>
      </c>
      <c r="G6" s="88" t="s">
        <v>43</v>
      </c>
      <c r="H6" s="96">
        <v>2</v>
      </c>
      <c r="I6" s="3" t="s">
        <v>1937</v>
      </c>
      <c r="J6" s="7" t="s">
        <v>78</v>
      </c>
      <c r="K6" s="26" t="s">
        <v>3221</v>
      </c>
      <c r="L6" s="26" t="s">
        <v>318</v>
      </c>
      <c r="M6" s="86" t="s">
        <v>2831</v>
      </c>
      <c r="N6" s="86" t="s">
        <v>2832</v>
      </c>
      <c r="O6" s="86" t="s">
        <v>2833</v>
      </c>
      <c r="P6" s="86" t="str">
        <f>VLOOKUP(I6,Schedule!H:AR,37,FALSE)</f>
        <v>Audited for Collection Only, as no activity of repossession are done for the audit quarter</v>
      </c>
      <c r="Q6" s="86" t="s">
        <v>3291</v>
      </c>
      <c r="R6" s="86" t="str">
        <f t="shared" si="0"/>
        <v>manikandan.g4@yes.bank.in,sekhar.mukharjee@yes.bank.in,manikandan.g4@yes.bank.in,subhasis.banerjee@yes.bank.in,biswarup.ghosh@yes.bank.in,mdshabbir.alam@yes.bank.in,krishnendu.sarder@yes.bank.in,saisab.mallick@yes.bank.in,imran.elahi@yes.bank.in,priyanka.mondal@yes.bank.in,ritam.basak@yes.bank.in,deepak.singh39@yes.bank.in,suryanarayan.nayak@yes.bank.in,arindam.sarkar2@yes.bank.in,tarkeshwar.singh@yes.bank.in,nishant.kumar16@yes.bank.in,rajkumar.hazra@yes.bank.in,abhisek.bose@yes.bank.in,ossam.aditya@yes.bank.in,soumitra.ghosh1@yes.bank.in,monawwar.alam1@yes.bank.in,lonika.kotekar@yes.bank.in,shirajahmed.habib@yes.bank.in,Gaurav@kgac.in,AmanM@kgac.in,hariom@kgac.in</v>
      </c>
      <c r="S6" s="85" t="str">
        <f>_xlfn.CONCAT("Draft audit report of ","Aim Corporate","_Collection_","Patna, Kolkata","_April '26_ (Audit Period Jan'26 to Mar'26)")</f>
        <v>Draft audit report of Aim Corporate_Collection_Patna, Kolkata_April '26_ (Audit Period Jan'26 to Mar'26)</v>
      </c>
      <c r="T6" s="84" t="str">
        <f t="shared" si="2"/>
        <v>Please find the attached Draft audit report of Aim Corporate_Collection_Patna, Kolkata_April '26_ (Audit Period Jan'26 to Mar'26)</v>
      </c>
      <c r="U6" s="84" t="s">
        <v>1994</v>
      </c>
      <c r="V6" s="84" t="s">
        <v>3693</v>
      </c>
    </row>
    <row r="7" spans="1:22" x14ac:dyDescent="0.3">
      <c r="A7" s="1">
        <v>8</v>
      </c>
      <c r="B7" s="1" t="s">
        <v>60</v>
      </c>
      <c r="C7" s="2">
        <v>313004</v>
      </c>
      <c r="D7" s="3" t="s">
        <v>103</v>
      </c>
      <c r="E7" s="3" t="s">
        <v>1621</v>
      </c>
      <c r="F7" s="3" t="s">
        <v>342</v>
      </c>
      <c r="G7" s="88" t="s">
        <v>43</v>
      </c>
      <c r="H7" s="96">
        <v>1</v>
      </c>
      <c r="I7" s="3" t="s">
        <v>1043</v>
      </c>
      <c r="J7" s="7" t="s">
        <v>57</v>
      </c>
      <c r="K7" s="26" t="s">
        <v>3222</v>
      </c>
      <c r="L7" s="26" t="s">
        <v>1044</v>
      </c>
      <c r="M7" s="86" t="s">
        <v>2834</v>
      </c>
      <c r="N7" s="86" t="s">
        <v>2835</v>
      </c>
      <c r="O7" s="86" t="s">
        <v>257</v>
      </c>
      <c r="P7" s="86" t="str">
        <f>VLOOKUP(I7,Schedule!H:AR,37,FALSE)</f>
        <v>Audited for collection and Repossessoin, as agency have repo of assest in the audit quarter</v>
      </c>
      <c r="Q7" s="86" t="s">
        <v>3292</v>
      </c>
      <c r="R7" s="86" t="str">
        <f t="shared" si="0"/>
        <v>sekhar.mukharjee@yes.bank.in,saurabh.chaturvedi2@yes.bank.in,biswarup.ghosh@yes.bank.in,mdshabbir.alam@yes.bank.in,nikhil.pachouri@yes.bank.in,bikram.chakraborty@yes.bank.in,vikram.upadhyay@yes.bank.in,rizwan.quraishi@yes.bank.in,avtar.singh9@yes.bank.in,sudarshan.maddu@yes.bank.in,manoj.kumar96@yes.bank.in,anindh.dubey@yes.bank.in,lonika.kotekar@yes.bank.in,shirajahmed.habib@yes.bank.in,Gaurav@kgac.in,AmanM@kgac.in,hariom@kgac.in</v>
      </c>
      <c r="S7" s="85" t="str">
        <f>_xlfn.CONCAT("Draft audit report of ",I7,"_Collection &amp; Repossession_",F7,"_April '26_ (Audit Period Jan'26 to Mar'26)")</f>
        <v>Draft audit report of Anurag Agency_Collection &amp; Repossession_Raipur_April '26_ (Audit Period Jan'26 to Mar'26)</v>
      </c>
      <c r="T7" s="84" t="str">
        <f t="shared" si="2"/>
        <v>Please find the attached Draft audit report of Anurag Agency_Collection &amp; Repossession_Raipur_April '26_ (Audit Period Jan'26 to Mar'26)</v>
      </c>
      <c r="U7" s="84" t="s">
        <v>1994</v>
      </c>
      <c r="V7" s="84" t="s">
        <v>3693</v>
      </c>
    </row>
    <row r="8" spans="1:22" x14ac:dyDescent="0.3">
      <c r="A8" s="1">
        <v>9</v>
      </c>
      <c r="B8" s="1" t="s">
        <v>438</v>
      </c>
      <c r="C8" s="2">
        <v>26489</v>
      </c>
      <c r="D8" s="3" t="s">
        <v>103</v>
      </c>
      <c r="E8" s="3" t="s">
        <v>1621</v>
      </c>
      <c r="F8" s="3" t="s">
        <v>342</v>
      </c>
      <c r="G8" s="88" t="s">
        <v>43</v>
      </c>
      <c r="H8" s="96">
        <v>1</v>
      </c>
      <c r="I8" s="3" t="s">
        <v>439</v>
      </c>
      <c r="J8" s="7" t="s">
        <v>57</v>
      </c>
      <c r="K8" s="26" t="s">
        <v>3223</v>
      </c>
      <c r="L8" s="26" t="s">
        <v>445</v>
      </c>
      <c r="M8" s="86" t="s">
        <v>2836</v>
      </c>
      <c r="N8" s="86" t="s">
        <v>2837</v>
      </c>
      <c r="O8" s="86" t="s">
        <v>257</v>
      </c>
      <c r="P8" s="86" t="str">
        <f>VLOOKUP(I8,Schedule!H:AR,37,FALSE)</f>
        <v>NA</v>
      </c>
      <c r="Q8" s="86" t="s">
        <v>3293</v>
      </c>
      <c r="R8" s="86" t="str">
        <f t="shared" si="0"/>
        <v>sekhar.mukharjee@yes.bank.in,amar.gupte@yes.bank.in,subhasis.banerjee@yes.bank.in,biswarup.ghosh@yes.bank.in,saurabh.chaturvedi2@yes.bank.in,mdshabbir.alam@yes.bank.in,ashutosh.gupta3@yes.bank.in,vikram.upadhyay@yes.bank.in,lokesh.vadaskar@yes.bank.in,avtar.singh9@yes.bank.in,manoj.kumar96@yes.bank.in,sudarshan.maddu@yes.bank.in,rizwan.quraishi@yes.bank.in,manoj.kumar56@yes.bank.in,nikunj.mohod1@yes.bank.in,lonika.kotekar@yes.bank.in,shirajahmed.habib@yes.bank.in,Gaurav@kgac.in,AmanM@kgac.in,hariom@kgac.in</v>
      </c>
      <c r="S8" s="85" t="str">
        <f>_xlfn.CONCAT("Draft audit report of ",I8,"_Collection &amp; Repossession_",F8,"_April '26_ (Audit Period Jan'26 to Mar'26)")</f>
        <v>Draft audit report of Infinity Services_Collection &amp; Repossession_Raipur_April '26_ (Audit Period Jan'26 to Mar'26)</v>
      </c>
      <c r="T8" s="84" t="str">
        <f t="shared" si="2"/>
        <v>Please find the attached Draft audit report of Infinity Services_Collection &amp; Repossession_Raipur_April '26_ (Audit Period Jan'26 to Mar'26)</v>
      </c>
      <c r="U8" s="84" t="s">
        <v>1994</v>
      </c>
      <c r="V8" s="84" t="s">
        <v>3693</v>
      </c>
    </row>
    <row r="9" spans="1:22" x14ac:dyDescent="0.3">
      <c r="A9" s="1">
        <v>10</v>
      </c>
      <c r="B9" s="1" t="s">
        <v>1848</v>
      </c>
      <c r="C9" s="2">
        <v>307991</v>
      </c>
      <c r="D9" s="3" t="s">
        <v>40</v>
      </c>
      <c r="E9" s="3" t="s">
        <v>129</v>
      </c>
      <c r="F9" s="3" t="s">
        <v>129</v>
      </c>
      <c r="G9" s="88" t="s">
        <v>43</v>
      </c>
      <c r="H9" s="96">
        <v>1</v>
      </c>
      <c r="I9" s="3" t="s">
        <v>1724</v>
      </c>
      <c r="J9" s="7" t="s">
        <v>78</v>
      </c>
      <c r="K9" s="26" t="s">
        <v>3224</v>
      </c>
      <c r="L9" s="26" t="s">
        <v>960</v>
      </c>
      <c r="M9" s="86" t="s">
        <v>2838</v>
      </c>
      <c r="N9" s="86" t="s">
        <v>2839</v>
      </c>
      <c r="O9" s="86" t="s">
        <v>257</v>
      </c>
      <c r="P9" s="86" t="str">
        <f>VLOOKUP(I9,Schedule!H:AR,37,FALSE)</f>
        <v>NA</v>
      </c>
      <c r="Q9" s="86" t="s">
        <v>3294</v>
      </c>
      <c r="R9" s="86" t="str">
        <f t="shared" si="0"/>
        <v>sanjeev.kumar30@yes.bank.in,sameer.dhar@yes.bank.in,narinder.singh3@yes.bank.in,sushim.kumar@yes.bank.in,manpreet.singh29@yes.bank.in,SyedMohd.Raza@yes.bank.in,navdeep.rastogi@yes.bank.in,lonika.kotekar@yes.bank.in,shirajahmed.habib@yes.bank.in,Gaurav@kgac.in,AmanM@kgac.in,hariom@kgac.in</v>
      </c>
      <c r="S9" s="85" t="str">
        <f>_xlfn.CONCAT("Draft audit report of ",I9,"_Collection_",F9,"_April '26_ (Audit Period Jan'26 to Mar'26)")</f>
        <v>Draft audit report of Ambitious Enterprises_Collection_Delhi_April '26_ (Audit Period Jan'26 to Mar'26)</v>
      </c>
      <c r="T9" s="84" t="str">
        <f t="shared" si="2"/>
        <v>Please find the attached Draft audit report of Ambitious Enterprises_Collection_Delhi_April '26_ (Audit Period Jan'26 to Mar'26)</v>
      </c>
      <c r="U9" s="84" t="s">
        <v>2253</v>
      </c>
      <c r="V9" s="84"/>
    </row>
    <row r="10" spans="1:22" x14ac:dyDescent="0.3">
      <c r="A10" s="1">
        <v>11</v>
      </c>
      <c r="B10" s="1" t="s">
        <v>428</v>
      </c>
      <c r="C10" s="2">
        <v>26323</v>
      </c>
      <c r="D10" s="3" t="s">
        <v>40</v>
      </c>
      <c r="E10" s="3" t="s">
        <v>129</v>
      </c>
      <c r="F10" s="3" t="s">
        <v>129</v>
      </c>
      <c r="G10" s="88" t="s">
        <v>43</v>
      </c>
      <c r="H10" s="96">
        <v>1</v>
      </c>
      <c r="I10" s="3" t="s">
        <v>429</v>
      </c>
      <c r="J10" s="7" t="s">
        <v>57</v>
      </c>
      <c r="K10" s="26" t="s">
        <v>3225</v>
      </c>
      <c r="L10" s="26" t="s">
        <v>435</v>
      </c>
      <c r="M10" s="86" t="s">
        <v>2840</v>
      </c>
      <c r="N10" s="86" t="s">
        <v>2841</v>
      </c>
      <c r="O10" s="86" t="s">
        <v>257</v>
      </c>
      <c r="P10" s="86" t="str">
        <f>VLOOKUP(I10,Schedule!H:AR,37,FALSE)</f>
        <v>NA</v>
      </c>
      <c r="Q10" s="86" t="s">
        <v>3295</v>
      </c>
      <c r="R10" s="86" t="str">
        <f t="shared" si="0"/>
        <v>sumit.narang@yes.bank.in,sukhwant.singh2@yes.bank.in,sanjeev.kumar30@yes.bank.in,rittin.arya@yes.bank.in,kushpal.singh@yes.bank.in,sushim.kumar@yes.bank.in,sukhwinder.singh18@yes.bank.in,ram.shankar@yes.bank.in,sandeep.tyagi@yes.bank.in,pawan.kumar62@yes.bank.in,lonika.kotekar@yes.bank.in,shirajahmed.habib@yes.bank.in,Gaurav@kgac.in,AmanM@kgac.in,hariom@kgac.in</v>
      </c>
      <c r="S10" s="85" t="str">
        <f>_xlfn.CONCAT("Draft audit report of ",I10,"_Collection &amp; Repossession_",F10,"_April '26_ (Audit Period Jan'26 to Mar'26)")</f>
        <v>Draft audit report of Delta Services_Collection &amp; Repossession_Delhi_April '26_ (Audit Period Jan'26 to Mar'26)</v>
      </c>
      <c r="T10" s="84" t="str">
        <f t="shared" si="2"/>
        <v>Please find the attached Draft audit report of Delta Services_Collection &amp; Repossession_Delhi_April '26_ (Audit Period Jan'26 to Mar'26)</v>
      </c>
      <c r="U10" s="84" t="s">
        <v>1994</v>
      </c>
      <c r="V10" s="84" t="s">
        <v>3693</v>
      </c>
    </row>
    <row r="11" spans="1:22" x14ac:dyDescent="0.3">
      <c r="A11" s="1">
        <v>12</v>
      </c>
      <c r="B11" s="1" t="s">
        <v>560</v>
      </c>
      <c r="C11" s="2">
        <v>26364</v>
      </c>
      <c r="D11" s="3" t="s">
        <v>40</v>
      </c>
      <c r="E11" s="3" t="s">
        <v>129</v>
      </c>
      <c r="F11" s="3" t="s">
        <v>129</v>
      </c>
      <c r="G11" s="88" t="s">
        <v>43</v>
      </c>
      <c r="H11" s="96">
        <v>1</v>
      </c>
      <c r="I11" s="3" t="s">
        <v>561</v>
      </c>
      <c r="J11" s="7" t="s">
        <v>78</v>
      </c>
      <c r="K11" s="26" t="s">
        <v>566</v>
      </c>
      <c r="L11" s="26" t="s">
        <v>566</v>
      </c>
      <c r="M11" s="86" t="s">
        <v>2842</v>
      </c>
      <c r="N11" s="86" t="s">
        <v>2843</v>
      </c>
      <c r="O11" s="86" t="s">
        <v>2844</v>
      </c>
      <c r="P11" s="86" t="str">
        <f>VLOOKUP(I11,Schedule!H:AR,37,FALSE)</f>
        <v>NA</v>
      </c>
      <c r="Q11" s="86" t="s">
        <v>3296</v>
      </c>
      <c r="R11" s="86" t="str">
        <f t="shared" si="0"/>
        <v>sandeep.mehta3@yes.bank.in,mukesh.rawat2@yes.bank.in,kumar.sambhav@yes.bank.in,sukhwant.singh2@yes.bank.in,sekhar.mukharjee@yes.bank.in,ashutosh.gupta3@yes.bank.in,nitin.kumar30@yes.bank.in,amit.kumar183@yes.bank.in,sidharth.rana@yes.bank.in,rupesh.singh1@yes.bank.in,vikash.kumar40@yes.bank.in,sukhwinder.singh18@yes.bank.in,mritunjay.munna@yes.bank.in,vishal.gupta15@yes.bank.in,sukhwant.singh2@yes.bank.in,lonika.kotekar@yes.bank.in,shirajahmed.habib@yes.bank.in,Gaurav@kgac.in,AmanM@kgac.in,hariom@kgac.in</v>
      </c>
      <c r="S11" s="85" t="str">
        <f>_xlfn.CONCAT("Draft audit report of ",I11,"_Collection_",F11,"_April '26_ (Audit Period Jan'26 to Mar'26)")</f>
        <v>Draft audit report of Earth Services_Collection_Delhi_April '26_ (Audit Period Jan'26 to Mar'26)</v>
      </c>
      <c r="T11" s="84" t="str">
        <f t="shared" si="2"/>
        <v>Please find the attached Draft audit report of Earth Services_Collection_Delhi_April '26_ (Audit Period Jan'26 to Mar'26)</v>
      </c>
      <c r="U11" s="84" t="s">
        <v>2253</v>
      </c>
      <c r="V11" s="84"/>
    </row>
    <row r="12" spans="1:22" x14ac:dyDescent="0.3">
      <c r="A12" s="1">
        <v>13</v>
      </c>
      <c r="B12" s="1" t="s">
        <v>403</v>
      </c>
      <c r="C12" s="2">
        <v>26490</v>
      </c>
      <c r="D12" s="3" t="s">
        <v>40</v>
      </c>
      <c r="E12" s="3" t="s">
        <v>129</v>
      </c>
      <c r="F12" s="3" t="s">
        <v>129</v>
      </c>
      <c r="G12" s="88" t="s">
        <v>43</v>
      </c>
      <c r="H12" s="96">
        <v>1</v>
      </c>
      <c r="I12" s="3" t="s">
        <v>1949</v>
      </c>
      <c r="J12" s="7" t="s">
        <v>57</v>
      </c>
      <c r="K12" s="4" t="s">
        <v>3226</v>
      </c>
      <c r="L12" s="4" t="s">
        <v>409</v>
      </c>
      <c r="M12" s="86" t="s">
        <v>2845</v>
      </c>
      <c r="N12" s="86" t="s">
        <v>2846</v>
      </c>
      <c r="O12" s="86" t="s">
        <v>2847</v>
      </c>
      <c r="P12" s="86" t="str">
        <f>VLOOKUP(I12,Schedule!H:AR,37,FALSE)</f>
        <v>NA</v>
      </c>
      <c r="Q12" s="86" t="s">
        <v>3297</v>
      </c>
      <c r="R12" s="86" t="str">
        <f t="shared" si="0"/>
        <v>sandeep.mehta3@yes.bank.in,ashutosh.gupta3@yes.bank.in,sameer.dhar@yes.bank.in,sukhwant.singh2@yes.bank.in,upanshu.bajaj@yes.bank.in,sanjeev.kumar30@yes.bank.in,ashutosh.gupta3@yes.bank.in,krishan.saini@yes.bank.in,navdeep.rastogi@yes.bank.in,SyedMohd.Raza@yes.bank.in,ram.shankar@yes.bank.in,sidharth.rana@yes.bank.in,ritesh.chourasia@yes.bank.in,bhavana.rajput@yes.bank.in,anilkumar.nandal@yes.bank.in,ekta.rani1@yes.bank.in,pawan.kumar62@yes.bank.in,vaibhav.mishra2@yes.bank.in,kushpal.singh@yes.bank.in,mohit.rathore2@yes.bank.in,lonika.kotekar@yes.bank.in,shirajahmed.habib@yes.bank.in,Gaurav@kgac.in,AmanM@kgac.in,hariom@kgac.in</v>
      </c>
      <c r="S12" s="85" t="str">
        <f>_xlfn.CONCAT("Draft audit report of ",I12,"_Collection &amp; Repossession_",F12,"_April '26_ (Audit Period Jan'26 to Mar'26)")</f>
        <v>Draft audit report of G.D.M. Management Services Pvt Ltd - Delhi_Collection &amp; Repossession_Delhi_April '26_ (Audit Period Jan'26 to Mar'26)</v>
      </c>
      <c r="T12" s="84" t="str">
        <f t="shared" si="2"/>
        <v>Please find the attached Draft audit report of G.D.M. Management Services Pvt Ltd - Delhi_Collection &amp; Repossession_Delhi_April '26_ (Audit Period Jan'26 to Mar'26)</v>
      </c>
      <c r="U12" s="84" t="s">
        <v>1994</v>
      </c>
      <c r="V12" s="84" t="s">
        <v>3693</v>
      </c>
    </row>
    <row r="13" spans="1:22" x14ac:dyDescent="0.3">
      <c r="A13" s="1">
        <v>14</v>
      </c>
      <c r="B13" s="1" t="s">
        <v>60</v>
      </c>
      <c r="C13" s="2">
        <v>282016</v>
      </c>
      <c r="D13" s="3" t="s">
        <v>40</v>
      </c>
      <c r="E13" s="3" t="s">
        <v>129</v>
      </c>
      <c r="F13" s="3" t="s">
        <v>129</v>
      </c>
      <c r="G13" s="88" t="s">
        <v>43</v>
      </c>
      <c r="H13" s="96">
        <v>2</v>
      </c>
      <c r="I13" s="3" t="s">
        <v>1953</v>
      </c>
      <c r="J13" s="7" t="s">
        <v>78</v>
      </c>
      <c r="K13" s="28" t="s">
        <v>3227</v>
      </c>
      <c r="L13" s="28" t="s">
        <v>891</v>
      </c>
      <c r="M13" s="86" t="s">
        <v>2848</v>
      </c>
      <c r="N13" s="86" t="s">
        <v>2849</v>
      </c>
      <c r="O13" s="86" t="s">
        <v>2850</v>
      </c>
      <c r="P13" s="86" t="str">
        <f>VLOOKUP(I13,Schedule!H:AR,37,FALSE)</f>
        <v>NA</v>
      </c>
      <c r="Q13" s="92" t="s">
        <v>891</v>
      </c>
      <c r="R13" s="86" t="str">
        <f t="shared" si="0"/>
        <v>sandeep.mehta3@yes.bank.in,avinash.kumar17@yes.bank.in,upanshu.bajaj@yes.bank.in,avinash.kumar17@yes.bank.in,kumar.sambhav@yes.bank.in,sukhwant.singh2@yes.bank.in,ravi.singh19@yes.bank.in,dheerendra.singh2@yes.bank.in,manoj.kumar56@yes.bank.in,vaibhav.mishra2@yes.bank.in,kunwar.kumarsingh@yes.bank.in,lonika.kotekar@yes.bank.in,shirajahmed.habib@yes.bank.in,Gaurav@kgac.in,AmanM@kgac.in,hariom@kgac.in</v>
      </c>
      <c r="S13" s="85" t="str">
        <f>_xlfn.CONCAT("Draft audit report of ","Global Services","_Collection_","Delhi, Allahabad","_April '26_ (Audit Period Jan'26 to Mar'26)")</f>
        <v>Draft audit report of Global Services_Collection_Delhi, Allahabad_April '26_ (Audit Period Jan'26 to Mar'26)</v>
      </c>
      <c r="T13" s="84" t="str">
        <f t="shared" si="2"/>
        <v>Please find the attached Draft audit report of Global Services_Collection_Delhi, Allahabad_April '26_ (Audit Period Jan'26 to Mar'26)</v>
      </c>
      <c r="U13" s="84" t="s">
        <v>1994</v>
      </c>
      <c r="V13" s="84" t="s">
        <v>3693</v>
      </c>
    </row>
    <row r="14" spans="1:22" x14ac:dyDescent="0.3">
      <c r="A14" s="1">
        <v>15</v>
      </c>
      <c r="B14" s="1" t="s">
        <v>128</v>
      </c>
      <c r="C14" s="2">
        <v>26166</v>
      </c>
      <c r="D14" s="3" t="s">
        <v>40</v>
      </c>
      <c r="E14" s="3" t="s">
        <v>129</v>
      </c>
      <c r="F14" s="3" t="s">
        <v>129</v>
      </c>
      <c r="G14" s="88" t="s">
        <v>43</v>
      </c>
      <c r="H14" s="96">
        <v>1</v>
      </c>
      <c r="I14" s="3" t="s">
        <v>130</v>
      </c>
      <c r="J14" s="7" t="s">
        <v>78</v>
      </c>
      <c r="K14" s="26" t="s">
        <v>3211</v>
      </c>
      <c r="L14" s="26" t="s">
        <v>136</v>
      </c>
      <c r="M14" s="86" t="s">
        <v>2851</v>
      </c>
      <c r="N14" s="86" t="s">
        <v>2852</v>
      </c>
      <c r="O14" s="86" t="s">
        <v>2853</v>
      </c>
      <c r="P14" s="86" t="str">
        <f>VLOOKUP(I14,Schedule!H:AR,37,FALSE)</f>
        <v>NA</v>
      </c>
      <c r="Q14" s="86" t="s">
        <v>3298</v>
      </c>
      <c r="R14" s="86" t="str">
        <f t="shared" si="0"/>
        <v>avinash.kumar17@yes.bank.in,sumit.narang@yes.bank.in,mukesh.rawat2@yes.bank.in,avinash.kumar17@yes.bank.in,sameer.dhar@yes.bank.in,abhinav.lal2@yes.bank.in,gaurav.mishra5@yes.bank.in,nitin.kumar30@yes.bank.in,kunwar.kumarsingh@yes.bank.in,sumit.kumar78@yes.bank.in,priyanka.gupta15@yes.bank.in,dheerendra.singh2@yes.bank.in,ravi.parkash1@yes.bank.in,rahul.sharma57@yes.bank.in,gopal.khatri@yes.bank.in,sandeep.tyagi@yes.bank.in,md.faizullah@yes.bank.in,vishal.gupta15@yes.bank.in,rittin.arya@yes.bank.in,sushant.parashar@yes.bank.in,lonika.kotekar@yes.bank.in,shirajahmed.habib@yes.bank.in,Gaurav@kgac.in,AmanM@kgac.in,hariom@kgac.in</v>
      </c>
      <c r="S14" s="85" t="str">
        <f t="shared" ref="S14" si="3">_xlfn.CONCAT("Draft audit report of ",I14,"_Collection_",F14,"_April '26_ (Audit Period Jan'26 to Mar'26)")</f>
        <v>Draft audit report of Management Services_Collection_Delhi_April '26_ (Audit Period Jan'26 to Mar'26)</v>
      </c>
      <c r="T14" s="84" t="str">
        <f t="shared" si="2"/>
        <v>Please find the attached Draft audit report of Management Services_Collection_Delhi_April '26_ (Audit Period Jan'26 to Mar'26)</v>
      </c>
      <c r="U14" s="84" t="s">
        <v>2253</v>
      </c>
      <c r="V14" s="84"/>
    </row>
    <row r="15" spans="1:22" x14ac:dyDescent="0.3">
      <c r="A15" s="1">
        <v>16</v>
      </c>
      <c r="B15" s="1" t="s">
        <v>60</v>
      </c>
      <c r="C15" s="2">
        <v>149914</v>
      </c>
      <c r="D15" s="3" t="s">
        <v>40</v>
      </c>
      <c r="E15" s="3" t="s">
        <v>129</v>
      </c>
      <c r="F15" s="3" t="s">
        <v>129</v>
      </c>
      <c r="G15" s="88" t="s">
        <v>43</v>
      </c>
      <c r="H15" s="96">
        <v>1</v>
      </c>
      <c r="I15" s="3" t="s">
        <v>846</v>
      </c>
      <c r="J15" s="7" t="s">
        <v>57</v>
      </c>
      <c r="K15" s="26" t="s">
        <v>3228</v>
      </c>
      <c r="L15" s="26" t="s">
        <v>849</v>
      </c>
      <c r="M15" s="86" t="s">
        <v>2854</v>
      </c>
      <c r="N15" s="86" t="s">
        <v>2855</v>
      </c>
      <c r="O15" s="86" t="s">
        <v>257</v>
      </c>
      <c r="P15" s="86" t="str">
        <f>VLOOKUP(I15,Schedule!H:AR,37,FALSE)</f>
        <v>NA</v>
      </c>
      <c r="Q15" s="86" t="s">
        <v>3299</v>
      </c>
      <c r="R15" s="86" t="str">
        <f t="shared" si="0"/>
        <v>sameer.dhar@yes.bank.in,mukesh.rawat2@yes.bank.in,sanjeev.kumar30@yes.bank.in,manpreet.singh29@yes.bank.in,vishal.gupta15@yes.bank.in,narinder.singh3@yes.bank.in,lonika.kotekar@yes.bank.in,shirajahmed.habib@yes.bank.in,Gaurav@kgac.in,AmanM@kgac.in,hariom@kgac.in</v>
      </c>
      <c r="S15" s="85" t="str">
        <f>_xlfn.CONCAT("Draft audit report of ",I15,"_Collection &amp; Repossession_",F15,"_April '26_ (Audit Period Jan'26 to Mar'26)")</f>
        <v>Draft audit report of Paradigm Nine Inc_Collection &amp; Repossession_Delhi_April '26_ (Audit Period Jan'26 to Mar'26)</v>
      </c>
      <c r="T15" s="84" t="str">
        <f t="shared" si="2"/>
        <v>Please find the attached Draft audit report of Paradigm Nine Inc_Collection &amp; Repossession_Delhi_April '26_ (Audit Period Jan'26 to Mar'26)</v>
      </c>
      <c r="U15" s="84" t="s">
        <v>1994</v>
      </c>
      <c r="V15" s="84" t="s">
        <v>3693</v>
      </c>
    </row>
    <row r="16" spans="1:22" s="9" customFormat="1" x14ac:dyDescent="0.3">
      <c r="A16" s="1">
        <v>17</v>
      </c>
      <c r="B16" s="1" t="s">
        <v>609</v>
      </c>
      <c r="C16" s="2">
        <v>12698</v>
      </c>
      <c r="D16" s="3" t="s">
        <v>40</v>
      </c>
      <c r="E16" s="3" t="s">
        <v>129</v>
      </c>
      <c r="F16" s="3" t="s">
        <v>129</v>
      </c>
      <c r="G16" s="88" t="s">
        <v>43</v>
      </c>
      <c r="H16" s="96">
        <v>1</v>
      </c>
      <c r="I16" s="3" t="s">
        <v>1699</v>
      </c>
      <c r="J16" s="7" t="s">
        <v>78</v>
      </c>
      <c r="K16" s="26" t="s">
        <v>3229</v>
      </c>
      <c r="L16" s="26" t="s">
        <v>614</v>
      </c>
      <c r="M16" s="86" t="s">
        <v>2856</v>
      </c>
      <c r="N16" s="86" t="s">
        <v>2857</v>
      </c>
      <c r="O16" s="86" t="s">
        <v>257</v>
      </c>
      <c r="P16" s="86" t="str">
        <f>VLOOKUP(I16,Schedule!H:AR,37,FALSE)</f>
        <v>NA</v>
      </c>
      <c r="Q16" s="86" t="s">
        <v>3300</v>
      </c>
      <c r="R16" s="86" t="str">
        <f t="shared" si="0"/>
        <v>mukesh.rawat2@yes.bank.in,subhajit.bhowmik@yes.bank.in,lonika.kotekar@yes.bank.in,shirajahmed.habib@yes.bank.in,Gaurav@kgac.in,AmanM@kgac.in,hariom@kgac.in</v>
      </c>
      <c r="S16" s="85" t="str">
        <f>_xlfn.CONCAT("Draft audit report of ",I16,"_Collection_",F16,"_April '26_ (Audit Period Jan'26 to Mar'26)")</f>
        <v>Draft audit report of Rel Connect Llp_Collection_Delhi_April '26_ (Audit Period Jan'26 to Mar'26)</v>
      </c>
      <c r="T16" s="84" t="str">
        <f t="shared" si="2"/>
        <v>Please find the attached Draft audit report of Rel Connect Llp_Collection_Delhi_April '26_ (Audit Period Jan'26 to Mar'26)</v>
      </c>
      <c r="U16" s="84" t="s">
        <v>2253</v>
      </c>
      <c r="V16" s="97"/>
    </row>
    <row r="17" spans="1:22" x14ac:dyDescent="0.3">
      <c r="A17" s="1">
        <v>18</v>
      </c>
      <c r="B17" s="1" t="s">
        <v>743</v>
      </c>
      <c r="C17" s="2">
        <v>54442</v>
      </c>
      <c r="D17" s="3" t="s">
        <v>40</v>
      </c>
      <c r="E17" s="3" t="s">
        <v>129</v>
      </c>
      <c r="F17" s="3" t="s">
        <v>129</v>
      </c>
      <c r="G17" s="88" t="s">
        <v>43</v>
      </c>
      <c r="H17" s="96">
        <v>1</v>
      </c>
      <c r="I17" s="3" t="s">
        <v>1706</v>
      </c>
      <c r="J17" s="7" t="s">
        <v>57</v>
      </c>
      <c r="K17" s="26" t="s">
        <v>3230</v>
      </c>
      <c r="L17" s="26" t="s">
        <v>747</v>
      </c>
      <c r="M17" s="86" t="s">
        <v>2858</v>
      </c>
      <c r="N17" s="86" t="s">
        <v>2859</v>
      </c>
      <c r="O17" s="86" t="s">
        <v>257</v>
      </c>
      <c r="P17" s="86" t="str">
        <f>VLOOKUP(I17,Schedule!H:AR,37,FALSE)</f>
        <v>NA</v>
      </c>
      <c r="Q17" s="86" t="s">
        <v>3301</v>
      </c>
      <c r="R17" s="86" t="str">
        <f t="shared" si="0"/>
        <v>sumit.narang@yes.bank.in,rittin.arya@yes.bank.in,lonika.kotekar@yes.bank.in,shirajahmed.habib@yes.bank.in,Gaurav@kgac.in,AmanM@kgac.in,hariom@kgac.in</v>
      </c>
      <c r="S17" s="85" t="str">
        <f t="shared" ref="S17:S18" si="4">_xlfn.CONCAT("Draft audit report of ",I17,"_Collection &amp; Repossession_",F17,"_April '26_ (Audit Period Jan'26 to Mar'26)")</f>
        <v>Draft audit report of Rohan Enterprises_Collection &amp; Repossession_Delhi_April '26_ (Audit Period Jan'26 to Mar'26)</v>
      </c>
      <c r="T17" s="84" t="str">
        <f t="shared" si="2"/>
        <v>Please find the attached Draft audit report of Rohan Enterprises_Collection &amp; Repossession_Delhi_April '26_ (Audit Period Jan'26 to Mar'26)</v>
      </c>
      <c r="U17" s="84" t="s">
        <v>1994</v>
      </c>
      <c r="V17" s="84" t="s">
        <v>3693</v>
      </c>
    </row>
    <row r="18" spans="1:22" x14ac:dyDescent="0.3">
      <c r="A18" s="1">
        <v>20</v>
      </c>
      <c r="B18" s="1" t="s">
        <v>1013</v>
      </c>
      <c r="C18" s="2">
        <v>28589</v>
      </c>
      <c r="D18" s="3" t="s">
        <v>40</v>
      </c>
      <c r="E18" s="3" t="s">
        <v>129</v>
      </c>
      <c r="F18" s="3" t="s">
        <v>129</v>
      </c>
      <c r="G18" s="88" t="s">
        <v>43</v>
      </c>
      <c r="H18" s="96">
        <v>1</v>
      </c>
      <c r="I18" s="3" t="s">
        <v>1014</v>
      </c>
      <c r="J18" s="7" t="s">
        <v>57</v>
      </c>
      <c r="K18" s="26" t="s">
        <v>3231</v>
      </c>
      <c r="L18" s="26" t="s">
        <v>1020</v>
      </c>
      <c r="M18" s="86" t="s">
        <v>2860</v>
      </c>
      <c r="N18" s="86" t="s">
        <v>2861</v>
      </c>
      <c r="O18" s="86" t="s">
        <v>257</v>
      </c>
      <c r="P18" s="86" t="str">
        <f>VLOOKUP(I18,Schedule!H:AR,37,FALSE)</f>
        <v>NA</v>
      </c>
      <c r="Q18" s="86" t="s">
        <v>3302</v>
      </c>
      <c r="R18" s="86" t="str">
        <f t="shared" si="0"/>
        <v>sumit.narang@yes.bank.in,abhinav.lal2@yes.bank.in,gaurav.mishra5@yes.bank.in,ravi.parkash1@yes.bank.in,md.faizullah@yes.bank.in,gopal.khatri@yes.bank.in,sandeep.tyagi@yes.bank.in,rittin.arya@yes.bank.in,lonika.kotekar@yes.bank.in,shirajahmed.habib@yes.bank.in,Gaurav@kgac.in,AmanM@kgac.in,hariom@kgac.in</v>
      </c>
      <c r="S18" s="85" t="str">
        <f t="shared" si="4"/>
        <v>Draft audit report of Shree Mahadevi Associates_Collection &amp; Repossession_Delhi_April '26_ (Audit Period Jan'26 to Mar'26)</v>
      </c>
      <c r="T18" s="84" t="str">
        <f t="shared" si="2"/>
        <v>Please find the attached Draft audit report of Shree Mahadevi Associates_Collection &amp; Repossession_Delhi_April '26_ (Audit Period Jan'26 to Mar'26)</v>
      </c>
      <c r="U18" s="84" t="s">
        <v>1994</v>
      </c>
      <c r="V18" s="84" t="s">
        <v>3693</v>
      </c>
    </row>
    <row r="19" spans="1:22" x14ac:dyDescent="0.3">
      <c r="A19" s="1">
        <v>21</v>
      </c>
      <c r="B19" s="1" t="s">
        <v>1135</v>
      </c>
      <c r="C19" s="2">
        <v>45551</v>
      </c>
      <c r="D19" s="3" t="s">
        <v>40</v>
      </c>
      <c r="E19" s="3" t="s">
        <v>129</v>
      </c>
      <c r="F19" s="3" t="s">
        <v>129</v>
      </c>
      <c r="G19" s="88" t="s">
        <v>43</v>
      </c>
      <c r="H19" s="96">
        <v>1</v>
      </c>
      <c r="I19" s="3" t="s">
        <v>1136</v>
      </c>
      <c r="J19" s="7" t="s">
        <v>78</v>
      </c>
      <c r="K19" s="26" t="s">
        <v>3232</v>
      </c>
      <c r="L19" s="26" t="s">
        <v>1141</v>
      </c>
      <c r="M19" s="86" t="s">
        <v>2862</v>
      </c>
      <c r="N19" s="86" t="s">
        <v>2863</v>
      </c>
      <c r="O19" s="86" t="s">
        <v>2850</v>
      </c>
      <c r="P19" s="86" t="str">
        <f>VLOOKUP(I19,Schedule!H:AR,37,FALSE)</f>
        <v>NA</v>
      </c>
      <c r="Q19" s="86" t="s">
        <v>3303</v>
      </c>
      <c r="R19" s="86" t="str">
        <f t="shared" si="0"/>
        <v>sandeep.mehta3@yes.bank.in,avinash.kumar17@yes.bank.in,kumar.sambhav@yes.bank.in,avinash.kumar17@yes.bank.in,aanchal.singh2@yes.bank.in,manoj.kumar56@yes.bank.in,rahul.sharma57@yes.bank.in,vivek.pandey7@yes.bank.in,lonika.kotekar@yes.bank.in,shirajahmed.habib@yes.bank.in,Gaurav@kgac.in,AmanM@kgac.in,hariom@kgac.in</v>
      </c>
      <c r="S19" s="85" t="str">
        <f t="shared" ref="S19:S20" si="5">_xlfn.CONCAT("Draft audit report of ",I19,"_Collection_",F19,"_April '26_ (Audit Period Jan'26 to Mar'26)")</f>
        <v>Draft audit report of Unique India Associates_Collection_Delhi_April '26_ (Audit Period Jan'26 to Mar'26)</v>
      </c>
      <c r="T19" s="84" t="str">
        <f t="shared" si="2"/>
        <v>Please find the attached Draft audit report of Unique India Associates_Collection_Delhi_April '26_ (Audit Period Jan'26 to Mar'26)</v>
      </c>
      <c r="U19" s="84" t="s">
        <v>2253</v>
      </c>
      <c r="V19" s="84"/>
    </row>
    <row r="20" spans="1:22" x14ac:dyDescent="0.3">
      <c r="A20" s="1">
        <v>22</v>
      </c>
      <c r="B20" s="1" t="s">
        <v>550</v>
      </c>
      <c r="C20" s="2">
        <v>26294</v>
      </c>
      <c r="D20" s="3" t="s">
        <v>40</v>
      </c>
      <c r="E20" s="3" t="s">
        <v>129</v>
      </c>
      <c r="F20" s="3" t="s">
        <v>129</v>
      </c>
      <c r="G20" s="88" t="s">
        <v>43</v>
      </c>
      <c r="H20" s="96">
        <v>1</v>
      </c>
      <c r="I20" s="3" t="s">
        <v>551</v>
      </c>
      <c r="J20" s="7" t="s">
        <v>78</v>
      </c>
      <c r="K20" s="26" t="s">
        <v>3233</v>
      </c>
      <c r="L20" s="26" t="s">
        <v>556</v>
      </c>
      <c r="M20" s="86" t="s">
        <v>2864</v>
      </c>
      <c r="N20" s="86" t="s">
        <v>2865</v>
      </c>
      <c r="O20" s="86" t="s">
        <v>2844</v>
      </c>
      <c r="P20" s="86" t="str">
        <f>VLOOKUP(I20,Schedule!H:AR,37,FALSE)</f>
        <v>NA</v>
      </c>
      <c r="Q20" s="86" t="s">
        <v>3304</v>
      </c>
      <c r="R20" s="86" t="str">
        <f t="shared" si="0"/>
        <v>sandeep.mehta3@yes.bank.in,sumit.narang@yes.bank.in,mukesh.rawat2@yes.bank.in,sukhwant.singh2@yes.bank.in,kumar.sambhav@yes.bank.in,rohit.nijhawan@yes.bank.in,rittin.arya@yes.bank.in,jay.shukla1@yes.bank.in,vaibhav.mishra2@yes.bank.in,manoj.kumar56@yes.bank.in,sandeep.kumar95@yes.bank.in,chander.miglani@yes.bank.in,amit.kumar183@yes.bank.in,subhajit.bhowmik@yes.bank.in,lonika.kotekar@yes.bank.in,shirajahmed.habib@yes.bank.in,Gaurav@kgac.in,AmanM@kgac.in,hariom@kgac.in</v>
      </c>
      <c r="S20" s="85" t="str">
        <f t="shared" si="5"/>
        <v>Draft audit report of Waves Enterprises_Collection_Delhi_April '26_ (Audit Period Jan'26 to Mar'26)</v>
      </c>
      <c r="T20" s="84" t="str">
        <f t="shared" si="2"/>
        <v>Please find the attached Draft audit report of Waves Enterprises_Collection_Delhi_April '26_ (Audit Period Jan'26 to Mar'26)</v>
      </c>
      <c r="U20" s="84" t="s">
        <v>2253</v>
      </c>
      <c r="V20" s="84"/>
    </row>
    <row r="21" spans="1:22" x14ac:dyDescent="0.3">
      <c r="A21" s="1">
        <v>23</v>
      </c>
      <c r="B21" s="1" t="s">
        <v>60</v>
      </c>
      <c r="C21" s="2">
        <v>317051</v>
      </c>
      <c r="D21" s="3" t="s">
        <v>40</v>
      </c>
      <c r="E21" s="3" t="s">
        <v>61</v>
      </c>
      <c r="F21" s="3" t="s">
        <v>2818</v>
      </c>
      <c r="G21" s="88" t="s">
        <v>43</v>
      </c>
      <c r="H21" s="96">
        <v>1</v>
      </c>
      <c r="I21" s="3" t="s">
        <v>1719</v>
      </c>
      <c r="J21" s="7" t="s">
        <v>57</v>
      </c>
      <c r="K21" s="26" t="s">
        <v>930</v>
      </c>
      <c r="L21" s="26" t="s">
        <v>930</v>
      </c>
      <c r="M21" s="86" t="s">
        <v>2866</v>
      </c>
      <c r="N21" s="86" t="s">
        <v>2867</v>
      </c>
      <c r="O21" s="86" t="s">
        <v>257</v>
      </c>
      <c r="P21" s="86" t="str">
        <f>VLOOKUP(I21,Schedule!H:AR,37,FALSE)</f>
        <v>Audited for collection and Repossessoin, as agency have repo of assest in the audit quarter</v>
      </c>
      <c r="Q21" s="86" t="s">
        <v>3305</v>
      </c>
      <c r="R21" s="86" t="str">
        <f t="shared" si="0"/>
        <v>sameer.dhar@yes.bank.in,sanjeev.kumar30@yes.bank.in,sukhwant.singh2@yes.bank.in,amit.pandey12@yes.bank.in,ram.shankar@yes.bank.in,lonika.kotekar@yes.bank.in,shirajahmed.habib@yes.bank.in,Gaurav@kgac.in,AmanM@kgac.in,hariom@kgac.in</v>
      </c>
      <c r="S21" s="85" t="str">
        <f t="shared" ref="S21:S22" si="6">_xlfn.CONCAT("Draft audit report of ",I21,"_Collection &amp; Repossession_",F21,"_April '26_ (Audit Period Jan'26 to Mar'26)")</f>
        <v>Draft audit report of Rk Associates_Collection &amp; Repossession_Moradabad_April '26_ (Audit Period Jan'26 to Mar'26)</v>
      </c>
      <c r="T21" s="84" t="str">
        <f t="shared" si="2"/>
        <v>Please find the attached Draft audit report of Rk Associates_Collection &amp; Repossession_Moradabad_April '26_ (Audit Period Jan'26 to Mar'26)</v>
      </c>
      <c r="U21" s="84" t="s">
        <v>1994</v>
      </c>
      <c r="V21" s="84" t="s">
        <v>3693</v>
      </c>
    </row>
    <row r="22" spans="1:22" x14ac:dyDescent="0.3">
      <c r="A22" s="1">
        <v>24</v>
      </c>
      <c r="B22" s="1" t="s">
        <v>60</v>
      </c>
      <c r="C22" s="2">
        <v>309009</v>
      </c>
      <c r="D22" s="3" t="s">
        <v>40</v>
      </c>
      <c r="E22" s="3" t="s">
        <v>61</v>
      </c>
      <c r="F22" s="3" t="s">
        <v>593</v>
      </c>
      <c r="G22" s="88" t="s">
        <v>43</v>
      </c>
      <c r="H22" s="96">
        <v>1</v>
      </c>
      <c r="I22" s="3" t="s">
        <v>1725</v>
      </c>
      <c r="J22" s="7" t="s">
        <v>57</v>
      </c>
      <c r="K22" s="26" t="s">
        <v>3234</v>
      </c>
      <c r="L22" s="26" t="s">
        <v>965</v>
      </c>
      <c r="M22" s="86" t="s">
        <v>2868</v>
      </c>
      <c r="N22" s="86" t="s">
        <v>2869</v>
      </c>
      <c r="O22" s="86" t="s">
        <v>257</v>
      </c>
      <c r="P22" s="86" t="str">
        <f>VLOOKUP(I22,Schedule!H:AR,37,FALSE)</f>
        <v>NA</v>
      </c>
      <c r="Q22" s="86" t="s">
        <v>3306</v>
      </c>
      <c r="R22" s="86" t="str">
        <f t="shared" si="0"/>
        <v>sukhwant.singh2@yes.bank.in,rohit.nijhawan@yes.bank.in,ram.shankar@yes.bank.in,govind.kumar3@yes.bank.in,lonika.kotekar@yes.bank.in,shirajahmed.habib@yes.bank.in,Gaurav@kgac.in,AmanM@kgac.in,hariom@kgac.in</v>
      </c>
      <c r="S22" s="85" t="str">
        <f t="shared" si="6"/>
        <v>Draft audit report of Ansh Enterprises_Collection &amp; Repossession_Agra_April '26_ (Audit Period Jan'26 to Mar'26)</v>
      </c>
      <c r="T22" s="84" t="str">
        <f t="shared" si="2"/>
        <v>Please find the attached Draft audit report of Ansh Enterprises_Collection &amp; Repossession_Agra_April '26_ (Audit Period Jan'26 to Mar'26)</v>
      </c>
      <c r="U22" s="84" t="s">
        <v>1994</v>
      </c>
      <c r="V22" s="84" t="s">
        <v>3693</v>
      </c>
    </row>
    <row r="23" spans="1:22" x14ac:dyDescent="0.3">
      <c r="A23" s="1">
        <v>25</v>
      </c>
      <c r="B23" s="1" t="s">
        <v>60</v>
      </c>
      <c r="C23" s="2">
        <v>348994</v>
      </c>
      <c r="D23" s="3" t="s">
        <v>40</v>
      </c>
      <c r="E23" s="3" t="s">
        <v>129</v>
      </c>
      <c r="F23" s="3" t="s">
        <v>129</v>
      </c>
      <c r="G23" s="88" t="s">
        <v>43</v>
      </c>
      <c r="H23" s="96">
        <v>1</v>
      </c>
      <c r="I23" s="3" t="s">
        <v>1073</v>
      </c>
      <c r="J23" s="7" t="s">
        <v>78</v>
      </c>
      <c r="K23" s="26" t="s">
        <v>1076</v>
      </c>
      <c r="L23" s="26" t="s">
        <v>1076</v>
      </c>
      <c r="M23" s="86" t="s">
        <v>2870</v>
      </c>
      <c r="N23" s="86" t="s">
        <v>2853</v>
      </c>
      <c r="O23" s="86" t="s">
        <v>2853</v>
      </c>
      <c r="P23" s="86" t="str">
        <f>VLOOKUP(I23,Schedule!H:AR,37,FALSE)</f>
        <v>NA</v>
      </c>
      <c r="Q23" s="86" t="s">
        <v>3307</v>
      </c>
      <c r="R23" s="86" t="str">
        <f t="shared" si="0"/>
        <v>avinash.kumar17@yes.bank.in,avinash.kumar17@yes.bank.in,sumit.kumar78@yes.bank.in,rahul.sharma57@yes.bank.in,lonika.kotekar@yes.bank.in,shirajahmed.habib@yes.bank.in,Gaurav@kgac.in,AmanM@kgac.in,hariom@kgac.in</v>
      </c>
      <c r="S23" s="85" t="str">
        <f>_xlfn.CONCAT("Draft audit report of ",I23,"_Collection_",F23,"_April '26_ (Audit Period Jan'26 to Mar'26)")</f>
        <v>Draft audit report of Trishakti Services_Collection_Delhi_April '26_ (Audit Period Jan'26 to Mar'26)</v>
      </c>
      <c r="T23" s="84" t="str">
        <f t="shared" si="2"/>
        <v>Please find the attached Draft audit report of Trishakti Services_Collection_Delhi_April '26_ (Audit Period Jan'26 to Mar'26)</v>
      </c>
      <c r="U23" s="84" t="s">
        <v>2253</v>
      </c>
      <c r="V23" s="84"/>
    </row>
    <row r="24" spans="1:22" x14ac:dyDescent="0.3">
      <c r="A24" s="1">
        <v>27</v>
      </c>
      <c r="B24" s="1" t="s">
        <v>60</v>
      </c>
      <c r="C24" s="2">
        <v>332001</v>
      </c>
      <c r="D24" s="3" t="s">
        <v>40</v>
      </c>
      <c r="E24" s="3" t="s">
        <v>96</v>
      </c>
      <c r="F24" s="3" t="s">
        <v>830</v>
      </c>
      <c r="G24" s="88" t="s">
        <v>43</v>
      </c>
      <c r="H24" s="96">
        <v>1</v>
      </c>
      <c r="I24" s="3" t="s">
        <v>1710</v>
      </c>
      <c r="J24" s="7" t="s">
        <v>70</v>
      </c>
      <c r="K24" s="26"/>
      <c r="L24" s="26" t="s">
        <v>832</v>
      </c>
      <c r="M24" s="86" t="s">
        <v>3068</v>
      </c>
      <c r="N24" s="86" t="s">
        <v>3041</v>
      </c>
      <c r="O24" s="86"/>
      <c r="P24" s="86" t="str">
        <f>VLOOKUP(I24,Schedule!H:AR,37,FALSE)</f>
        <v>NA</v>
      </c>
      <c r="Q24" s="86" t="s">
        <v>832</v>
      </c>
      <c r="R24" s="86" t="str">
        <f t="shared" si="0"/>
        <v>abhinav.lal2@yes.bank.in,sameer.dhar@yes.bank.in,sanjeev.kumar30@yes.bank.in,dipak.dhandhukiya@yes.bank.in,sekhar.gundala1@yes.bank.in,SAGAR.CHOUDHARI@yes.bank.in,shyam.parkash@yes.bank.in,abhinav.lal2@yes.bank.in,punit.sharma1@yes.bank.in,navajakhan.p@yes.bank.in,vivek.shukla4@yes.bank.in,sourabh.parihar@yes.bank.in,amit.pandey12@yes.bank.in,kushpal.singh@yes.bank.in,rittin.arya@yes.bank.in,lonika.kotekar@yes.bank.in,shirajahmed.habib@yes.bank.in,Gaurav@kgac.in,AmanM@kgac.in,hariom@kgac.in</v>
      </c>
      <c r="S24" s="85" t="str">
        <f>_xlfn.CONCAT("Draft audit report of ",I24,"_Repossession_",F24,"_April '26_ (Audit Period Jan'26 to Mar'26)")</f>
        <v>Draft audit report of Poonia Associates_Repossession_Hisar_April '26_ (Audit Period Jan'26 to Mar'26)</v>
      </c>
      <c r="T24" s="84" t="str">
        <f t="shared" si="2"/>
        <v>Please find the attached Draft audit report of Poonia Associates_Repossession_Hisar_April '26_ (Audit Period Jan'26 to Mar'26)</v>
      </c>
      <c r="U24" s="84" t="s">
        <v>3425</v>
      </c>
      <c r="V24" s="84"/>
    </row>
    <row r="25" spans="1:22" x14ac:dyDescent="0.3">
      <c r="A25" s="1">
        <v>29</v>
      </c>
      <c r="B25" s="1" t="s">
        <v>708</v>
      </c>
      <c r="C25" s="2">
        <v>12242</v>
      </c>
      <c r="D25" s="3" t="s">
        <v>40</v>
      </c>
      <c r="E25" s="3" t="s">
        <v>96</v>
      </c>
      <c r="F25" s="3" t="s">
        <v>709</v>
      </c>
      <c r="G25" s="88" t="s">
        <v>43</v>
      </c>
      <c r="H25" s="96">
        <v>1</v>
      </c>
      <c r="I25" s="3" t="s">
        <v>1704</v>
      </c>
      <c r="J25" s="7" t="s">
        <v>78</v>
      </c>
      <c r="K25" s="26" t="s">
        <v>3215</v>
      </c>
      <c r="L25" s="26" t="s">
        <v>714</v>
      </c>
      <c r="M25" s="86" t="s">
        <v>2871</v>
      </c>
      <c r="N25" s="86" t="s">
        <v>2872</v>
      </c>
      <c r="O25" s="86" t="s">
        <v>2873</v>
      </c>
      <c r="P25" s="86" t="str">
        <f>VLOOKUP(I25,Schedule!H:AR,37,FALSE)</f>
        <v>NA</v>
      </c>
      <c r="Q25" s="86" t="s">
        <v>3308</v>
      </c>
      <c r="R25" s="86" t="str">
        <f t="shared" si="0"/>
        <v>arun.goel@yes.bank.in,avinash.kumar17@yes.bank.in,amandeep.singh28@yes.bank.in,vineet.kumar12@yes.bank.in,avinash.kumar17@yes.bank.in,vikas.chawla@yes.bank.in,sunil.jangir@yes.bank.in,kapil.kumar24@yes.bank.in,pawan.kumar61@yes.bank.in,abhishek.arora7@yes.bank.in,ankit.sandhu@yes.bank.in,LavenderSingh.Negi@yes.bank.in,lonika.kotekar@yes.bank.in,shirajahmed.habib@yes.bank.in,Gaurav@kgac.in,AmanM@kgac.in,hariom@kgac.in</v>
      </c>
      <c r="S25" s="85" t="str">
        <f>_xlfn.CONCAT("Draft audit report of ",I25,"_Collection_",F25,"_April '26_ (Audit Period Jan'26 to Mar'26)")</f>
        <v>Draft audit report of Tomar Auto Recovery_Collection_Pipli_April '26_ (Audit Period Jan'26 to Mar'26)</v>
      </c>
      <c r="T25" s="84" t="str">
        <f t="shared" si="2"/>
        <v>Please find the attached Draft audit report of Tomar Auto Recovery_Collection_Pipli_April '26_ (Audit Period Jan'26 to Mar'26)</v>
      </c>
      <c r="U25" s="84" t="s">
        <v>1994</v>
      </c>
      <c r="V25" s="84" t="s">
        <v>3693</v>
      </c>
    </row>
    <row r="26" spans="1:22" x14ac:dyDescent="0.3">
      <c r="A26" s="1">
        <v>30</v>
      </c>
      <c r="B26" s="1" t="s">
        <v>323</v>
      </c>
      <c r="C26" s="2">
        <v>26018</v>
      </c>
      <c r="D26" s="3" t="s">
        <v>103</v>
      </c>
      <c r="E26" s="3" t="s">
        <v>465</v>
      </c>
      <c r="F26" s="3" t="s">
        <v>801</v>
      </c>
      <c r="G26" s="88" t="s">
        <v>43</v>
      </c>
      <c r="H26" s="96">
        <v>1</v>
      </c>
      <c r="I26" s="3" t="s">
        <v>324</v>
      </c>
      <c r="J26" s="7" t="s">
        <v>57</v>
      </c>
      <c r="K26" s="26" t="s">
        <v>3235</v>
      </c>
      <c r="L26" s="26" t="s">
        <v>329</v>
      </c>
      <c r="M26" s="86" t="s">
        <v>2874</v>
      </c>
      <c r="N26" s="86" t="s">
        <v>2875</v>
      </c>
      <c r="O26" s="86" t="s">
        <v>257</v>
      </c>
      <c r="P26" s="86" t="str">
        <f>VLOOKUP(I26,Schedule!H:AR,37,FALSE)</f>
        <v>Visited the agency but audit not done due to agency is working for Yes Bank from their another branch, Address : 454, Urao Basti, Old Sitaramdera, P.O - Agrico, Jamshedpur - 831009</v>
      </c>
      <c r="Q26" s="86" t="s">
        <v>3309</v>
      </c>
      <c r="R26" s="86" t="str">
        <f t="shared" si="0"/>
        <v>manish.shukla10@yes.bank.in,mukesh.rawat2@yes.bank.in,sekhar.mukharjee@yes.bank.in,biswarup.ghosh@yes.bank.in,mdshabbir.alam@yes.bank.in,pravesh.sharma1@yes.bank.in,jay.shukla1@yes.bank.in,pankaj.yadav11@yes.bank.in,nitumani.kalita@yes.bank.in,suman.das3@yes.bank.in,santosh.sharma9@yes.bank.in,nayanjyoti.deka@yes.bank.in,santosh.thakur@yes.bank.in,sachin.bharti@yes.bank.in,lonika.kotekar@yes.bank.in,shirajahmed.habib@yes.bank.in,Gaurav@kgac.in,AmanM@kgac.in,hariom@kgac.in</v>
      </c>
      <c r="S26" s="85" t="str">
        <f t="shared" ref="S26" si="7">_xlfn.CONCAT("Draft audit report of ",I26,"_Collection &amp; Repossession_",F26,"_April '26_ (Audit Period Jan'26 to Mar'26)")</f>
        <v>Draft audit report of Fairadvisory Legalservices_Collection &amp; Repossession_Jamshedpur_April '26_ (Audit Period Jan'26 to Mar'26)</v>
      </c>
      <c r="T26" s="84" t="str">
        <f t="shared" si="2"/>
        <v>Please find the attached Draft audit report of Fairadvisory Legalservices_Collection &amp; Repossession_Jamshedpur_April '26_ (Audit Period Jan'26 to Mar'26)</v>
      </c>
      <c r="U26" s="84" t="s">
        <v>1994</v>
      </c>
      <c r="V26" s="84" t="s">
        <v>3693</v>
      </c>
    </row>
    <row r="27" spans="1:22" x14ac:dyDescent="0.3">
      <c r="A27" s="1">
        <v>31</v>
      </c>
      <c r="B27" s="1" t="s">
        <v>641</v>
      </c>
      <c r="C27" s="2">
        <v>26212</v>
      </c>
      <c r="D27" s="3" t="s">
        <v>103</v>
      </c>
      <c r="E27" s="3" t="s">
        <v>465</v>
      </c>
      <c r="F27" s="3" t="s">
        <v>801</v>
      </c>
      <c r="G27" s="88" t="s">
        <v>43</v>
      </c>
      <c r="H27" s="96">
        <v>3</v>
      </c>
      <c r="I27" s="3" t="s">
        <v>1943</v>
      </c>
      <c r="J27" s="7" t="s">
        <v>57</v>
      </c>
      <c r="K27" s="26" t="s">
        <v>3236</v>
      </c>
      <c r="L27" s="26" t="s">
        <v>649</v>
      </c>
      <c r="M27" s="86" t="s">
        <v>2876</v>
      </c>
      <c r="N27" s="86" t="s">
        <v>2877</v>
      </c>
      <c r="O27" s="86" t="s">
        <v>2878</v>
      </c>
      <c r="P27" s="86" t="str">
        <f>VLOOKUP(I27,Schedule!H:AR,37,FALSE)</f>
        <v>NA</v>
      </c>
      <c r="Q27" s="86" t="s">
        <v>3310</v>
      </c>
      <c r="R27" s="86" t="str">
        <f t="shared" si="0"/>
        <v>manikandan.g4@yes.bank.in,ashutosh.gupta3@yes.bank.in,ashutosh.gupta3@yes.bank.in,manikandan.g4@yes.bank.in,sekhar.mukharjee@yes.bank.in,subhasis.banerjee@yes.bank.in,rathindra.das@yes.bank.in,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lonika.kotekar@yes.bank.in,shirajahmed.habib@yes.bank.in,Gaurav@kgac.in,AmanM@kgac.in,hariom@kgac.in</v>
      </c>
      <c r="S27" s="85" t="str">
        <f>_xlfn.CONCAT("Draft audit report of ","Kalyani Associate","_Collection &amp; Repossession_","Jamshedpur, Bhubaneshwar, Kolkata","_April '26_ (Audit Period Jan'26 to Mar'26)")</f>
        <v>Draft audit report of Kalyani Associate_Collection &amp; Repossession_Jamshedpur, Bhubaneshwar, Kolkata_April '26_ (Audit Period Jan'26 to Mar'26)</v>
      </c>
      <c r="T27" s="84" t="str">
        <f t="shared" si="2"/>
        <v>Please find the attached Draft audit report of Kalyani Associate_Collection &amp; Repossession_Jamshedpur, Bhubaneshwar, Kolkata_April '26_ (Audit Period Jan'26 to Mar'26)</v>
      </c>
      <c r="U27" s="84" t="s">
        <v>1994</v>
      </c>
      <c r="V27" s="84" t="s">
        <v>3693</v>
      </c>
    </row>
    <row r="28" spans="1:22" x14ac:dyDescent="0.3">
      <c r="A28" s="1">
        <v>32</v>
      </c>
      <c r="B28" s="1" t="s">
        <v>60</v>
      </c>
      <c r="C28" s="2">
        <v>67899</v>
      </c>
      <c r="D28" s="3" t="s">
        <v>103</v>
      </c>
      <c r="E28" s="3" t="s">
        <v>465</v>
      </c>
      <c r="F28" s="3" t="s">
        <v>801</v>
      </c>
      <c r="G28" s="88" t="s">
        <v>43</v>
      </c>
      <c r="H28" s="96">
        <v>1</v>
      </c>
      <c r="I28" s="3" t="s">
        <v>802</v>
      </c>
      <c r="J28" s="7" t="s">
        <v>78</v>
      </c>
      <c r="K28" s="26" t="s">
        <v>3237</v>
      </c>
      <c r="L28" s="26" t="s">
        <v>805</v>
      </c>
      <c r="M28" s="86" t="s">
        <v>2879</v>
      </c>
      <c r="N28" s="86" t="s">
        <v>2880</v>
      </c>
      <c r="O28" s="86" t="s">
        <v>257</v>
      </c>
      <c r="P28" s="86" t="str">
        <f>VLOOKUP(I28,Schedule!H:AR,37,FALSE)</f>
        <v xml:space="preserve">Audited on another address : B/111 subhash road, baagun nagar baridih near AIWC high school po baridih east singhbhum jamshedpur 831017. </v>
      </c>
      <c r="Q28" s="86" t="s">
        <v>3311</v>
      </c>
      <c r="R28" s="86" t="str">
        <f t="shared" si="0"/>
        <v>sekhar.mukharjee@yes.bank.in,ashutosh.gupta3@yes.bank.in,mdshabbir.alam@yes.bank.in,pankaj.yadav11@yes.bank.in,prabhakar.kumar2@yes.bank.in,santosh.thakur@yes.bank.in,lonika.kotekar@yes.bank.in,shirajahmed.habib@yes.bank.in,Gaurav@kgac.in,AmanM@kgac.in,hariom@kgac.in</v>
      </c>
      <c r="S28" s="85" t="str">
        <f t="shared" ref="S28:S30" si="8">_xlfn.CONCAT("Draft audit report of ",I28,"_Collection_",F28,"_April '26_ (Audit Period Jan'26 to Mar'26)")</f>
        <v>Draft audit report of Sai Enterprises_Collection_Jamshedpur_April '26_ (Audit Period Jan'26 to Mar'26)</v>
      </c>
      <c r="T28" s="84" t="str">
        <f t="shared" si="2"/>
        <v>Please find the attached Draft audit report of Sai Enterprises_Collection_Jamshedpur_April '26_ (Audit Period Jan'26 to Mar'26)</v>
      </c>
      <c r="U28" s="84" t="s">
        <v>3425</v>
      </c>
      <c r="V28" s="84"/>
    </row>
    <row r="29" spans="1:22" x14ac:dyDescent="0.3">
      <c r="A29" s="1">
        <v>34</v>
      </c>
      <c r="B29" s="1" t="s">
        <v>60</v>
      </c>
      <c r="C29" s="2">
        <v>310986</v>
      </c>
      <c r="D29" s="3" t="s">
        <v>40</v>
      </c>
      <c r="E29" s="3" t="s">
        <v>465</v>
      </c>
      <c r="F29" s="3" t="s">
        <v>466</v>
      </c>
      <c r="G29" s="88" t="s">
        <v>43</v>
      </c>
      <c r="H29" s="96">
        <v>1</v>
      </c>
      <c r="I29" s="3" t="s">
        <v>1728</v>
      </c>
      <c r="J29" s="7" t="s">
        <v>78</v>
      </c>
      <c r="K29" s="26" t="s">
        <v>3238</v>
      </c>
      <c r="L29" s="26" t="s">
        <v>979</v>
      </c>
      <c r="M29" s="86" t="s">
        <v>2881</v>
      </c>
      <c r="N29" s="86" t="s">
        <v>2882</v>
      </c>
      <c r="O29" s="86" t="s">
        <v>257</v>
      </c>
      <c r="P29" s="86" t="str">
        <f>VLOOKUP(I29,Schedule!H:AR,37,FALSE)</f>
        <v>NA</v>
      </c>
      <c r="Q29" s="86" t="s">
        <v>3312</v>
      </c>
      <c r="R29" s="86" t="str">
        <f t="shared" si="0"/>
        <v>subhasis.banerjee@yes.bank.in,rabi.mishra@yes.bank.in,lonika.kotekar@yes.bank.in,shirajahmed.habib@yes.bank.in,Gaurav@kgac.in,AmanM@kgac.in,hariom@kgac.in</v>
      </c>
      <c r="S29" s="85" t="str">
        <f t="shared" si="8"/>
        <v>Draft audit report of Definate Solutions_Collection_Ranchi_April '26_ (Audit Period Jan'26 to Mar'26)</v>
      </c>
      <c r="T29" s="84" t="str">
        <f t="shared" si="2"/>
        <v>Please find the attached Draft audit report of Definate Solutions_Collection_Ranchi_April '26_ (Audit Period Jan'26 to Mar'26)</v>
      </c>
      <c r="U29" s="84" t="s">
        <v>1994</v>
      </c>
      <c r="V29" s="84" t="s">
        <v>3693</v>
      </c>
    </row>
    <row r="30" spans="1:22" x14ac:dyDescent="0.3">
      <c r="A30" s="1">
        <v>35</v>
      </c>
      <c r="B30" s="1" t="s">
        <v>60</v>
      </c>
      <c r="C30" s="2">
        <v>305020</v>
      </c>
      <c r="D30" s="3" t="s">
        <v>40</v>
      </c>
      <c r="E30" s="3" t="s">
        <v>199</v>
      </c>
      <c r="F30" s="3" t="s">
        <v>837</v>
      </c>
      <c r="G30" s="88" t="s">
        <v>43</v>
      </c>
      <c r="H30" s="96">
        <v>1</v>
      </c>
      <c r="I30" s="3" t="s">
        <v>1718</v>
      </c>
      <c r="J30" s="7" t="s">
        <v>78</v>
      </c>
      <c r="K30" s="26" t="s">
        <v>900</v>
      </c>
      <c r="L30" s="26" t="s">
        <v>900</v>
      </c>
      <c r="M30" s="86" t="s">
        <v>2883</v>
      </c>
      <c r="N30" s="86" t="s">
        <v>2884</v>
      </c>
      <c r="O30" s="86" t="s">
        <v>257</v>
      </c>
      <c r="P30" s="86" t="str">
        <f>VLOOKUP(I30,Schedule!H:AR,37,FALSE)</f>
        <v>NA</v>
      </c>
      <c r="Q30" s="86" t="s">
        <v>3313</v>
      </c>
      <c r="R30" s="86" t="str">
        <f t="shared" si="0"/>
        <v>kalpesh.raval@yes.bank.in,pawan.rana@yes.bank.in,devi.rathore@yes.bank.in,kana.choudhary@yes.bank.in,lonika.kotekar@yes.bank.in,shirajahmed.habib@yes.bank.in,Gaurav@kgac.in,AmanM@kgac.in,hariom@kgac.in</v>
      </c>
      <c r="S30" s="85" t="str">
        <f t="shared" si="8"/>
        <v>Draft audit report of Ramawat Associates_Collection_Jodhpur_April '26_ (Audit Period Jan'26 to Mar'26)</v>
      </c>
      <c r="T30" s="84" t="str">
        <f t="shared" si="2"/>
        <v>Please find the attached Draft audit report of Ramawat Associates_Collection_Jodhpur_April '26_ (Audit Period Jan'26 to Mar'26)</v>
      </c>
      <c r="U30" s="84" t="s">
        <v>2243</v>
      </c>
      <c r="V30" s="84"/>
    </row>
    <row r="31" spans="1:22" x14ac:dyDescent="0.3">
      <c r="A31" s="1">
        <v>36</v>
      </c>
      <c r="B31" s="1" t="s">
        <v>60</v>
      </c>
      <c r="C31" s="2">
        <v>346995</v>
      </c>
      <c r="D31" s="3" t="s">
        <v>40</v>
      </c>
      <c r="E31" s="3" t="s">
        <v>129</v>
      </c>
      <c r="F31" s="3" t="s">
        <v>129</v>
      </c>
      <c r="G31" s="88" t="s">
        <v>43</v>
      </c>
      <c r="H31" s="96">
        <v>1</v>
      </c>
      <c r="I31" s="3" t="s">
        <v>1960</v>
      </c>
      <c r="J31" s="7" t="s">
        <v>70</v>
      </c>
      <c r="K31" s="89"/>
      <c r="L31" s="89" t="s">
        <v>3214</v>
      </c>
      <c r="M31" s="86" t="s">
        <v>3069</v>
      </c>
      <c r="N31" s="86" t="s">
        <v>2944</v>
      </c>
      <c r="O31" s="86"/>
      <c r="P31" s="86" t="str">
        <f>VLOOKUP(I31,Schedule!H:AR,37,FALSE)</f>
        <v>NA</v>
      </c>
      <c r="Q31" s="86" t="s">
        <v>3214</v>
      </c>
      <c r="R31" s="86" t="str">
        <f t="shared" si="0"/>
        <v>abhinav.lal2@yes.bank.in,sourabh.parihar@yes.bank.in,vivek.shukla4@yes.bank.in,lonika.kotekar@yes.bank.in,shirajahmed.habib@yes.bank.in,Gaurav@kgac.in,AmanM@kgac.in,hariom@kgac.in</v>
      </c>
      <c r="S31" s="85" t="str">
        <f>_xlfn.CONCAT("Draft audit report of ",I31,"_Repossession_",F31,"_April '26_ (Audit Period Jan'26 to Mar'26)")</f>
        <v>Draft audit report of Chaudhary Associates_Repossession_Delhi_April '26_ (Audit Period Jan'26 to Mar'26)</v>
      </c>
      <c r="T31" s="84" t="str">
        <f t="shared" si="2"/>
        <v>Please find the attached Draft audit report of Chaudhary Associates_Repossession_Delhi_April '26_ (Audit Period Jan'26 to Mar'26)</v>
      </c>
      <c r="U31" s="84" t="s">
        <v>2253</v>
      </c>
      <c r="V31" s="84"/>
    </row>
    <row r="32" spans="1:22" x14ac:dyDescent="0.3">
      <c r="A32" s="1">
        <v>37</v>
      </c>
      <c r="B32" s="1" t="s">
        <v>60</v>
      </c>
      <c r="C32" s="2">
        <v>348998</v>
      </c>
      <c r="D32" s="3" t="s">
        <v>40</v>
      </c>
      <c r="E32" s="3" t="s">
        <v>129</v>
      </c>
      <c r="F32" s="3" t="s">
        <v>129</v>
      </c>
      <c r="G32" s="88" t="s">
        <v>43</v>
      </c>
      <c r="H32" s="96">
        <v>1</v>
      </c>
      <c r="I32" s="3" t="s">
        <v>71</v>
      </c>
      <c r="J32" s="7" t="s">
        <v>78</v>
      </c>
      <c r="K32" s="26" t="s">
        <v>3239</v>
      </c>
      <c r="L32" s="26" t="s">
        <v>74</v>
      </c>
      <c r="M32" s="86" t="s">
        <v>2885</v>
      </c>
      <c r="N32" s="86" t="s">
        <v>2886</v>
      </c>
      <c r="O32" s="86" t="s">
        <v>257</v>
      </c>
      <c r="P32" s="86" t="str">
        <f>VLOOKUP(I32,Schedule!H:AR,37,FALSE)</f>
        <v>NA</v>
      </c>
      <c r="Q32" s="86" t="s">
        <v>3314</v>
      </c>
      <c r="R32" s="86" t="str">
        <f t="shared" si="0"/>
        <v>sameer.dhar@yes.bank.in,sanjeev.kumar30@yes.bank.in,priyanka.gupta15@yes.bank.in,narinder.singh3@yes.bank.in,lonika.kotekar@yes.bank.in,shirajahmed.habib@yes.bank.in,Gaurav@kgac.in,AmanM@kgac.in,hariom@kgac.in</v>
      </c>
      <c r="S32" s="85" t="str">
        <f>_xlfn.CONCAT("Draft audit report of ",I32,"_Collection_",F32,"_April '26_ (Audit Period Jan'26 to Mar'26)")</f>
        <v>Draft audit report of Aim Associates_Collection_Delhi_April '26_ (Audit Period Jan'26 to Mar'26)</v>
      </c>
      <c r="T32" s="84" t="str">
        <f t="shared" si="2"/>
        <v>Please find the attached Draft audit report of Aim Associates_Collection_Delhi_April '26_ (Audit Period Jan'26 to Mar'26)</v>
      </c>
      <c r="U32" s="84" t="s">
        <v>2253</v>
      </c>
      <c r="V32" s="84"/>
    </row>
    <row r="33" spans="1:22" x14ac:dyDescent="0.3">
      <c r="A33" s="1">
        <v>39</v>
      </c>
      <c r="B33" s="1" t="s">
        <v>60</v>
      </c>
      <c r="C33" s="2">
        <v>350002</v>
      </c>
      <c r="D33" s="3" t="s">
        <v>40</v>
      </c>
      <c r="E33" s="3" t="s">
        <v>129</v>
      </c>
      <c r="F33" s="3" t="s">
        <v>129</v>
      </c>
      <c r="G33" s="88" t="s">
        <v>43</v>
      </c>
      <c r="H33" s="96">
        <v>1</v>
      </c>
      <c r="I33" s="3" t="s">
        <v>1737</v>
      </c>
      <c r="J33" s="7" t="s">
        <v>57</v>
      </c>
      <c r="K33" s="26" t="s">
        <v>1092</v>
      </c>
      <c r="L33" s="26" t="s">
        <v>1092</v>
      </c>
      <c r="M33" s="86" t="s">
        <v>2887</v>
      </c>
      <c r="N33" s="86" t="s">
        <v>2853</v>
      </c>
      <c r="O33" s="86" t="s">
        <v>2853</v>
      </c>
      <c r="P33" s="86" t="str">
        <f>VLOOKUP(I33,Schedule!H:AR,37,FALSE)</f>
        <v>NA</v>
      </c>
      <c r="Q33" s="86" t="s">
        <v>3315</v>
      </c>
      <c r="R33" s="86" t="str">
        <f t="shared" si="0"/>
        <v>avinash.kumar17@yes.bank.in,avinash.kumar17@yes.bank.in,kamal.kumar13@yes.bank.in,sumit.kumar78@yes.bank.in,rahul.sharma57@yes.bank.in,sushant.parashar@yes.bank.in,lonika.kotekar@yes.bank.in,shirajahmed.habib@yes.bank.in,Gaurav@kgac.in,AmanM@kgac.in,hariom@kgac.in</v>
      </c>
      <c r="S33" s="85" t="str">
        <f>_xlfn.CONCAT("Draft audit report of ",I33,"_Collection &amp; Repossession_",F33,"_April '26_ (Audit Period Jan'26 to Mar'26)")</f>
        <v>Draft audit report of Sun Associates_Collection &amp; Repossession_Delhi_April '26_ (Audit Period Jan'26 to Mar'26)</v>
      </c>
      <c r="T33" s="84" t="str">
        <f t="shared" si="2"/>
        <v>Please find the attached Draft audit report of Sun Associates_Collection &amp; Repossession_Delhi_April '26_ (Audit Period Jan'26 to Mar'26)</v>
      </c>
      <c r="U33" s="84" t="s">
        <v>1994</v>
      </c>
      <c r="V33" s="84" t="s">
        <v>3693</v>
      </c>
    </row>
    <row r="34" spans="1:22" x14ac:dyDescent="0.3">
      <c r="A34" s="1">
        <v>40</v>
      </c>
      <c r="B34" s="1" t="s">
        <v>60</v>
      </c>
      <c r="C34" s="2">
        <v>347002</v>
      </c>
      <c r="D34" s="3" t="s">
        <v>103</v>
      </c>
      <c r="E34" s="3" t="s">
        <v>237</v>
      </c>
      <c r="F34" s="3" t="s">
        <v>238</v>
      </c>
      <c r="G34" s="88" t="s">
        <v>43</v>
      </c>
      <c r="H34" s="96">
        <v>1</v>
      </c>
      <c r="I34" s="3" t="s">
        <v>239</v>
      </c>
      <c r="J34" s="7" t="s">
        <v>70</v>
      </c>
      <c r="K34" s="26"/>
      <c r="L34" s="26" t="s">
        <v>241</v>
      </c>
      <c r="M34" s="86" t="s">
        <v>3042</v>
      </c>
      <c r="N34" s="86" t="s">
        <v>3043</v>
      </c>
      <c r="O34" s="86"/>
      <c r="P34" s="86" t="str">
        <f>VLOOKUP(I34,Schedule!H:AR,37,FALSE)</f>
        <v>NA</v>
      </c>
      <c r="Q34" s="86" t="s">
        <v>241</v>
      </c>
      <c r="R34" s="86" t="str">
        <f t="shared" si="0"/>
        <v>biswarup.ghosh@yes.bank.in,suryanarayan.nayak@yes.bank.in,lonika.kotekar@yes.bank.in,shirajahmed.habib@yes.bank.in,Gaurav@kgac.in,AmanM@kgac.in,hariom@kgac.in</v>
      </c>
      <c r="S34" s="85" t="str">
        <f>_xlfn.CONCAT("Draft audit report of ",I34,"_Repossession_",F34,"_April '26_ (Audit Period Jan'26 to Mar'26)")</f>
        <v>Draft audit report of B K Associates_Repossession_Cuttack_April '26_ (Audit Period Jan'26 to Mar'26)</v>
      </c>
      <c r="T34" s="84" t="str">
        <f t="shared" si="2"/>
        <v>Please find the attached Draft audit report of B K Associates_Repossession_Cuttack_April '26_ (Audit Period Jan'26 to Mar'26)</v>
      </c>
      <c r="U34" s="84" t="s">
        <v>3425</v>
      </c>
      <c r="V34" s="84"/>
    </row>
    <row r="35" spans="1:22" x14ac:dyDescent="0.3">
      <c r="A35" s="1">
        <v>41</v>
      </c>
      <c r="B35" s="1" t="s">
        <v>60</v>
      </c>
      <c r="C35" s="2">
        <v>351020</v>
      </c>
      <c r="D35" s="3" t="s">
        <v>103</v>
      </c>
      <c r="E35" s="3" t="s">
        <v>237</v>
      </c>
      <c r="F35" s="3" t="s">
        <v>238</v>
      </c>
      <c r="G35" s="88" t="s">
        <v>43</v>
      </c>
      <c r="H35" s="96">
        <v>1</v>
      </c>
      <c r="I35" s="3" t="s">
        <v>1744</v>
      </c>
      <c r="J35" s="7" t="s">
        <v>78</v>
      </c>
      <c r="K35" s="26" t="s">
        <v>1196</v>
      </c>
      <c r="L35" s="26" t="s">
        <v>1196</v>
      </c>
      <c r="M35" s="86" t="s">
        <v>2888</v>
      </c>
      <c r="N35" s="86" t="s">
        <v>2827</v>
      </c>
      <c r="O35" s="86" t="s">
        <v>257</v>
      </c>
      <c r="P35" s="86" t="str">
        <f>VLOOKUP(I35,Schedule!H:AR,37,FALSE)</f>
        <v>NA</v>
      </c>
      <c r="Q35" s="86" t="s">
        <v>3316</v>
      </c>
      <c r="R35" s="86" t="str">
        <f t="shared" si="0"/>
        <v>sekhar.mukharjee@yes.bank.in,ashutosh.gupta3@yes.bank.in,kalpataru.baishakh@yes.bank.in,kiran.mohapatra@yes.bank.in,avdesh.mishra@yes.bank.in,choudhury.jena@yes.bank.in,lonika.kotekar@yes.bank.in,shirajahmed.habib@yes.bank.in,Gaurav@kgac.in,AmanM@kgac.in,hariom@kgac.in</v>
      </c>
      <c r="S35" s="85" t="str">
        <f>_xlfn.CONCAT("Draft audit report of ",I35,"_Collection_",F35,"_April '26_ (Audit Period Jan'26 to Mar'26)")</f>
        <v>Draft audit report of M C Associate_Collection_Cuttack_April '26_ (Audit Period Jan'26 to Mar'26)</v>
      </c>
      <c r="T35" s="84" t="str">
        <f t="shared" si="2"/>
        <v>Please find the attached Draft audit report of M C Associate_Collection_Cuttack_April '26_ (Audit Period Jan'26 to Mar'26)</v>
      </c>
      <c r="U35" s="84" t="s">
        <v>3425</v>
      </c>
      <c r="V35" s="84"/>
    </row>
    <row r="36" spans="1:22" x14ac:dyDescent="0.3">
      <c r="A36" s="1">
        <v>42</v>
      </c>
      <c r="B36" s="1" t="s">
        <v>60</v>
      </c>
      <c r="C36" s="2">
        <v>379994</v>
      </c>
      <c r="D36" s="3" t="s">
        <v>103</v>
      </c>
      <c r="E36" s="3" t="s">
        <v>237</v>
      </c>
      <c r="F36" s="3" t="s">
        <v>1235</v>
      </c>
      <c r="G36" s="88" t="s">
        <v>43</v>
      </c>
      <c r="H36" s="96">
        <v>1</v>
      </c>
      <c r="I36" s="3" t="s">
        <v>1236</v>
      </c>
      <c r="J36" s="7" t="s">
        <v>57</v>
      </c>
      <c r="K36" s="26" t="s">
        <v>3240</v>
      </c>
      <c r="L36" s="26" t="s">
        <v>1240</v>
      </c>
      <c r="M36" s="86" t="s">
        <v>2889</v>
      </c>
      <c r="N36" s="86" t="s">
        <v>2890</v>
      </c>
      <c r="O36" s="86" t="s">
        <v>2833</v>
      </c>
      <c r="P36" s="86" t="str">
        <f>VLOOKUP(I36,Schedule!H:AR,37,FALSE)</f>
        <v>NA</v>
      </c>
      <c r="Q36" s="86" t="s">
        <v>3317</v>
      </c>
      <c r="R36" s="86" t="str">
        <f t="shared" si="0"/>
        <v>manikandan.g4@yes.bank.in,biswarup.ghosh@yes.bank.in,manikandan.g4@yes.bank.in,mdshabbir.alam@yes.bank.in,santosh.sharma9@yes.bank.in,subhakanta.panda@yes.bank.in,suryanarayan.nayak@yes.bank.in,lonika.kotekar@yes.bank.in,shirajahmed.habib@yes.bank.in,Gaurav@kgac.in,AmanM@kgac.in,hariom@kgac.in</v>
      </c>
      <c r="S36" s="85" t="str">
        <f t="shared" ref="S36" si="9">_xlfn.CONCAT("Draft audit report of ",I36,"_Collection &amp; Repossession_",F36,"_April '26_ (Audit Period Jan'26 to Mar'26)")</f>
        <v>Draft audit report of Marichin Fin Services Pvt Ltd_Collection &amp; Repossession_Kurda_April '26_ (Audit Period Jan'26 to Mar'26)</v>
      </c>
      <c r="T36" s="84" t="str">
        <f t="shared" si="2"/>
        <v>Please find the attached Draft audit report of Marichin Fin Services Pvt Ltd_Collection &amp; Repossession_Kurda_April '26_ (Audit Period Jan'26 to Mar'26)</v>
      </c>
      <c r="U36" s="84" t="s">
        <v>1994</v>
      </c>
      <c r="V36" s="84" t="s">
        <v>3693</v>
      </c>
    </row>
    <row r="37" spans="1:22" x14ac:dyDescent="0.3">
      <c r="A37" s="1">
        <v>43</v>
      </c>
      <c r="B37" s="1" t="s">
        <v>641</v>
      </c>
      <c r="C37" s="2">
        <v>26212</v>
      </c>
      <c r="D37" s="3" t="s">
        <v>103</v>
      </c>
      <c r="E37" s="3" t="s">
        <v>237</v>
      </c>
      <c r="F37" s="3" t="s">
        <v>226</v>
      </c>
      <c r="G37" s="88" t="s">
        <v>43</v>
      </c>
      <c r="H37" s="96">
        <v>3</v>
      </c>
      <c r="I37" s="3" t="s">
        <v>1942</v>
      </c>
      <c r="J37" s="7" t="s">
        <v>57</v>
      </c>
      <c r="K37" s="26"/>
      <c r="L37" s="26" t="s">
        <v>649</v>
      </c>
      <c r="M37" s="86" t="s">
        <v>2876</v>
      </c>
      <c r="N37" s="86" t="s">
        <v>2877</v>
      </c>
      <c r="O37" s="86" t="s">
        <v>2878</v>
      </c>
      <c r="P37" s="86" t="str">
        <f>VLOOKUP(I37,Schedule!H:AR,37,FALSE)</f>
        <v>NA</v>
      </c>
      <c r="Q37" s="86" t="s">
        <v>649</v>
      </c>
      <c r="R37" s="86" t="str">
        <f t="shared" si="0"/>
        <v>manikandan.g4@yes.bank.in,ashutosh.gupta3@yes.bank.in,ashutosh.gupta3@yes.bank.in,manikandan.g4@yes.bank.in,sekhar.mukharjee@yes.bank.in,subhasis.banerjee@yes.bank.in,rathindra.das@yes.bank.in,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lonika.kotekar@yes.bank.in,shirajahmed.habib@yes.bank.in,Gaurav@kgac.in,AmanM@kgac.in,hariom@kgac.in</v>
      </c>
      <c r="S37" s="85" t="str">
        <f>_xlfn.CONCAT("Draft audit report of ","Kalyani Associate","_Collection &amp; Repossession_","Jamshedpur, Bhubaneshwar, Kolkata","_April '26_ (Audit Period Jan'26 to Mar'26)")</f>
        <v>Draft audit report of Kalyani Associate_Collection &amp; Repossession_Jamshedpur, Bhubaneshwar, Kolkata_April '26_ (Audit Period Jan'26 to Mar'26)</v>
      </c>
      <c r="T37" s="84" t="str">
        <f t="shared" si="2"/>
        <v>Please find the attached Draft audit report of Kalyani Associate_Collection &amp; Repossession_Jamshedpur, Bhubaneshwar, Kolkata_April '26_ (Audit Period Jan'26 to Mar'26)</v>
      </c>
      <c r="U37" s="84" t="s">
        <v>1994</v>
      </c>
      <c r="V37" s="84" t="s">
        <v>3693</v>
      </c>
    </row>
    <row r="38" spans="1:22" x14ac:dyDescent="0.3">
      <c r="A38" s="1">
        <v>45</v>
      </c>
      <c r="B38" s="1" t="s">
        <v>363</v>
      </c>
      <c r="C38" s="2">
        <v>26517</v>
      </c>
      <c r="D38" s="3" t="s">
        <v>40</v>
      </c>
      <c r="E38" s="3" t="s">
        <v>41</v>
      </c>
      <c r="F38" s="3" t="s">
        <v>992</v>
      </c>
      <c r="G38" s="88" t="s">
        <v>43</v>
      </c>
      <c r="H38" s="96">
        <v>3</v>
      </c>
      <c r="I38" s="3" t="s">
        <v>1940</v>
      </c>
      <c r="J38" s="7" t="s">
        <v>78</v>
      </c>
      <c r="K38" s="26" t="s">
        <v>3241</v>
      </c>
      <c r="L38" s="26" t="s">
        <v>370</v>
      </c>
      <c r="M38" s="86" t="s">
        <v>2891</v>
      </c>
      <c r="N38" s="86" t="s">
        <v>2892</v>
      </c>
      <c r="O38" s="86" t="s">
        <v>2830</v>
      </c>
      <c r="P38" s="86" t="str">
        <f>VLOOKUP(I38,Schedule!H:AR,37,FALSE)</f>
        <v>NA</v>
      </c>
      <c r="Q38" s="86" t="s">
        <v>3408</v>
      </c>
      <c r="R38" s="86" t="str">
        <f t="shared" si="0"/>
        <v>ashutosh.gupta3@yes.bank.in,ashutosh.gupta3@yes.bank.in,harmeet.singh5@yes.bank.in,krishan.saini@yes.bank.in,pramod.sankhala@yes.bank.in,jaspreetsingh.bhathal@yes.bank.in,sahil.gorsi@yes.bank.in,sunil.kumar113@yes.bank.in,jagmohan.singh3@yes.bank.in,kailash.devanda@yes.bank.in,sunil.choudhary2@yes.bank.in,lonika.kotekar@yes.bank.in,shirajahmed.habib@yes.bank.in,Gaurav@kgac.in,AmanM@kgac.in,hariom@kgac.in</v>
      </c>
      <c r="S38" s="85" t="str">
        <f>_xlfn.CONCAT("Draft audit report of ","Excel Agencies","_Collection_","Amritsar, Ludhiana, Mohali","_April '26_ (Audit Period Jan'26 to Mar'26)")</f>
        <v>Draft audit report of Excel Agencies_Collection_Amritsar, Ludhiana, Mohali_April '26_ (Audit Period Jan'26 to Mar'26)</v>
      </c>
      <c r="T38" s="84" t="str">
        <f t="shared" si="2"/>
        <v>Please find the attached Draft audit report of Excel Agencies_Collection_Amritsar, Ludhiana, Mohali_April '26_ (Audit Period Jan'26 to Mar'26)</v>
      </c>
      <c r="U38" s="84" t="s">
        <v>1994</v>
      </c>
      <c r="V38" s="84" t="s">
        <v>3693</v>
      </c>
    </row>
    <row r="39" spans="1:22" x14ac:dyDescent="0.3">
      <c r="A39" s="1">
        <v>47</v>
      </c>
      <c r="B39" s="1" t="s">
        <v>60</v>
      </c>
      <c r="C39" s="2">
        <v>352010</v>
      </c>
      <c r="D39" s="3" t="s">
        <v>40</v>
      </c>
      <c r="E39" s="3" t="s">
        <v>41</v>
      </c>
      <c r="F39" s="3" t="s">
        <v>992</v>
      </c>
      <c r="G39" s="88" t="s">
        <v>43</v>
      </c>
      <c r="H39" s="96">
        <v>1</v>
      </c>
      <c r="I39" s="3" t="s">
        <v>1125</v>
      </c>
      <c r="J39" s="7" t="s">
        <v>70</v>
      </c>
      <c r="K39" s="26"/>
      <c r="L39" s="26" t="s">
        <v>1127</v>
      </c>
      <c r="M39" s="86" t="s">
        <v>3044</v>
      </c>
      <c r="N39" s="86" t="s">
        <v>2936</v>
      </c>
      <c r="O39" s="86"/>
      <c r="P39" s="86" t="str">
        <f>VLOOKUP(I39,Schedule!H:AR,37,FALSE)</f>
        <v>NA</v>
      </c>
      <c r="Q39" s="86" t="s">
        <v>1127</v>
      </c>
      <c r="R39" s="86" t="str">
        <f t="shared" si="0"/>
        <v>sameer.dhar@yes.bank.in,gur.singh@yes.bank.in,lonika.kotekar@yes.bank.in,shirajahmed.habib@yes.bank.in,Gaurav@kgac.in,AmanM@kgac.in,hariom@kgac.in</v>
      </c>
      <c r="S39" s="85" t="str">
        <f>_xlfn.CONCAT("Draft audit report of ",I39,"_Repossession_",F39,"_April '26_ (Audit Period Jan'26 to Mar'26)")</f>
        <v>Draft audit report of Ra Collection Agency_Repossession_Amritsar_April '26_ (Audit Period Jan'26 to Mar'26)</v>
      </c>
      <c r="T39" s="84" t="str">
        <f t="shared" si="2"/>
        <v>Please find the attached Draft audit report of Ra Collection Agency_Repossession_Amritsar_April '26_ (Audit Period Jan'26 to Mar'26)</v>
      </c>
      <c r="U39" s="84" t="s">
        <v>2240</v>
      </c>
      <c r="V39" s="84"/>
    </row>
    <row r="40" spans="1:22" x14ac:dyDescent="0.3">
      <c r="A40" s="1">
        <v>48</v>
      </c>
      <c r="B40" s="1" t="s">
        <v>60</v>
      </c>
      <c r="C40" s="2">
        <v>190972</v>
      </c>
      <c r="D40" s="3" t="s">
        <v>40</v>
      </c>
      <c r="E40" s="3" t="s">
        <v>41</v>
      </c>
      <c r="F40" s="3" t="s">
        <v>42</v>
      </c>
      <c r="G40" s="88" t="s">
        <v>43</v>
      </c>
      <c r="H40" s="96">
        <v>1</v>
      </c>
      <c r="I40" s="3" t="s">
        <v>1716</v>
      </c>
      <c r="J40" s="7" t="s">
        <v>78</v>
      </c>
      <c r="K40" s="26"/>
      <c r="L40" s="26" t="s">
        <v>879</v>
      </c>
      <c r="M40" s="86" t="s">
        <v>2893</v>
      </c>
      <c r="N40" s="86" t="s">
        <v>2894</v>
      </c>
      <c r="O40" s="86" t="s">
        <v>257</v>
      </c>
      <c r="P40" s="86" t="str">
        <f>VLOOKUP(I40,Schedule!H:AR,37,FALSE)</f>
        <v>NA</v>
      </c>
      <c r="Q40" s="86" t="s">
        <v>879</v>
      </c>
      <c r="R40" s="86" t="str">
        <f t="shared" si="0"/>
        <v>sukhwant.singh2@yes.bank.in,sukhwinder.singh18@yes.bank.in,vikash.kumar40@yes.bank.in,sidharth.rana@yes.bank.in,sukhwant.singh2@yes.bank.in,lonika.kotekar@yes.bank.in,shirajahmed.habib@yes.bank.in,Gaurav@kgac.in,AmanM@kgac.in,hariom@kgac.in</v>
      </c>
      <c r="S40" s="85" t="str">
        <f>_xlfn.CONCAT("Draft audit report of ",I40,"_Collection_",F40,"_April '26_ (Audit Period Jan'26 to Mar'26)")</f>
        <v>Draft audit report of Citi Enterprises_Collection_Chandigarh_April '26_ (Audit Period Jan'26 to Mar'26)</v>
      </c>
      <c r="T40" s="84" t="str">
        <f t="shared" si="2"/>
        <v>Please find the attached Draft audit report of Citi Enterprises_Collection_Chandigarh_April '26_ (Audit Period Jan'26 to Mar'26)</v>
      </c>
      <c r="U40" s="84" t="s">
        <v>2240</v>
      </c>
      <c r="V40" s="84"/>
    </row>
    <row r="41" spans="1:22" x14ac:dyDescent="0.3">
      <c r="A41" s="1">
        <v>49</v>
      </c>
      <c r="B41" s="1" t="s">
        <v>516</v>
      </c>
      <c r="C41" s="2">
        <v>53931</v>
      </c>
      <c r="D41" s="3" t="s">
        <v>40</v>
      </c>
      <c r="E41" s="3" t="s">
        <v>41</v>
      </c>
      <c r="F41" s="3" t="s">
        <v>42</v>
      </c>
      <c r="G41" s="88" t="s">
        <v>43</v>
      </c>
      <c r="H41" s="96">
        <v>1</v>
      </c>
      <c r="I41" s="3" t="s">
        <v>517</v>
      </c>
      <c r="J41" s="7" t="s">
        <v>57</v>
      </c>
      <c r="K41" s="26" t="s">
        <v>3242</v>
      </c>
      <c r="L41" s="26" t="s">
        <v>520</v>
      </c>
      <c r="M41" s="86" t="s">
        <v>2895</v>
      </c>
      <c r="N41" s="86" t="s">
        <v>2896</v>
      </c>
      <c r="O41" s="86" t="s">
        <v>2897</v>
      </c>
      <c r="P41" s="86" t="str">
        <f>VLOOKUP(I41,Schedule!H:AR,37,FALSE)</f>
        <v>NA</v>
      </c>
      <c r="Q41" s="86" t="s">
        <v>3318</v>
      </c>
      <c r="R41" s="86" t="str">
        <f t="shared" si="0"/>
        <v>avinash.kumar17@yes.bank.in,ashutosh.gupta3@yes.bank.in,avinash.kumar17@yes.bank.in,ashutosh.gupta3@yes.bank.in,sanjeev.kumar30@yes.bank.in,sameer.dhar@yes.bank.in,sukhwant.singh2@yes.bank.in,harmeet.singh5@yes.bank.in,pawan.rana@yes.bank.in,sandeep.kumar121@yes.bank.in,jaspreetsingh.bhathal@yes.bank.in,parveen.kumar16@yes.bank.in,vikash.kumar40@yes.bank.in,jagmohan.singh3@yes.bank.in,rishu.raghuvanshi@yes.bank.in,lonika.kotekar@yes.bank.in,shirajahmed.habib@yes.bank.in,Gaurav@kgac.in,AmanM@kgac.in,hariom@kgac.in</v>
      </c>
      <c r="S41" s="85" t="str">
        <f t="shared" ref="S41:S44" si="10">_xlfn.CONCAT("Draft audit report of ",I41,"_Collection &amp; Repossession_",F41,"_April '26_ (Audit Period Jan'26 to Mar'26)")</f>
        <v>Draft audit report of Goodluck Associate_Collection &amp; Repossession_Chandigarh_April '26_ (Audit Period Jan'26 to Mar'26)</v>
      </c>
      <c r="T41" s="84" t="str">
        <f t="shared" si="2"/>
        <v>Please find the attached Draft audit report of Goodluck Associate_Collection &amp; Repossession_Chandigarh_April '26_ (Audit Period Jan'26 to Mar'26)</v>
      </c>
      <c r="U41" s="84" t="s">
        <v>1994</v>
      </c>
      <c r="V41" s="84" t="s">
        <v>3693</v>
      </c>
    </row>
    <row r="42" spans="1:22" x14ac:dyDescent="0.3">
      <c r="A42" s="1">
        <v>50</v>
      </c>
      <c r="B42" s="1" t="s">
        <v>80</v>
      </c>
      <c r="C42" s="2">
        <v>26423</v>
      </c>
      <c r="D42" s="3" t="s">
        <v>40</v>
      </c>
      <c r="E42" s="3" t="s">
        <v>41</v>
      </c>
      <c r="F42" s="3" t="s">
        <v>42</v>
      </c>
      <c r="G42" s="88" t="s">
        <v>43</v>
      </c>
      <c r="H42" s="96">
        <v>1</v>
      </c>
      <c r="I42" s="3" t="s">
        <v>81</v>
      </c>
      <c r="J42" s="7" t="s">
        <v>57</v>
      </c>
      <c r="K42" s="26" t="s">
        <v>87</v>
      </c>
      <c r="L42" s="26" t="s">
        <v>87</v>
      </c>
      <c r="M42" s="86" t="s">
        <v>2898</v>
      </c>
      <c r="N42" s="86" t="s">
        <v>2899</v>
      </c>
      <c r="O42" s="86" t="s">
        <v>257</v>
      </c>
      <c r="P42" s="86" t="str">
        <f>VLOOKUP(I42,Schedule!H:AR,37,FALSE)</f>
        <v>NA</v>
      </c>
      <c r="Q42" s="86" t="s">
        <v>3319</v>
      </c>
      <c r="R42" s="86" t="str">
        <f t="shared" si="0"/>
        <v>sanjeev.kumar30@yes.bank.in,vineet.kumar12@yes.bank.in,sameer.dhar@yes.bank.in,ashutosh.gupta3@yes.bank.in,parveen.kumar16@yes.bank.in,gaurav.mahajan2@yes.bank.in,maninder.kumar@yes.bank.in,lonika.kotekar@yes.bank.in,shirajahmed.habib@yes.bank.in,Gaurav@kgac.in,AmanM@kgac.in,hariom@kgac.in</v>
      </c>
      <c r="S42" s="85" t="str">
        <f t="shared" si="10"/>
        <v>Draft audit report of Saksham Enterprises_Collection &amp; Repossession_Chandigarh_April '26_ (Audit Period Jan'26 to Mar'26)</v>
      </c>
      <c r="T42" s="84" t="str">
        <f t="shared" si="2"/>
        <v>Please find the attached Draft audit report of Saksham Enterprises_Collection &amp; Repossession_Chandigarh_April '26_ (Audit Period Jan'26 to Mar'26)</v>
      </c>
      <c r="U42" s="84" t="s">
        <v>1994</v>
      </c>
      <c r="V42" s="84" t="s">
        <v>3693</v>
      </c>
    </row>
    <row r="43" spans="1:22" x14ac:dyDescent="0.3">
      <c r="A43" s="1">
        <v>51</v>
      </c>
      <c r="B43" s="1" t="s">
        <v>60</v>
      </c>
      <c r="C43" s="2">
        <v>310989</v>
      </c>
      <c r="D43" s="3" t="s">
        <v>40</v>
      </c>
      <c r="E43" s="3" t="s">
        <v>41</v>
      </c>
      <c r="F43" s="3" t="s">
        <v>42</v>
      </c>
      <c r="G43" s="88" t="s">
        <v>43</v>
      </c>
      <c r="H43" s="96">
        <v>1</v>
      </c>
      <c r="I43" s="3" t="s">
        <v>1729</v>
      </c>
      <c r="J43" s="7" t="s">
        <v>57</v>
      </c>
      <c r="K43" s="26" t="s">
        <v>3243</v>
      </c>
      <c r="L43" s="26" t="s">
        <v>983</v>
      </c>
      <c r="M43" s="86" t="s">
        <v>2900</v>
      </c>
      <c r="N43" s="86" t="s">
        <v>2901</v>
      </c>
      <c r="O43" s="86" t="s">
        <v>2853</v>
      </c>
      <c r="P43" s="86" t="str">
        <f>VLOOKUP(I43,Schedule!H:AR,37,FALSE)</f>
        <v>NA</v>
      </c>
      <c r="Q43" s="86" t="s">
        <v>3320</v>
      </c>
      <c r="R43" s="86" t="str">
        <f t="shared" si="0"/>
        <v>avinash.kumar17@yes.bank.in,sameer.dhar@yes.bank.in,avinash.kumar17@yes.bank.in,sanjeev.kumar30@yes.bank.in,parveen.kumar16@yes.bank.in,sandeep.kumar121@yes.bank.in,lonika.kotekar@yes.bank.in,shirajahmed.habib@yes.bank.in,Gaurav@kgac.in,AmanM@kgac.in,hariom@kgac.in</v>
      </c>
      <c r="S43" s="85" t="str">
        <f t="shared" si="10"/>
        <v>Draft audit report of Shri Ganesh Enterprises_Collection &amp; Repossession_Chandigarh_April '26_ (Audit Period Jan'26 to Mar'26)</v>
      </c>
      <c r="T43" s="84" t="str">
        <f t="shared" si="2"/>
        <v>Please find the attached Draft audit report of Shri Ganesh Enterprises_Collection &amp; Repossession_Chandigarh_April '26_ (Audit Period Jan'26 to Mar'26)</v>
      </c>
      <c r="U43" s="84" t="s">
        <v>1994</v>
      </c>
      <c r="V43" s="84" t="s">
        <v>3693</v>
      </c>
    </row>
    <row r="44" spans="1:22" x14ac:dyDescent="0.3">
      <c r="A44" s="1">
        <v>52</v>
      </c>
      <c r="B44" s="1" t="s">
        <v>39</v>
      </c>
      <c r="C44" s="2">
        <v>54010</v>
      </c>
      <c r="D44" s="3" t="s">
        <v>40</v>
      </c>
      <c r="E44" s="3" t="s">
        <v>41</v>
      </c>
      <c r="F44" s="3" t="s">
        <v>42</v>
      </c>
      <c r="G44" s="88" t="s">
        <v>43</v>
      </c>
      <c r="H44" s="96">
        <v>1</v>
      </c>
      <c r="I44" s="3" t="s">
        <v>44</v>
      </c>
      <c r="J44" s="7" t="s">
        <v>57</v>
      </c>
      <c r="K44" s="26" t="s">
        <v>3244</v>
      </c>
      <c r="L44" s="26" t="s">
        <v>50</v>
      </c>
      <c r="M44" s="86" t="s">
        <v>2902</v>
      </c>
      <c r="N44" s="86" t="s">
        <v>2903</v>
      </c>
      <c r="O44" s="86" t="s">
        <v>2853</v>
      </c>
      <c r="P44" s="86" t="str">
        <f>VLOOKUP(I44,Schedule!H:AR,37,FALSE)</f>
        <v>NA</v>
      </c>
      <c r="Q44" s="86" t="s">
        <v>3321</v>
      </c>
      <c r="R44" s="86" t="str">
        <f t="shared" si="0"/>
        <v>avinash.kumar17@yes.bank.in,sukhwant.singh2@yes.bank.in,avinash.kumar17@yes.bank.in,rohit.nijhawan@yes.bank.in,kushpal.singh@yes.bank.in,vikash.kumar40@yes.bank.in,sukhwinder.singh18@yes.bank.in,sandeep.kumar121@yes.bank.in,priya.kumari8@yes.bank.in,sukhwant.singh2@yes.bank.in,lonika.kotekar@yes.bank.in,shirajahmed.habib@yes.bank.in,Gaurav@kgac.in,AmanM@kgac.in,hariom@kgac.in</v>
      </c>
      <c r="S44" s="85" t="str">
        <f t="shared" si="10"/>
        <v>Draft audit report of Yash Enterprises_Collection &amp; Repossession_Chandigarh_April '26_ (Audit Period Jan'26 to Mar'26)</v>
      </c>
      <c r="T44" s="84" t="str">
        <f t="shared" si="2"/>
        <v>Please find the attached Draft audit report of Yash Enterprises_Collection &amp; Repossession_Chandigarh_April '26_ (Audit Period Jan'26 to Mar'26)</v>
      </c>
      <c r="U44" s="84" t="s">
        <v>1994</v>
      </c>
      <c r="V44" s="84" t="s">
        <v>3693</v>
      </c>
    </row>
    <row r="45" spans="1:22" x14ac:dyDescent="0.3">
      <c r="A45" s="1">
        <v>53</v>
      </c>
      <c r="B45" s="1" t="s">
        <v>60</v>
      </c>
      <c r="C45" s="2">
        <v>313005</v>
      </c>
      <c r="D45" s="3" t="s">
        <v>40</v>
      </c>
      <c r="E45" s="3" t="s">
        <v>41</v>
      </c>
      <c r="F45" s="3" t="s">
        <v>96</v>
      </c>
      <c r="G45" s="88" t="s">
        <v>43</v>
      </c>
      <c r="H45" s="96">
        <v>1</v>
      </c>
      <c r="I45" s="3" t="s">
        <v>1691</v>
      </c>
      <c r="J45" s="7" t="s">
        <v>78</v>
      </c>
      <c r="K45" s="26" t="s">
        <v>3245</v>
      </c>
      <c r="L45" s="26" t="s">
        <v>98</v>
      </c>
      <c r="M45" s="86" t="s">
        <v>2904</v>
      </c>
      <c r="N45" s="86" t="s">
        <v>2830</v>
      </c>
      <c r="O45" s="86" t="s">
        <v>257</v>
      </c>
      <c r="P45" s="86" t="str">
        <f>VLOOKUP(I45,Schedule!H:AR,37,FALSE)</f>
        <v>NA</v>
      </c>
      <c r="Q45" s="86" t="s">
        <v>3322</v>
      </c>
      <c r="R45" s="86" t="str">
        <f t="shared" si="0"/>
        <v>ashutosh.gupta3@yes.bank.in,maninder.kumar@yes.bank.in,lonika.kotekar@yes.bank.in,shirajahmed.habib@yes.bank.in,Gaurav@kgac.in,AmanM@kgac.in,hariom@kgac.in</v>
      </c>
      <c r="S45" s="85" t="str">
        <f t="shared" ref="S45:S48" si="11">_xlfn.CONCAT("Draft audit report of ",I45,"_Collection_",F45,"_April '26_ (Audit Period Jan'26 to Mar'26)")</f>
        <v>Draft audit report of Ar Associates_Collection_Haryana_April '26_ (Audit Period Jan'26 to Mar'26)</v>
      </c>
      <c r="T45" s="84" t="str">
        <f t="shared" si="2"/>
        <v>Please find the attached Draft audit report of Ar Associates_Collection_Haryana_April '26_ (Audit Period Jan'26 to Mar'26)</v>
      </c>
      <c r="U45" s="84" t="s">
        <v>2240</v>
      </c>
      <c r="V45" s="84"/>
    </row>
    <row r="46" spans="1:22" x14ac:dyDescent="0.3">
      <c r="A46" s="1">
        <v>54</v>
      </c>
      <c r="B46" s="1" t="s">
        <v>630</v>
      </c>
      <c r="C46" s="2">
        <v>24712</v>
      </c>
      <c r="D46" s="3" t="s">
        <v>40</v>
      </c>
      <c r="E46" s="3" t="s">
        <v>41</v>
      </c>
      <c r="F46" s="3" t="s">
        <v>631</v>
      </c>
      <c r="G46" s="88" t="s">
        <v>43</v>
      </c>
      <c r="H46" s="96">
        <v>1</v>
      </c>
      <c r="I46" s="3" t="s">
        <v>632</v>
      </c>
      <c r="J46" s="7" t="s">
        <v>78</v>
      </c>
      <c r="K46" s="26" t="s">
        <v>3246</v>
      </c>
      <c r="L46" s="26" t="s">
        <v>637</v>
      </c>
      <c r="M46" s="86" t="s">
        <v>2905</v>
      </c>
      <c r="N46" s="86" t="s">
        <v>2906</v>
      </c>
      <c r="O46" s="86" t="s">
        <v>2830</v>
      </c>
      <c r="P46" s="86" t="str">
        <f>VLOOKUP(I46,Schedule!H:AR,37,FALSE)</f>
        <v>Audited on another address : 49-A, New Jawahar Nagar, ( Opp Apj School, Bmc Chowk ) Jalandhar City, Jalandhar-144001</v>
      </c>
      <c r="Q46" s="86" t="s">
        <v>3323</v>
      </c>
      <c r="R46" s="86" t="str">
        <f t="shared" si="0"/>
        <v>ashutosh.gupta3@yes.bank.in,sukhwant.singh2@yes.bank.in,ashutosh.gupta3@yes.bank.in,harmeet.singh5@yes.bank.in,sunil.jangir@yes.bank.in,sameer.dhar@yes.bank.in,kushpal.singh@yes.bank.in,sukhwinder.singh18@yes.bank.in,sunil.kumar113@yes.bank.in,vikash.kumar40@yes.bank.in,vivekkumar.kaushal@yes.bank.in,manmohan.singh7@yes.bank.in,sukhwant.singh2@yes.bank.in,lonika.kotekar@yes.bank.in,shirajahmed.habib@yes.bank.in,Gaurav@kgac.in,AmanM@kgac.in,hariom@kgac.in</v>
      </c>
      <c r="S46" s="85" t="str">
        <f t="shared" si="11"/>
        <v>Draft audit report of Resolution Achievers_Collection_Jalandhar_April '26_ (Audit Period Jan'26 to Mar'26)</v>
      </c>
      <c r="T46" s="84" t="str">
        <f t="shared" si="2"/>
        <v>Please find the attached Draft audit report of Resolution Achievers_Collection_Jalandhar_April '26_ (Audit Period Jan'26 to Mar'26)</v>
      </c>
      <c r="U46" s="84" t="s">
        <v>2240</v>
      </c>
      <c r="V46" s="84"/>
    </row>
    <row r="47" spans="1:22" x14ac:dyDescent="0.3">
      <c r="A47" s="1">
        <v>56</v>
      </c>
      <c r="B47" s="1" t="s">
        <v>363</v>
      </c>
      <c r="C47" s="2">
        <v>26517</v>
      </c>
      <c r="D47" s="3" t="s">
        <v>40</v>
      </c>
      <c r="E47" s="3" t="s">
        <v>41</v>
      </c>
      <c r="F47" s="3" t="s">
        <v>156</v>
      </c>
      <c r="G47" s="88" t="s">
        <v>43</v>
      </c>
      <c r="H47" s="96">
        <v>3</v>
      </c>
      <c r="I47" s="3" t="s">
        <v>1939</v>
      </c>
      <c r="J47" s="7" t="s">
        <v>78</v>
      </c>
      <c r="K47" s="26" t="s">
        <v>3241</v>
      </c>
      <c r="L47" s="26" t="s">
        <v>370</v>
      </c>
      <c r="M47" s="86" t="s">
        <v>2891</v>
      </c>
      <c r="N47" s="86" t="s">
        <v>2892</v>
      </c>
      <c r="O47" s="86" t="s">
        <v>2830</v>
      </c>
      <c r="P47" s="86" t="str">
        <f>VLOOKUP(I47,Schedule!H:AR,37,FALSE)</f>
        <v>NA</v>
      </c>
      <c r="Q47" s="86" t="s">
        <v>3408</v>
      </c>
      <c r="R47" s="86" t="str">
        <f t="shared" si="0"/>
        <v>ashutosh.gupta3@yes.bank.in,ashutosh.gupta3@yes.bank.in,harmeet.singh5@yes.bank.in,krishan.saini@yes.bank.in,pramod.sankhala@yes.bank.in,jaspreetsingh.bhathal@yes.bank.in,sahil.gorsi@yes.bank.in,sunil.kumar113@yes.bank.in,jagmohan.singh3@yes.bank.in,kailash.devanda@yes.bank.in,sunil.choudhary2@yes.bank.in,lonika.kotekar@yes.bank.in,shirajahmed.habib@yes.bank.in,Gaurav@kgac.in,AmanM@kgac.in,hariom@kgac.in</v>
      </c>
      <c r="S47" s="85" t="str">
        <f>_xlfn.CONCAT("Draft audit report of ","Excel Agencies","_Collection_","Amritsar, Ludhiana, Mohali","_April '26_ (Audit Period Jan'26 to Mar'26)")</f>
        <v>Draft audit report of Excel Agencies_Collection_Amritsar, Ludhiana, Mohali_April '26_ (Audit Period Jan'26 to Mar'26)</v>
      </c>
      <c r="T47" s="84" t="str">
        <f t="shared" si="2"/>
        <v>Please find the attached Draft audit report of Excel Agencies_Collection_Amritsar, Ludhiana, Mohali_April '26_ (Audit Period Jan'26 to Mar'26)</v>
      </c>
      <c r="U47" s="84" t="s">
        <v>1994</v>
      </c>
      <c r="V47" s="84" t="s">
        <v>3693</v>
      </c>
    </row>
    <row r="48" spans="1:22" x14ac:dyDescent="0.3">
      <c r="A48" s="1">
        <v>58</v>
      </c>
      <c r="B48" s="1" t="s">
        <v>948</v>
      </c>
      <c r="C48" s="2">
        <v>67902</v>
      </c>
      <c r="D48" s="3" t="s">
        <v>40</v>
      </c>
      <c r="E48" s="3" t="s">
        <v>41</v>
      </c>
      <c r="F48" s="3" t="s">
        <v>156</v>
      </c>
      <c r="G48" s="88" t="s">
        <v>43</v>
      </c>
      <c r="H48" s="96">
        <v>1</v>
      </c>
      <c r="I48" s="3" t="s">
        <v>1722</v>
      </c>
      <c r="J48" s="7" t="s">
        <v>78</v>
      </c>
      <c r="K48" s="26" t="s">
        <v>951</v>
      </c>
      <c r="L48" s="26" t="s">
        <v>951</v>
      </c>
      <c r="M48" s="86" t="s">
        <v>2907</v>
      </c>
      <c r="N48" s="86" t="s">
        <v>2908</v>
      </c>
      <c r="O48" s="86" t="s">
        <v>257</v>
      </c>
      <c r="P48" s="86" t="str">
        <f>VLOOKUP(I48,Schedule!H:AR,37,FALSE)</f>
        <v>NA</v>
      </c>
      <c r="Q48" s="86" t="s">
        <v>3324</v>
      </c>
      <c r="R48" s="86" t="str">
        <f t="shared" si="0"/>
        <v>pawan.rana@yes.bank.in,rajesh.kohli@yes.bank.in,lonika.kotekar@yes.bank.in,shirajahmed.habib@yes.bank.in,Gaurav@kgac.in,AmanM@kgac.in,hariom@kgac.in</v>
      </c>
      <c r="S48" s="85" t="str">
        <f t="shared" si="11"/>
        <v>Draft audit report of Saini Associates_Collection_Ludhiana_April '26_ (Audit Period Jan'26 to Mar'26)</v>
      </c>
      <c r="T48" s="84" t="str">
        <f t="shared" si="2"/>
        <v>Please find the attached Draft audit report of Saini Associates_Collection_Ludhiana_April '26_ (Audit Period Jan'26 to Mar'26)</v>
      </c>
      <c r="U48" s="84" t="s">
        <v>2240</v>
      </c>
      <c r="V48" s="84"/>
    </row>
    <row r="49" spans="1:22" x14ac:dyDescent="0.3">
      <c r="A49" s="1">
        <v>59</v>
      </c>
      <c r="B49" s="1" t="s">
        <v>155</v>
      </c>
      <c r="C49" s="2">
        <v>24918</v>
      </c>
      <c r="D49" s="3" t="s">
        <v>40</v>
      </c>
      <c r="E49" s="3" t="s">
        <v>41</v>
      </c>
      <c r="F49" s="3" t="s">
        <v>156</v>
      </c>
      <c r="G49" s="88" t="s">
        <v>43</v>
      </c>
      <c r="H49" s="96">
        <v>1</v>
      </c>
      <c r="I49" s="3" t="s">
        <v>157</v>
      </c>
      <c r="J49" s="7" t="s">
        <v>57</v>
      </c>
      <c r="K49" s="26" t="s">
        <v>3247</v>
      </c>
      <c r="L49" s="26" t="s">
        <v>163</v>
      </c>
      <c r="M49" s="86" t="s">
        <v>2909</v>
      </c>
      <c r="N49" s="86" t="s">
        <v>2910</v>
      </c>
      <c r="O49" s="86" t="s">
        <v>2911</v>
      </c>
      <c r="P49" s="86" t="str">
        <f>VLOOKUP(I49,Schedule!H:AR,37,FALSE)</f>
        <v>NA</v>
      </c>
      <c r="Q49" s="86" t="s">
        <v>3325</v>
      </c>
      <c r="R49" s="86" t="str">
        <f t="shared" si="0"/>
        <v>ashutosh.gupta3@yes.bank.in,sandeep.mehta3@yes.bank.in,sameer.dhar@yes.bank.in,harmeet.singh5@yes.bank.in,ashutosh.gupta3@yes.bank.in,sanjeev.kumar30@yes.bank.in,vineet.kumar12@yes.bank.in,vikas.chawla@yes.bank.in,sunil.jangir@yes.bank.in,chetram.chahal@yes.bank.in,gagandeep.malhotra1@yes.bank.in,gur.singh@yes.bank.in,harjinder.singh7@yes.bank.in,jagmohan.singh3@yes.bank.in,ekta.rani1@yes.bank.in,maninder.kumar@yes.bank.in,manmohan.singh7@yes.bank.in,gaurav.mahajan2@yes.bank.in,bhushan.kumar1@yes.bank.in,neeraj.kumar36@yes.bank.in,abhishek.arora7@yes.bank.in,LavenderSingh.Negi@yes.bank.in,ankit.sandhu@yes.bank.in,lonika.kotekar@yes.bank.in,shirajahmed.habib@yes.bank.in,Gaurav@kgac.in,AmanM@kgac.in,hariom@kgac.in</v>
      </c>
      <c r="S49" s="85" t="str">
        <f>_xlfn.CONCAT("Draft audit report of ",I49,"_Collection &amp; Repossession_",F49,"_April '26_ (Audit Period Jan'26 to Mar'26)")</f>
        <v>Draft audit report of Savviour Agency_Collection &amp; Repossession_Ludhiana_April '26_ (Audit Period Jan'26 to Mar'26)</v>
      </c>
      <c r="T49" s="84" t="str">
        <f t="shared" si="2"/>
        <v>Please find the attached Draft audit report of Savviour Agency_Collection &amp; Repossession_Ludhiana_April '26_ (Audit Period Jan'26 to Mar'26)</v>
      </c>
      <c r="U49" s="84" t="s">
        <v>1994</v>
      </c>
      <c r="V49" s="84" t="s">
        <v>3693</v>
      </c>
    </row>
    <row r="50" spans="1:22" x14ac:dyDescent="0.3">
      <c r="A50" s="1">
        <v>60</v>
      </c>
      <c r="B50" s="1" t="s">
        <v>60</v>
      </c>
      <c r="C50" s="2">
        <v>406000</v>
      </c>
      <c r="D50" s="3" t="s">
        <v>40</v>
      </c>
      <c r="E50" s="3" t="s">
        <v>41</v>
      </c>
      <c r="F50" s="3" t="s">
        <v>156</v>
      </c>
      <c r="G50" s="88" t="s">
        <v>43</v>
      </c>
      <c r="H50" s="96">
        <v>1</v>
      </c>
      <c r="I50" s="3" t="s">
        <v>1219</v>
      </c>
      <c r="J50" s="7" t="s">
        <v>78</v>
      </c>
      <c r="K50" s="26" t="s">
        <v>3248</v>
      </c>
      <c r="L50" s="26" t="s">
        <v>1222</v>
      </c>
      <c r="M50" s="86" t="s">
        <v>2912</v>
      </c>
      <c r="N50" s="86" t="s">
        <v>2894</v>
      </c>
      <c r="O50" s="86" t="s">
        <v>257</v>
      </c>
      <c r="P50" s="86" t="str">
        <f>VLOOKUP(I50,Schedule!H:AR,37,FALSE)</f>
        <v>NA</v>
      </c>
      <c r="Q50" s="86" t="s">
        <v>3326</v>
      </c>
      <c r="R50" s="86" t="str">
        <f t="shared" si="0"/>
        <v>sukhwant.singh2@yes.bank.in,sukhwant.singh2@yes.bank.in,sukhwinder.singh18@yes.bank.in,kushpal.singh@yes.bank.in,lonika.kotekar@yes.bank.in,shirajahmed.habib@yes.bank.in,Gaurav@kgac.in,AmanM@kgac.in,hariom@kgac.in</v>
      </c>
      <c r="S50" s="85" t="str">
        <f t="shared" ref="S50" si="12">_xlfn.CONCAT("Draft audit report of ",I50,"_Collection_",F50,"_April '26_ (Audit Period Jan'26 to Mar'26)")</f>
        <v>Draft audit report of Shivjot Enterprises_Collection_Ludhiana_April '26_ (Audit Period Jan'26 to Mar'26)</v>
      </c>
      <c r="T50" s="84" t="str">
        <f t="shared" si="2"/>
        <v>Please find the attached Draft audit report of Shivjot Enterprises_Collection_Ludhiana_April '26_ (Audit Period Jan'26 to Mar'26)</v>
      </c>
      <c r="U50" s="84" t="s">
        <v>2240</v>
      </c>
      <c r="V50" s="84"/>
    </row>
    <row r="51" spans="1:22" x14ac:dyDescent="0.3">
      <c r="A51" s="1">
        <v>61</v>
      </c>
      <c r="B51" s="1" t="s">
        <v>363</v>
      </c>
      <c r="C51" s="2">
        <v>26517</v>
      </c>
      <c r="D51" s="3" t="s">
        <v>40</v>
      </c>
      <c r="E51" s="3" t="s">
        <v>41</v>
      </c>
      <c r="F51" s="3" t="s">
        <v>1603</v>
      </c>
      <c r="G51" s="88" t="s">
        <v>43</v>
      </c>
      <c r="H51" s="96">
        <v>3</v>
      </c>
      <c r="I51" s="3" t="s">
        <v>1938</v>
      </c>
      <c r="J51" s="7" t="s">
        <v>78</v>
      </c>
      <c r="K51" s="26" t="s">
        <v>3241</v>
      </c>
      <c r="L51" s="26" t="s">
        <v>370</v>
      </c>
      <c r="M51" s="86" t="s">
        <v>2891</v>
      </c>
      <c r="N51" s="86" t="s">
        <v>2892</v>
      </c>
      <c r="O51" s="86" t="s">
        <v>2830</v>
      </c>
      <c r="P51" s="86" t="str">
        <f>VLOOKUP(I51,Schedule!H:AR,37,FALSE)</f>
        <v>NA</v>
      </c>
      <c r="Q51" s="86" t="s">
        <v>3408</v>
      </c>
      <c r="R51" s="86" t="str">
        <f t="shared" si="0"/>
        <v>ashutosh.gupta3@yes.bank.in,ashutosh.gupta3@yes.bank.in,harmeet.singh5@yes.bank.in,krishan.saini@yes.bank.in,pramod.sankhala@yes.bank.in,jaspreetsingh.bhathal@yes.bank.in,sahil.gorsi@yes.bank.in,sunil.kumar113@yes.bank.in,jagmohan.singh3@yes.bank.in,kailash.devanda@yes.bank.in,sunil.choudhary2@yes.bank.in,lonika.kotekar@yes.bank.in,shirajahmed.habib@yes.bank.in,Gaurav@kgac.in,AmanM@kgac.in,hariom@kgac.in</v>
      </c>
      <c r="S51" s="85" t="str">
        <f>_xlfn.CONCAT("Draft audit report of ","Excel Agencies","_Collection_","Amritsar, Ludhiana, Mohali","_April '26_ (Audit Period Jan'26 to Mar'26)")</f>
        <v>Draft audit report of Excel Agencies_Collection_Amritsar, Ludhiana, Mohali_April '26_ (Audit Period Jan'26 to Mar'26)</v>
      </c>
      <c r="T51" s="84" t="str">
        <f t="shared" si="2"/>
        <v>Please find the attached Draft audit report of Excel Agencies_Collection_Amritsar, Ludhiana, Mohali_April '26_ (Audit Period Jan'26 to Mar'26)</v>
      </c>
      <c r="U51" s="84" t="s">
        <v>1994</v>
      </c>
      <c r="V51" s="84" t="s">
        <v>3693</v>
      </c>
    </row>
    <row r="52" spans="1:22" x14ac:dyDescent="0.3">
      <c r="A52" s="1">
        <v>62</v>
      </c>
      <c r="B52" s="1" t="s">
        <v>60</v>
      </c>
      <c r="C52" s="2">
        <v>310988</v>
      </c>
      <c r="D52" s="3" t="s">
        <v>40</v>
      </c>
      <c r="E52" s="3" t="s">
        <v>199</v>
      </c>
      <c r="F52" s="3" t="s">
        <v>452</v>
      </c>
      <c r="G52" s="88" t="s">
        <v>43</v>
      </c>
      <c r="H52" s="96">
        <v>1</v>
      </c>
      <c r="I52" s="3" t="s">
        <v>533</v>
      </c>
      <c r="J52" s="7" t="s">
        <v>57</v>
      </c>
      <c r="K52" s="26"/>
      <c r="L52" s="26" t="s">
        <v>534</v>
      </c>
      <c r="M52" s="86" t="s">
        <v>2913</v>
      </c>
      <c r="N52" s="86" t="s">
        <v>2914</v>
      </c>
      <c r="O52" s="86" t="s">
        <v>257</v>
      </c>
      <c r="P52" s="86" t="str">
        <f>VLOOKUP(I52,Schedule!H:AR,37,FALSE)</f>
        <v>NA</v>
      </c>
      <c r="Q52" s="86" t="s">
        <v>534</v>
      </c>
      <c r="R52" s="86" t="str">
        <f t="shared" si="0"/>
        <v>vivek.joshi4@yes.bank.in,ashish.tiwari10@yes.bank.in,lonika.kotekar@yes.bank.in,shirajahmed.habib@yes.bank.in,Gaurav@kgac.in,AmanM@kgac.in,hariom@kgac.in</v>
      </c>
      <c r="S52" s="85" t="str">
        <f>_xlfn.CONCAT("Draft audit report of ",I52,"_Collection &amp; Repossession_",F52,"_April '26_ (Audit Period Jan'26 to Mar'26)")</f>
        <v>Draft audit report of Harshita Associates_Collection &amp; Repossession_Ajmer_April '26_ (Audit Period Jan'26 to Mar'26)</v>
      </c>
      <c r="T52" s="84" t="str">
        <f t="shared" si="2"/>
        <v>Please find the attached Draft audit report of Harshita Associates_Collection &amp; Repossession_Ajmer_April '26_ (Audit Period Jan'26 to Mar'26)</v>
      </c>
      <c r="U52" s="84" t="s">
        <v>1994</v>
      </c>
      <c r="V52" s="84" t="s">
        <v>3693</v>
      </c>
    </row>
    <row r="53" spans="1:22" x14ac:dyDescent="0.3">
      <c r="A53" s="1">
        <v>64</v>
      </c>
      <c r="B53" s="1" t="s">
        <v>334</v>
      </c>
      <c r="C53" s="2">
        <v>51542</v>
      </c>
      <c r="D53" s="3" t="s">
        <v>40</v>
      </c>
      <c r="E53" s="3" t="s">
        <v>199</v>
      </c>
      <c r="F53" s="3" t="s">
        <v>200</v>
      </c>
      <c r="G53" s="88" t="s">
        <v>43</v>
      </c>
      <c r="H53" s="96">
        <v>1</v>
      </c>
      <c r="I53" s="3" t="s">
        <v>335</v>
      </c>
      <c r="J53" s="7" t="s">
        <v>78</v>
      </c>
      <c r="K53" s="26" t="s">
        <v>338</v>
      </c>
      <c r="L53" s="26" t="s">
        <v>338</v>
      </c>
      <c r="M53" s="86" t="s">
        <v>2915</v>
      </c>
      <c r="N53" s="86" t="s">
        <v>2916</v>
      </c>
      <c r="O53" s="86" t="s">
        <v>2917</v>
      </c>
      <c r="P53" s="86" t="str">
        <f>VLOOKUP(I53,Schedule!H:AR,37,FALSE)</f>
        <v>NA</v>
      </c>
      <c r="Q53" s="86" t="s">
        <v>3327</v>
      </c>
      <c r="R53" s="86" t="str">
        <f t="shared" si="0"/>
        <v>avinash.kumar17@yes.bank.in,sameer.dhar@yes.bank.in,ashutosh.gupta3@yes.bank.in,avinash.kumar17@yes.bank.in,kalpesh.raval@yes.bank.in,lokeshkumar.sharma@yes.bank.in,sameer.dhar@yes.bank.in,sanjeev.kumar30@yes.bank.in,pawan.rana@yes.bank.in,vivek.joshi4@yes.bank.in,mahendra.chouhan1@yes.bank.in,subhash.sharma4@yes.bank.in,dinesh.kumar44@yes.bank.in,ashish.tiwari10@yes.bank.in,lalchand.chimpa@yes.bank.in,pawan.kumar61@yes.bank.in,lonika.kotekar@yes.bank.in,shirajahmed.habib@yes.bank.in,Gaurav@kgac.in,AmanM@kgac.in,hariom@kgac.in</v>
      </c>
      <c r="S53" s="85" t="str">
        <f t="shared" ref="S53:S55" si="13">_xlfn.CONCAT("Draft audit report of ",I53,"_Collection_",F53,"_April '26_ (Audit Period Jan'26 to Mar'26)")</f>
        <v>Draft audit report of D S Associates_Collection_Bikaner_April '26_ (Audit Period Jan'26 to Mar'26)</v>
      </c>
      <c r="T53" s="84" t="str">
        <f t="shared" si="2"/>
        <v>Please find the attached Draft audit report of D S Associates_Collection_Bikaner_April '26_ (Audit Period Jan'26 to Mar'26)</v>
      </c>
      <c r="U53" s="84" t="s">
        <v>2243</v>
      </c>
      <c r="V53" s="84"/>
    </row>
    <row r="54" spans="1:22" x14ac:dyDescent="0.3">
      <c r="A54" s="1">
        <v>65</v>
      </c>
      <c r="B54" s="1" t="s">
        <v>198</v>
      </c>
      <c r="C54" s="2">
        <v>25659</v>
      </c>
      <c r="D54" s="3" t="s">
        <v>40</v>
      </c>
      <c r="E54" s="3" t="s">
        <v>199</v>
      </c>
      <c r="F54" s="3" t="s">
        <v>200</v>
      </c>
      <c r="G54" s="88" t="s">
        <v>43</v>
      </c>
      <c r="H54" s="96">
        <v>1</v>
      </c>
      <c r="I54" s="3" t="s">
        <v>201</v>
      </c>
      <c r="J54" s="7" t="s">
        <v>78</v>
      </c>
      <c r="K54" s="26" t="s">
        <v>3249</v>
      </c>
      <c r="L54" s="26" t="s">
        <v>207</v>
      </c>
      <c r="M54" s="86" t="s">
        <v>2918</v>
      </c>
      <c r="N54" s="86" t="s">
        <v>2919</v>
      </c>
      <c r="O54" s="86" t="s">
        <v>257</v>
      </c>
      <c r="P54" s="86" t="str">
        <f>VLOOKUP(I54,Schedule!H:AR,37,FALSE)</f>
        <v>NA</v>
      </c>
      <c r="Q54" s="86" t="s">
        <v>3328</v>
      </c>
      <c r="R54" s="86" t="str">
        <f t="shared" si="0"/>
        <v>manish.shukla10@yes.bank.in,dilip.bhati@yes.bank.in,lonika.kotekar@yes.bank.in,shirajahmed.habib@yes.bank.in,Gaurav@kgac.in,AmanM@kgac.in,hariom@kgac.in</v>
      </c>
      <c r="S54" s="85" t="str">
        <f t="shared" si="13"/>
        <v>Draft audit report of Maa Bhawani Auto Enterprises_Collection_Bikaner_April '26_ (Audit Period Jan'26 to Mar'26)</v>
      </c>
      <c r="T54" s="84" t="str">
        <f t="shared" si="2"/>
        <v>Please find the attached Draft audit report of Maa Bhawani Auto Enterprises_Collection_Bikaner_April '26_ (Audit Period Jan'26 to Mar'26)</v>
      </c>
      <c r="U54" s="84" t="s">
        <v>2243</v>
      </c>
      <c r="V54" s="84"/>
    </row>
    <row r="55" spans="1:22" x14ac:dyDescent="0.3">
      <c r="A55" s="1">
        <v>67</v>
      </c>
      <c r="B55" s="1" t="s">
        <v>60</v>
      </c>
      <c r="C55" s="2">
        <v>365999</v>
      </c>
      <c r="D55" s="3" t="s">
        <v>40</v>
      </c>
      <c r="E55" s="3" t="s">
        <v>199</v>
      </c>
      <c r="F55" s="3" t="s">
        <v>214</v>
      </c>
      <c r="G55" s="88" t="s">
        <v>43</v>
      </c>
      <c r="H55" s="96">
        <v>1</v>
      </c>
      <c r="I55" s="3" t="s">
        <v>1751</v>
      </c>
      <c r="J55" s="7" t="s">
        <v>78</v>
      </c>
      <c r="K55" s="26" t="s">
        <v>3250</v>
      </c>
      <c r="L55" s="26" t="s">
        <v>1250</v>
      </c>
      <c r="M55" s="86" t="s">
        <v>2920</v>
      </c>
      <c r="N55" s="86" t="s">
        <v>2919</v>
      </c>
      <c r="O55" s="86" t="s">
        <v>257</v>
      </c>
      <c r="P55" s="86" t="str">
        <f>VLOOKUP(I55,Schedule!H:AR,37,FALSE)</f>
        <v>NA</v>
      </c>
      <c r="Q55" s="86" t="s">
        <v>3329</v>
      </c>
      <c r="R55" s="86" t="str">
        <f t="shared" si="0"/>
        <v>manish.shukla10@yes.bank.in,pravesh.sharma1@yes.bank.in,lonika.kotekar@yes.bank.in,shirajahmed.habib@yes.bank.in,Gaurav@kgac.in,AmanM@kgac.in,hariom@kgac.in</v>
      </c>
      <c r="S55" s="85" t="str">
        <f t="shared" si="13"/>
        <v>Draft audit report of Bank Bridge Solution_Collection_Jaipur_April '26_ (Audit Period Jan'26 to Mar'26)</v>
      </c>
      <c r="T55" s="84" t="str">
        <f t="shared" si="2"/>
        <v>Please find the attached Draft audit report of Bank Bridge Solution_Collection_Jaipur_April '26_ (Audit Period Jan'26 to Mar'26)</v>
      </c>
      <c r="U55" s="84" t="s">
        <v>2243</v>
      </c>
      <c r="V55" s="84"/>
    </row>
    <row r="56" spans="1:22" x14ac:dyDescent="0.3">
      <c r="A56" s="1">
        <v>68</v>
      </c>
      <c r="B56" s="1" t="s">
        <v>60</v>
      </c>
      <c r="C56" s="2">
        <v>351050</v>
      </c>
      <c r="D56" s="3" t="s">
        <v>40</v>
      </c>
      <c r="E56" s="3" t="s">
        <v>199</v>
      </c>
      <c r="F56" s="3" t="s">
        <v>214</v>
      </c>
      <c r="G56" s="88" t="s">
        <v>43</v>
      </c>
      <c r="H56" s="96">
        <v>1</v>
      </c>
      <c r="I56" s="3" t="s">
        <v>1742</v>
      </c>
      <c r="J56" s="7" t="s">
        <v>70</v>
      </c>
      <c r="K56" s="26"/>
      <c r="L56" s="26" t="s">
        <v>1155</v>
      </c>
      <c r="M56" s="86" t="s">
        <v>3070</v>
      </c>
      <c r="N56" s="86" t="s">
        <v>3045</v>
      </c>
      <c r="O56" s="86"/>
      <c r="P56" s="86" t="str">
        <f>VLOOKUP(I56,Schedule!H:AR,37,FALSE)</f>
        <v>NA</v>
      </c>
      <c r="Q56" s="86" t="s">
        <v>1155</v>
      </c>
      <c r="R56" s="86" t="str">
        <f t="shared" si="0"/>
        <v>sanjeev.kumar30@yes.bank.in,shyam.parkash@yes.bank.in,lonika.kotekar@yes.bank.in,shirajahmed.habib@yes.bank.in,Gaurav@kgac.in,AmanM@kgac.in,hariom@kgac.in</v>
      </c>
      <c r="S56" s="85" t="str">
        <f t="shared" ref="S56:S57" si="14">_xlfn.CONCAT("Draft audit report of ",I56,"_Repossession_",F56,"_April '26_ (Audit Period Jan'26 to Mar'26)")</f>
        <v>Draft audit report of Mahalaxmi Repo Agencies_Repossession_Jaipur_April '26_ (Audit Period Jan'26 to Mar'26)</v>
      </c>
      <c r="T56" s="84" t="str">
        <f t="shared" si="2"/>
        <v>Please find the attached Draft audit report of Mahalaxmi Repo Agencies_Repossession_Jaipur_April '26_ (Audit Period Jan'26 to Mar'26)</v>
      </c>
      <c r="U56" s="84" t="s">
        <v>2243</v>
      </c>
      <c r="V56" s="84"/>
    </row>
    <row r="57" spans="1:22" x14ac:dyDescent="0.3">
      <c r="A57" s="1">
        <v>69</v>
      </c>
      <c r="B57" s="1" t="s">
        <v>60</v>
      </c>
      <c r="C57" s="2">
        <v>354991</v>
      </c>
      <c r="D57" s="3" t="s">
        <v>40</v>
      </c>
      <c r="E57" s="3" t="s">
        <v>199</v>
      </c>
      <c r="F57" s="3" t="s">
        <v>214</v>
      </c>
      <c r="G57" s="88" t="s">
        <v>43</v>
      </c>
      <c r="H57" s="96">
        <v>1</v>
      </c>
      <c r="I57" s="3" t="s">
        <v>1707</v>
      </c>
      <c r="J57" s="7" t="s">
        <v>70</v>
      </c>
      <c r="K57" s="26"/>
      <c r="L57" s="26" t="s">
        <v>755</v>
      </c>
      <c r="M57" s="86" t="s">
        <v>3071</v>
      </c>
      <c r="N57" s="86" t="s">
        <v>257</v>
      </c>
      <c r="O57" s="86"/>
      <c r="P57" s="86" t="str">
        <f>VLOOKUP(I57,Schedule!H:AR,37,FALSE)</f>
        <v>NA</v>
      </c>
      <c r="Q57" s="86" t="s">
        <v>755</v>
      </c>
      <c r="R57" s="86" t="str">
        <f t="shared" si="0"/>
        <v>shyam.parkash@yes.bank.in,kushpal.singh@yes.bank.in,lonika.kotekar@yes.bank.in,shirajahmed.habib@yes.bank.in,Gaurav@kgac.in,AmanM@kgac.in,hariom@kgac.in</v>
      </c>
      <c r="S57" s="85" t="str">
        <f t="shared" si="14"/>
        <v>Draft audit report of Ms Ridhi Sidhi Associates_Repossession_Jaipur_April '26_ (Audit Period Jan'26 to Mar'26)</v>
      </c>
      <c r="T57" s="84" t="str">
        <f t="shared" si="2"/>
        <v>Please find the attached Draft audit report of Ms Ridhi Sidhi Associates_Repossession_Jaipur_April '26_ (Audit Period Jan'26 to Mar'26)</v>
      </c>
      <c r="U57" s="84" t="s">
        <v>2243</v>
      </c>
      <c r="V57" s="84"/>
    </row>
    <row r="58" spans="1:22" x14ac:dyDescent="0.3">
      <c r="A58" s="1">
        <v>70</v>
      </c>
      <c r="B58" s="1" t="s">
        <v>245</v>
      </c>
      <c r="C58" s="2">
        <v>25785</v>
      </c>
      <c r="D58" s="3" t="s">
        <v>40</v>
      </c>
      <c r="E58" s="3" t="s">
        <v>199</v>
      </c>
      <c r="F58" s="3" t="s">
        <v>214</v>
      </c>
      <c r="G58" s="88" t="s">
        <v>43</v>
      </c>
      <c r="H58" s="96">
        <v>1</v>
      </c>
      <c r="I58" s="3" t="s">
        <v>246</v>
      </c>
      <c r="J58" s="7" t="s">
        <v>78</v>
      </c>
      <c r="K58" s="26" t="s">
        <v>3251</v>
      </c>
      <c r="L58" s="26" t="s">
        <v>252</v>
      </c>
      <c r="M58" s="86" t="s">
        <v>2921</v>
      </c>
      <c r="N58" s="86" t="s">
        <v>2919</v>
      </c>
      <c r="O58" s="86" t="s">
        <v>257</v>
      </c>
      <c r="P58" s="86" t="str">
        <f>VLOOKUP(I58,Schedule!H:AR,37,FALSE)</f>
        <v>NA</v>
      </c>
      <c r="Q58" s="86" t="s">
        <v>3330</v>
      </c>
      <c r="R58" s="86" t="str">
        <f t="shared" si="0"/>
        <v>manish.shukla10@yes.bank.in,kuldeep.rathore1@yes.bank.in,lonika.kotekar@yes.bank.in,shirajahmed.habib@yes.bank.in,Gaurav@kgac.in,AmanM@kgac.in,hariom@kgac.in</v>
      </c>
      <c r="S58" s="85" t="str">
        <f t="shared" ref="S58:S61" si="15">_xlfn.CONCAT("Draft audit report of ",I58,"_Collection_",F58,"_April '26_ (Audit Period Jan'26 to Mar'26)")</f>
        <v>Draft audit report of National Consultants_Collection_Jaipur_April '26_ (Audit Period Jan'26 to Mar'26)</v>
      </c>
      <c r="T58" s="84" t="str">
        <f t="shared" si="2"/>
        <v>Please find the attached Draft audit report of National Consultants_Collection_Jaipur_April '26_ (Audit Period Jan'26 to Mar'26)</v>
      </c>
      <c r="U58" s="84" t="s">
        <v>2243</v>
      </c>
      <c r="V58" s="84"/>
    </row>
    <row r="59" spans="1:22" x14ac:dyDescent="0.3">
      <c r="A59" s="1">
        <v>71</v>
      </c>
      <c r="B59" s="1" t="s">
        <v>60</v>
      </c>
      <c r="C59" s="2">
        <v>332002</v>
      </c>
      <c r="D59" s="3" t="s">
        <v>40</v>
      </c>
      <c r="E59" s="3" t="s">
        <v>199</v>
      </c>
      <c r="F59" s="3" t="s">
        <v>214</v>
      </c>
      <c r="G59" s="88" t="s">
        <v>43</v>
      </c>
      <c r="H59" s="96">
        <v>2</v>
      </c>
      <c r="I59" s="3" t="s">
        <v>1957</v>
      </c>
      <c r="J59" s="7" t="s">
        <v>78</v>
      </c>
      <c r="K59" s="4" t="s">
        <v>3252</v>
      </c>
      <c r="L59" s="4" t="s">
        <v>1064</v>
      </c>
      <c r="M59" s="86" t="s">
        <v>2922</v>
      </c>
      <c r="N59" s="86" t="s">
        <v>2923</v>
      </c>
      <c r="O59" s="86" t="s">
        <v>2853</v>
      </c>
      <c r="P59" s="86" t="str">
        <f>VLOOKUP(I59,Schedule!H:AR,37,FALSE)</f>
        <v>NA</v>
      </c>
      <c r="Q59" s="86" t="s">
        <v>3331</v>
      </c>
      <c r="R59" s="86" t="str">
        <f t="shared" si="0"/>
        <v>avinash.kumar17@yes.bank.in,sameer.dhar@yes.bank.in,biswarup.ghosh@yes.bank.in,abhinav.lal2@yes.bank.in,ashutosh.gupta3@yes.bank.in,sunil.jangir@yes.bank.in,avinash.kumar17@yes.bank.in,sanjeev.kumar30@yes.bank.in,vikas.chawla@yes.bank.in,chetram.chahal@yes.bank.in,amit.pandey12@yes.bank.in,SyedMohd.Raza@yes.bank.in,ritam.basak@yes.bank.in,kailash.devanda@yes.bank.in,rajeev.jain@yes.bank.in,surendra.jhala@yes.bank.in,subhash.sharma4@yes.bank.in,mahendra.singhrathore@yes.bank.in,tarkeshwar.singh@yes.bank.in,rahul.jirota@yes.bank.in,nitinkumar.singh@yes.bank.in,siddharth.maharishi@yes.bank.in,rahul.harishankar@yes.bank.in,deepak.singh39@yes.bank.in,devendra.asthana@yes.bank.in,vivek.gupta13@yes.bank.in,jetendra.singh@yes.bank.in,abhishek.arora7@yes.bank.in,ankit.sandhu@yes.bank.in,maya.choudhary@yes.bank.in,yogesh.sharma5@yes.bank.in,manpreet.singh29@yes.bank.in,gopal.khatri@yes.bank.in,gopal.joshi1@yes.bank.in,narinder.singh3@yes.bank.in,lonika.kotekar@yes.bank.in,shirajahmed.habib@yes.bank.in,Gaurav@kgac.in,AmanM@kgac.in,hariom@kgac.in</v>
      </c>
      <c r="S59" s="85" t="str">
        <f>_xlfn.CONCAT("Draft audit report of ","Rakesh Kumar Sharma &amp; Consultants Pvt Ltd","_Collection_","Mathura, Jaipur","_April '26_ (Audit Period Jan'26 to Mar'26)")</f>
        <v>Draft audit report of Rakesh Kumar Sharma &amp; Consultants Pvt Ltd_Collection_Mathura, Jaipur_April '26_ (Audit Period Jan'26 to Mar'26)</v>
      </c>
      <c r="T59" s="84" t="str">
        <f t="shared" si="2"/>
        <v>Please find the attached Draft audit report of Rakesh Kumar Sharma &amp; Consultants Pvt Ltd_Collection_Mathura, Jaipur_April '26_ (Audit Period Jan'26 to Mar'26)</v>
      </c>
      <c r="U59" s="84" t="s">
        <v>1994</v>
      </c>
      <c r="V59" s="84" t="s">
        <v>3693</v>
      </c>
    </row>
    <row r="60" spans="1:22" x14ac:dyDescent="0.3">
      <c r="A60" s="1">
        <v>72</v>
      </c>
      <c r="B60" s="1" t="s">
        <v>523</v>
      </c>
      <c r="C60" s="2">
        <v>45813</v>
      </c>
      <c r="D60" s="3" t="s">
        <v>40</v>
      </c>
      <c r="E60" s="3" t="s">
        <v>199</v>
      </c>
      <c r="F60" s="3" t="s">
        <v>214</v>
      </c>
      <c r="G60" s="88" t="s">
        <v>43</v>
      </c>
      <c r="H60" s="96">
        <v>1</v>
      </c>
      <c r="I60" s="3" t="s">
        <v>524</v>
      </c>
      <c r="J60" s="7" t="s">
        <v>78</v>
      </c>
      <c r="K60" s="26" t="s">
        <v>529</v>
      </c>
      <c r="L60" s="26" t="s">
        <v>529</v>
      </c>
      <c r="M60" s="86" t="s">
        <v>2924</v>
      </c>
      <c r="N60" s="86" t="s">
        <v>2925</v>
      </c>
      <c r="O60" s="86" t="s">
        <v>2853</v>
      </c>
      <c r="P60" s="86" t="str">
        <f>VLOOKUP(I60,Schedule!H:AR,37,FALSE)</f>
        <v>NA</v>
      </c>
      <c r="Q60" s="86" t="s">
        <v>3332</v>
      </c>
      <c r="R60" s="86" t="str">
        <f t="shared" si="0"/>
        <v>avinash.kumar17@yes.bank.in,manish.shukla10@yes.bank.in,avinash.kumar17@yes.bank.in,sanjeev.kumar30@yes.bank.in,sameer.dhar@yes.bank.in,pawan.rana@yes.bank.in,kuldeep.rathore1@yes.bank.in,subhash.sharma4@yes.bank.in,siddharth.maharishi@yes.bank.in,rajveer.singh5@yes.bank.in,kamal.kumar13@yes.bank.in,lonika.kotekar@yes.bank.in,shirajahmed.habib@yes.bank.in,Gaurav@kgac.in,AmanM@kgac.in,hariom@kgac.in</v>
      </c>
      <c r="S60" s="85" t="str">
        <f t="shared" si="15"/>
        <v>Draft audit report of Sanvi Financial Services_Collection_Jaipur_April '26_ (Audit Period Jan'26 to Mar'26)</v>
      </c>
      <c r="T60" s="84" t="str">
        <f t="shared" si="2"/>
        <v>Please find the attached Draft audit report of Sanvi Financial Services_Collection_Jaipur_April '26_ (Audit Period Jan'26 to Mar'26)</v>
      </c>
      <c r="U60" s="84" t="s">
        <v>2243</v>
      </c>
      <c r="V60" s="84"/>
    </row>
    <row r="61" spans="1:22" x14ac:dyDescent="0.3">
      <c r="A61" s="1">
        <v>73</v>
      </c>
      <c r="B61" s="1" t="s">
        <v>60</v>
      </c>
      <c r="C61" s="2">
        <v>317996</v>
      </c>
      <c r="D61" s="3" t="s">
        <v>40</v>
      </c>
      <c r="E61" s="3" t="s">
        <v>199</v>
      </c>
      <c r="F61" s="3" t="s">
        <v>214</v>
      </c>
      <c r="G61" s="88" t="s">
        <v>43</v>
      </c>
      <c r="H61" s="96">
        <v>1</v>
      </c>
      <c r="I61" s="3" t="s">
        <v>1034</v>
      </c>
      <c r="J61" s="7" t="s">
        <v>78</v>
      </c>
      <c r="K61" s="26" t="s">
        <v>1035</v>
      </c>
      <c r="L61" s="26" t="s">
        <v>1035</v>
      </c>
      <c r="M61" s="86" t="s">
        <v>2926</v>
      </c>
      <c r="N61" s="86" t="s">
        <v>2927</v>
      </c>
      <c r="O61" s="86" t="s">
        <v>2853</v>
      </c>
      <c r="P61" s="86" t="str">
        <f>VLOOKUP(I61,Schedule!H:AR,37,FALSE)</f>
        <v>Audited for Collection Only, all activity of repossession are followed from Agra,Lucknow</v>
      </c>
      <c r="Q61" s="86" t="s">
        <v>3333</v>
      </c>
      <c r="R61" s="86" t="str">
        <f t="shared" si="0"/>
        <v>avinash.kumar17@yes.bank.in,avinash.kumar17@yes.bank.in,vivek.joshi4@yes.bank.in,subhash.sharma4@yes.bank.in,kishore.singh2@yes.bank.in,deependra.rathore@yes.bank.in,himmat.mangawa@yes.bank.in,lonika.kotekar@yes.bank.in,shirajahmed.habib@yes.bank.in,Gaurav@kgac.in,AmanM@kgac.in,hariom@kgac.in</v>
      </c>
      <c r="S61" s="85" t="str">
        <f t="shared" si="15"/>
        <v>Draft audit report of Shri Sai Associates_Collection_Jaipur_April '26_ (Audit Period Jan'26 to Mar'26)</v>
      </c>
      <c r="T61" s="84" t="str">
        <f t="shared" si="2"/>
        <v>Please find the attached Draft audit report of Shri Sai Associates_Collection_Jaipur_April '26_ (Audit Period Jan'26 to Mar'26)</v>
      </c>
      <c r="U61" s="84" t="s">
        <v>2243</v>
      </c>
      <c r="V61" s="84"/>
    </row>
    <row r="62" spans="1:22" x14ac:dyDescent="0.3">
      <c r="A62" s="1">
        <v>74</v>
      </c>
      <c r="B62" s="1" t="s">
        <v>60</v>
      </c>
      <c r="C62" s="2">
        <v>350992</v>
      </c>
      <c r="D62" s="3" t="s">
        <v>40</v>
      </c>
      <c r="E62" s="3" t="s">
        <v>199</v>
      </c>
      <c r="F62" s="3" t="s">
        <v>837</v>
      </c>
      <c r="G62" s="88" t="s">
        <v>43</v>
      </c>
      <c r="H62" s="96">
        <v>1</v>
      </c>
      <c r="I62" s="3" t="s">
        <v>1714</v>
      </c>
      <c r="J62" s="7" t="s">
        <v>57</v>
      </c>
      <c r="K62" s="26" t="s">
        <v>871</v>
      </c>
      <c r="L62" s="26" t="s">
        <v>871</v>
      </c>
      <c r="M62" s="86" t="s">
        <v>2928</v>
      </c>
      <c r="N62" s="86" t="s">
        <v>2929</v>
      </c>
      <c r="O62" s="86" t="s">
        <v>2853</v>
      </c>
      <c r="P62" s="86" t="str">
        <f>VLOOKUP(I62,Schedule!H:AR,37,FALSE)</f>
        <v>Audited for collection and Repossessoin, as agency have repo of assest in the audit quarter</v>
      </c>
      <c r="Q62" s="86" t="s">
        <v>3334</v>
      </c>
      <c r="R62" s="86" t="str">
        <f t="shared" si="0"/>
        <v>avinash.kumar17@yes.bank.in,manish.shukla10@yes.bank.in,ashutosh.gupta3@yes.bank.in,pawan.rana@yes.bank.in,avinash.kumar17@yes.bank.in,dilip.bhati@yes.bank.in,mahendra.chouhan1@yes.bank.in,kana.choudhary@yes.bank.in,subhash.sharma4@yes.bank.in,kamal.kumar13@yes.bank.in,lonika.kotekar@yes.bank.in,shirajahmed.habib@yes.bank.in,Gaurav@kgac.in,AmanM@kgac.in,hariom@kgac.in</v>
      </c>
      <c r="S62" s="85" t="str">
        <f>_xlfn.CONCAT("Draft audit report of ",I62,"_Collection &amp; Repossession_",F62,"_April '26_ (Audit Period Jan'26 to Mar'26)")</f>
        <v>Draft audit report of Ram Associates_Collection &amp; Repossession_Jodhpur_April '26_ (Audit Period Jan'26 to Mar'26)</v>
      </c>
      <c r="T62" s="84" t="str">
        <f t="shared" si="2"/>
        <v>Please find the attached Draft audit report of Ram Associates_Collection &amp; Repossession_Jodhpur_April '26_ (Audit Period Jan'26 to Mar'26)</v>
      </c>
      <c r="U62" s="84" t="s">
        <v>1994</v>
      </c>
      <c r="V62" s="84" t="s">
        <v>3693</v>
      </c>
    </row>
    <row r="63" spans="1:22" x14ac:dyDescent="0.3">
      <c r="A63" s="1">
        <v>75</v>
      </c>
      <c r="B63" s="1" t="s">
        <v>903</v>
      </c>
      <c r="C63" s="2">
        <v>25660</v>
      </c>
      <c r="D63" s="3" t="s">
        <v>40</v>
      </c>
      <c r="E63" s="3" t="s">
        <v>199</v>
      </c>
      <c r="F63" s="3" t="s">
        <v>837</v>
      </c>
      <c r="G63" s="88" t="s">
        <v>43</v>
      </c>
      <c r="H63" s="96">
        <v>1</v>
      </c>
      <c r="I63" s="3" t="s">
        <v>904</v>
      </c>
      <c r="J63" s="7" t="s">
        <v>78</v>
      </c>
      <c r="K63" s="26" t="s">
        <v>3253</v>
      </c>
      <c r="L63" s="26" t="s">
        <v>910</v>
      </c>
      <c r="M63" s="86" t="s">
        <v>2930</v>
      </c>
      <c r="N63" s="86" t="s">
        <v>2931</v>
      </c>
      <c r="O63" s="86" t="s">
        <v>257</v>
      </c>
      <c r="P63" s="86" t="str">
        <f>VLOOKUP(I63,Schedule!H:AR,37,FALSE)</f>
        <v>NA</v>
      </c>
      <c r="Q63" s="86" t="s">
        <v>3335</v>
      </c>
      <c r="R63" s="86" t="str">
        <f t="shared" si="0"/>
        <v>manish.shukla10@yes.bank.in,pawan.rana@yes.bank.in,dilip.bhati@yes.bank.in,kana.choudhary@yes.bank.in,lonika.kotekar@yes.bank.in,shirajahmed.habib@yes.bank.in,Gaurav@kgac.in,AmanM@kgac.in,hariom@kgac.in</v>
      </c>
      <c r="S63" s="85" t="str">
        <f t="shared" ref="S63:S65" si="16">_xlfn.CONCAT("Draft audit report of ",I63,"_Collection_",F63,"_April '26_ (Audit Period Jan'26 to Mar'26)")</f>
        <v>Draft audit report of Rathore Associate_Collection_Jodhpur_April '26_ (Audit Period Jan'26 to Mar'26)</v>
      </c>
      <c r="T63" s="84" t="str">
        <f t="shared" si="2"/>
        <v>Please find the attached Draft audit report of Rathore Associate_Collection_Jodhpur_April '26_ (Audit Period Jan'26 to Mar'26)</v>
      </c>
      <c r="U63" s="84" t="s">
        <v>2243</v>
      </c>
      <c r="V63" s="84"/>
    </row>
    <row r="64" spans="1:22" x14ac:dyDescent="0.3">
      <c r="A64" s="1">
        <v>76</v>
      </c>
      <c r="B64" s="1" t="s">
        <v>1100</v>
      </c>
      <c r="C64" s="2">
        <v>12475</v>
      </c>
      <c r="D64" s="3" t="s">
        <v>40</v>
      </c>
      <c r="E64" s="3" t="s">
        <v>199</v>
      </c>
      <c r="F64" s="3" t="s">
        <v>837</v>
      </c>
      <c r="G64" s="88" t="s">
        <v>43</v>
      </c>
      <c r="H64" s="96">
        <v>1</v>
      </c>
      <c r="I64" s="3" t="s">
        <v>1101</v>
      </c>
      <c r="J64" s="7" t="s">
        <v>78</v>
      </c>
      <c r="K64" s="26" t="s">
        <v>3254</v>
      </c>
      <c r="L64" s="26" t="s">
        <v>1108</v>
      </c>
      <c r="M64" s="86" t="s">
        <v>2932</v>
      </c>
      <c r="N64" s="86" t="s">
        <v>2933</v>
      </c>
      <c r="O64" s="86" t="s">
        <v>257</v>
      </c>
      <c r="P64" s="86" t="str">
        <f>VLOOKUP(I64,Schedule!H:AR,37,FALSE)</f>
        <v>NA</v>
      </c>
      <c r="Q64" s="86" t="s">
        <v>3336</v>
      </c>
      <c r="R64" s="86" t="str">
        <f t="shared" si="0"/>
        <v>sunil.jangir@yes.bank.in,manish.shukla10@yes.bank.in,kalpesh.raval@yes.bank.in,jetendra.singh@yes.bank.in,dilip.bhati@yes.bank.in,devi.rathore@yes.bank.in,lonika.kotekar@yes.bank.in,shirajahmed.habib@yes.bank.in,Gaurav@kgac.in,AmanM@kgac.in,hariom@kgac.in</v>
      </c>
      <c r="S64" s="85" t="str">
        <f t="shared" si="16"/>
        <v>Draft audit report of Swastik Associates_Collection_Jodhpur_April '26_ (Audit Period Jan'26 to Mar'26)</v>
      </c>
      <c r="T64" s="84" t="str">
        <f t="shared" si="2"/>
        <v>Please find the attached Draft audit report of Swastik Associates_Collection_Jodhpur_April '26_ (Audit Period Jan'26 to Mar'26)</v>
      </c>
      <c r="U64" s="84" t="s">
        <v>2243</v>
      </c>
      <c r="V64" s="84"/>
    </row>
    <row r="65" spans="1:22" x14ac:dyDescent="0.3">
      <c r="A65" s="1">
        <v>77</v>
      </c>
      <c r="B65" s="1" t="s">
        <v>1173</v>
      </c>
      <c r="C65" s="2">
        <v>26470</v>
      </c>
      <c r="D65" s="3" t="s">
        <v>40</v>
      </c>
      <c r="E65" s="3" t="s">
        <v>199</v>
      </c>
      <c r="F65" s="3" t="s">
        <v>837</v>
      </c>
      <c r="G65" s="88" t="s">
        <v>43</v>
      </c>
      <c r="H65" s="96">
        <v>1</v>
      </c>
      <c r="I65" s="3" t="s">
        <v>1174</v>
      </c>
      <c r="J65" s="7" t="s">
        <v>78</v>
      </c>
      <c r="K65" s="26" t="s">
        <v>3255</v>
      </c>
      <c r="L65" s="26" t="s">
        <v>1180</v>
      </c>
      <c r="M65" s="86" t="s">
        <v>2934</v>
      </c>
      <c r="N65" s="86" t="s">
        <v>2935</v>
      </c>
      <c r="O65" s="86" t="s">
        <v>2936</v>
      </c>
      <c r="P65" s="86" t="str">
        <f>VLOOKUP(I65,Schedule!H:AR,37,FALSE)</f>
        <v>NA</v>
      </c>
      <c r="Q65" s="86" t="s">
        <v>3337</v>
      </c>
      <c r="R65" s="86" t="str">
        <f t="shared" si="0"/>
        <v>sameer.dhar@yes.bank.in,lokeshkumar.sharma@yes.bank.in,ashutosh.gupta3@yes.bank.in,manish.shukla10@yes.bank.in,sameer.dhar@yes.bank.in,sanjeev.kumar30@yes.bank.in,mahendra.chouhan1@yes.bank.in,dilip.bhati@yes.bank.in,lonika.kotekar@yes.bank.in,shirajahmed.habib@yes.bank.in,Gaurav@kgac.in,AmanM@kgac.in,hariom@kgac.in</v>
      </c>
      <c r="S65" s="85" t="str">
        <f t="shared" si="16"/>
        <v>Draft audit report of Yashraj Associates_Collection_Jodhpur_April '26_ (Audit Period Jan'26 to Mar'26)</v>
      </c>
      <c r="T65" s="84" t="str">
        <f t="shared" si="2"/>
        <v>Please find the attached Draft audit report of Yashraj Associates_Collection_Jodhpur_April '26_ (Audit Period Jan'26 to Mar'26)</v>
      </c>
      <c r="U65" s="84" t="s">
        <v>2243</v>
      </c>
      <c r="V65" s="84"/>
    </row>
    <row r="66" spans="1:22" x14ac:dyDescent="0.3">
      <c r="A66" s="1">
        <v>78</v>
      </c>
      <c r="B66" s="1" t="s">
        <v>60</v>
      </c>
      <c r="C66" s="2">
        <v>318996</v>
      </c>
      <c r="D66" s="3" t="s">
        <v>40</v>
      </c>
      <c r="E66" s="3" t="s">
        <v>199</v>
      </c>
      <c r="F66" s="3" t="s">
        <v>1047</v>
      </c>
      <c r="G66" s="88" t="s">
        <v>43</v>
      </c>
      <c r="H66" s="96">
        <v>1</v>
      </c>
      <c r="I66" s="3" t="s">
        <v>1048</v>
      </c>
      <c r="J66" s="7" t="s">
        <v>70</v>
      </c>
      <c r="K66" s="26"/>
      <c r="L66" s="26" t="s">
        <v>1049</v>
      </c>
      <c r="M66" s="86" t="s">
        <v>3072</v>
      </c>
      <c r="N66" s="86" t="s">
        <v>3048</v>
      </c>
      <c r="O66" s="86"/>
      <c r="P66" s="86" t="str">
        <f>VLOOKUP(I66,Schedule!H:AR,37,FALSE)</f>
        <v>NA</v>
      </c>
      <c r="Q66" s="86" t="s">
        <v>1049</v>
      </c>
      <c r="R66" s="86" t="str">
        <f t="shared" si="0"/>
        <v>vivek.joshi4@yes.bank.in,praveen.kurra@yes.bank.in,sameer.dhar@yes.bank.in,sanjeev.kumar30@yes.bank.in,manpreet.singh29@yes.bank.in,shyam.parkash@yes.bank.in,lonika.kotekar@yes.bank.in,shirajahmed.habib@yes.bank.in,Gaurav@kgac.in,AmanM@kgac.in,hariom@kgac.in</v>
      </c>
      <c r="S66" s="85" t="str">
        <f>_xlfn.CONCAT("Draft audit report of ",I66,"_Repossession_",F66,"_April '26_ (Audit Period Jan'26 to Mar'26)")</f>
        <v>Draft audit report of Govind Singh Gora_Repossession_Sikar_April '26_ (Audit Period Jan'26 to Mar'26)</v>
      </c>
      <c r="T66" s="84" t="str">
        <f t="shared" si="2"/>
        <v>Please find the attached Draft audit report of Govind Singh Gora_Repossession_Sikar_April '26_ (Audit Period Jan'26 to Mar'26)</v>
      </c>
      <c r="U66" s="84" t="s">
        <v>2243</v>
      </c>
      <c r="V66" s="84"/>
    </row>
    <row r="67" spans="1:22" x14ac:dyDescent="0.3">
      <c r="A67" s="1">
        <v>79</v>
      </c>
      <c r="B67" s="1" t="s">
        <v>1003</v>
      </c>
      <c r="C67" s="2">
        <v>45635</v>
      </c>
      <c r="D67" s="3" t="s">
        <v>40</v>
      </c>
      <c r="E67" s="3" t="s">
        <v>199</v>
      </c>
      <c r="F67" s="3" t="s">
        <v>540</v>
      </c>
      <c r="G67" s="88" t="s">
        <v>43</v>
      </c>
      <c r="H67" s="96">
        <v>1</v>
      </c>
      <c r="I67" s="3" t="s">
        <v>1284</v>
      </c>
      <c r="J67" s="7" t="s">
        <v>78</v>
      </c>
      <c r="K67" s="26"/>
      <c r="L67" s="26" t="s">
        <v>1008</v>
      </c>
      <c r="M67" s="86" t="s">
        <v>2937</v>
      </c>
      <c r="N67" s="86" t="s">
        <v>2938</v>
      </c>
      <c r="O67" s="86" t="s">
        <v>2939</v>
      </c>
      <c r="P67" s="86" t="str">
        <f>VLOOKUP(I67,Schedule!H:AR,37,FALSE)</f>
        <v>NA</v>
      </c>
      <c r="Q67" s="86" t="s">
        <v>1008</v>
      </c>
      <c r="R67" s="86" t="str">
        <f t="shared" ref="R67:R130" si="17">_xlfn.TEXTJOIN(",",TRUE,O67,N67,M67,"lonika.kotekar@yes.bank.in,shirajahmed.habib@yes.bank.in,Gaurav@kgac.in,AmanM@kgac.in,hariom@kgac.in")</f>
        <v>arun.goel@yes.bank.in,sameer.dhar@yes.bank.in,Amit.Sharma62@yes.bank.in,ashutosh.gupta3@yes.bank.in,sanjeev.kumar30@yes.bank.in,kalpesh.raval@yes.bank.in,saurabh.saroch@yes.bank.in,lokeshkumar.sharma@yes.bank.in,manish.shukla10@yes.bank.in,sameer.dhar@yes.bank.in,manish.kumar51@yes.bank.in,rahul.jirota@yes.bank.in,ram.choudhary@yes.bank.in,gajraj.singh@yes.bank.in,yasin.mohammed1@yes.bank.in,lonika.kotekar@yes.bank.in,shirajahmed.habib@yes.bank.in,Gaurav@kgac.in,AmanM@kgac.in,hariom@kgac.in</v>
      </c>
      <c r="S67" s="85" t="str">
        <f>_xlfn.CONCAT("Draft audit report of ",I67,"_Collection_",F67,"_April '26_ (Audit Period Jan'26 to Mar'26)")</f>
        <v>Draft audit report of Shree Krishna Associates_Collection_Udaipur_April '26_ (Audit Period Jan'26 to Mar'26)</v>
      </c>
      <c r="T67" s="84" t="str">
        <f t="shared" ref="T67:T130" si="18">_xlfn.CONCAT("Please find the attached ",S67)</f>
        <v>Please find the attached Draft audit report of Shree Krishna Associates_Collection_Udaipur_April '26_ (Audit Period Jan'26 to Mar'26)</v>
      </c>
      <c r="U67" s="84" t="s">
        <v>2243</v>
      </c>
      <c r="V67" s="84"/>
    </row>
    <row r="68" spans="1:22" x14ac:dyDescent="0.3">
      <c r="A68" s="1">
        <v>80</v>
      </c>
      <c r="B68" s="1" t="s">
        <v>301</v>
      </c>
      <c r="C68" s="2">
        <v>26225</v>
      </c>
      <c r="D68" s="3" t="s">
        <v>40</v>
      </c>
      <c r="E68" s="3" t="s">
        <v>61</v>
      </c>
      <c r="F68" s="3" t="s">
        <v>593</v>
      </c>
      <c r="G68" s="88" t="s">
        <v>43</v>
      </c>
      <c r="H68" s="96">
        <v>3</v>
      </c>
      <c r="I68" s="3" t="s">
        <v>1935</v>
      </c>
      <c r="J68" s="7" t="s">
        <v>57</v>
      </c>
      <c r="K68" s="26" t="s">
        <v>3256</v>
      </c>
      <c r="L68" s="26" t="s">
        <v>307</v>
      </c>
      <c r="M68" s="86" t="s">
        <v>2940</v>
      </c>
      <c r="N68" s="86" t="s">
        <v>2941</v>
      </c>
      <c r="O68" s="86" t="s">
        <v>2942</v>
      </c>
      <c r="P68" s="86" t="str">
        <f>VLOOKUP(I68,Schedule!H:AR,37,FALSE)</f>
        <v>NA</v>
      </c>
      <c r="Q68" s="86" t="s">
        <v>3338</v>
      </c>
      <c r="R68" s="86" t="str">
        <f t="shared" si="17"/>
        <v>avinash.kumar17@yes.bank.in,arun.goel@yes.bank.in,sukhwant.singh2@yes.bank.in,sameer.dhar@yes.bank.in,sanjeev.kumar30@yes.bank.in,abhinav.lal2@yes.bank.in,subhodip.mukherjee@yes.bank.in,vineet.kumar12@yes.bank.in,vaibhav.mishra2@yes.bank.in,shashi.pratapsingh@yes.bank.in,sachin.chauhan3@yes.bank.in,amit.pandey12@yes.bank.in,ram.shankar@yes.bank.in,nitin.srivastava1@yes.bank.in,rahul.harishankar@yes.bank.in,Harish.Johar@yes.bank.in,devendra.asthana@yes.bank.in,vivek.gupta13@yes.bank.in,pawan.kumar47@yes.bank.in,lonika.kotekar@yes.bank.in,shirajahmed.habib@yes.bank.in,Gaurav@kgac.in,AmanM@kgac.in,hariom@kgac.in</v>
      </c>
      <c r="S68" s="85" t="str">
        <f>_xlfn.CONCAT("Draft audit report of ","Agpo Management Services Pvt Ltd","_Collection &amp; Repossession_","Agra, Kanpur, Lucknow","_April '26_ (Audit Period Jan'26 to Mar'26)")</f>
        <v>Draft audit report of Agpo Management Services Pvt Ltd_Collection &amp; Repossession_Agra, Kanpur, Lucknow_April '26_ (Audit Period Jan'26 to Mar'26)</v>
      </c>
      <c r="T68" s="84" t="str">
        <f t="shared" si="18"/>
        <v>Please find the attached Draft audit report of Agpo Management Services Pvt Ltd_Collection &amp; Repossession_Agra, Kanpur, Lucknow_April '26_ (Audit Period Jan'26 to Mar'26)</v>
      </c>
      <c r="U68" s="84" t="s">
        <v>1994</v>
      </c>
      <c r="V68" s="84" t="s">
        <v>3693</v>
      </c>
    </row>
    <row r="69" spans="1:22" x14ac:dyDescent="0.3">
      <c r="A69" s="1">
        <v>81</v>
      </c>
      <c r="B69" s="1" t="s">
        <v>60</v>
      </c>
      <c r="C69" s="2">
        <v>282016</v>
      </c>
      <c r="D69" s="3" t="s">
        <v>40</v>
      </c>
      <c r="E69" s="3" t="s">
        <v>61</v>
      </c>
      <c r="F69" s="3" t="s">
        <v>889</v>
      </c>
      <c r="G69" s="88" t="s">
        <v>43</v>
      </c>
      <c r="H69" s="96">
        <v>2</v>
      </c>
      <c r="I69" s="3" t="s">
        <v>1952</v>
      </c>
      <c r="J69" s="7" t="s">
        <v>78</v>
      </c>
      <c r="K69" s="26" t="s">
        <v>891</v>
      </c>
      <c r="L69" s="26" t="s">
        <v>891</v>
      </c>
      <c r="M69" s="86" t="s">
        <v>2848</v>
      </c>
      <c r="N69" s="86" t="s">
        <v>2849</v>
      </c>
      <c r="O69" s="86" t="s">
        <v>2850</v>
      </c>
      <c r="P69" s="86" t="str">
        <f>VLOOKUP(I69,Schedule!H:AR,37,FALSE)</f>
        <v>NA</v>
      </c>
      <c r="Q69" s="92" t="s">
        <v>891</v>
      </c>
      <c r="R69" s="86" t="str">
        <f t="shared" si="17"/>
        <v>sandeep.mehta3@yes.bank.in,avinash.kumar17@yes.bank.in,upanshu.bajaj@yes.bank.in,avinash.kumar17@yes.bank.in,kumar.sambhav@yes.bank.in,sukhwant.singh2@yes.bank.in,ravi.singh19@yes.bank.in,dheerendra.singh2@yes.bank.in,manoj.kumar56@yes.bank.in,vaibhav.mishra2@yes.bank.in,kunwar.kumarsingh@yes.bank.in,lonika.kotekar@yes.bank.in,shirajahmed.habib@yes.bank.in,Gaurav@kgac.in,AmanM@kgac.in,hariom@kgac.in</v>
      </c>
      <c r="S69" s="85" t="str">
        <f>_xlfn.CONCAT("Draft audit report of ","Global Services","_Collection_","Delhi, Allahabad","_April '26_ (Audit Period Jan'26 to Mar'26)")</f>
        <v>Draft audit report of Global Services_Collection_Delhi, Allahabad_April '26_ (Audit Period Jan'26 to Mar'26)</v>
      </c>
      <c r="T69" s="84" t="str">
        <f t="shared" si="18"/>
        <v>Please find the attached Draft audit report of Global Services_Collection_Delhi, Allahabad_April '26_ (Audit Period Jan'26 to Mar'26)</v>
      </c>
      <c r="U69" s="84" t="s">
        <v>1994</v>
      </c>
      <c r="V69" s="84" t="s">
        <v>3693</v>
      </c>
    </row>
    <row r="70" spans="1:22" x14ac:dyDescent="0.3">
      <c r="A70" s="1">
        <v>82</v>
      </c>
      <c r="B70" s="1" t="s">
        <v>60</v>
      </c>
      <c r="C70" s="2">
        <v>347001</v>
      </c>
      <c r="D70" s="3" t="s">
        <v>40</v>
      </c>
      <c r="E70" s="3" t="s">
        <v>61</v>
      </c>
      <c r="F70" s="3" t="s">
        <v>1113</v>
      </c>
      <c r="G70" s="88" t="s">
        <v>43</v>
      </c>
      <c r="H70" s="96">
        <v>1</v>
      </c>
      <c r="I70" s="3" t="s">
        <v>1677</v>
      </c>
      <c r="J70" s="7" t="s">
        <v>70</v>
      </c>
      <c r="K70" s="26" t="s">
        <v>1115</v>
      </c>
      <c r="L70" s="26" t="s">
        <v>1115</v>
      </c>
      <c r="M70" s="86" t="s">
        <v>3070</v>
      </c>
      <c r="N70" s="86" t="s">
        <v>2944</v>
      </c>
      <c r="O70" s="86"/>
      <c r="P70" s="86" t="str">
        <f>VLOOKUP(I70,Schedule!H:AR,37,FALSE)</f>
        <v>NA</v>
      </c>
      <c r="Q70" s="86" t="s">
        <v>3339</v>
      </c>
      <c r="R70" s="86" t="str">
        <f t="shared" si="17"/>
        <v>abhinav.lal2@yes.bank.in,shyam.parkash@yes.bank.in,lonika.kotekar@yes.bank.in,shirajahmed.habib@yes.bank.in,Gaurav@kgac.in,AmanM@kgac.in,hariom@kgac.in</v>
      </c>
      <c r="S70" s="85" t="str">
        <f t="shared" ref="S70:S71" si="19">_xlfn.CONCAT("Draft audit report of ",I70,"_Repossession_",F70,"_April '26_ (Audit Period Jan'26 to Mar'26)")</f>
        <v>Draft audit report of Awadhesh Kumar Dubey_Repossession_Ayodhya_April '26_ (Audit Period Jan'26 to Mar'26)</v>
      </c>
      <c r="T70" s="84" t="str">
        <f t="shared" si="18"/>
        <v>Please find the attached Draft audit report of Awadhesh Kumar Dubey_Repossession_Ayodhya_April '26_ (Audit Period Jan'26 to Mar'26)</v>
      </c>
      <c r="U70" s="84" t="s">
        <v>2253</v>
      </c>
      <c r="V70" s="84"/>
    </row>
    <row r="71" spans="1:22" x14ac:dyDescent="0.3">
      <c r="A71" s="1">
        <v>83</v>
      </c>
      <c r="B71" s="1" t="s">
        <v>60</v>
      </c>
      <c r="C71" s="2">
        <v>377996</v>
      </c>
      <c r="D71" s="3" t="s">
        <v>40</v>
      </c>
      <c r="E71" s="3" t="s">
        <v>61</v>
      </c>
      <c r="F71" s="3" t="s">
        <v>96</v>
      </c>
      <c r="G71" s="88" t="s">
        <v>43</v>
      </c>
      <c r="H71" s="96">
        <v>1</v>
      </c>
      <c r="I71" s="3" t="s">
        <v>1204</v>
      </c>
      <c r="J71" s="7" t="s">
        <v>70</v>
      </c>
      <c r="K71" s="26"/>
      <c r="L71" s="26" t="s">
        <v>1206</v>
      </c>
      <c r="M71" s="86" t="s">
        <v>3073</v>
      </c>
      <c r="N71" s="86" t="s">
        <v>2944</v>
      </c>
      <c r="O71" s="86"/>
      <c r="P71" s="86" t="str">
        <f>VLOOKUP(I71,Schedule!H:AR,37,FALSE)</f>
        <v>NA</v>
      </c>
      <c r="Q71" s="86" t="s">
        <v>1206</v>
      </c>
      <c r="R71" s="86" t="str">
        <f t="shared" si="17"/>
        <v>abhinav.lal2@yes.bank.in,abhishek.kumar84@yes.bank.in,vivek.shukla4@yes.bank.in,shyam.parkash@yes.bank.in,rittin.arya@yes.bank.in,lonika.kotekar@yes.bank.in,shirajahmed.habib@yes.bank.in,Gaurav@kgac.in,AmanM@kgac.in,hariom@kgac.in</v>
      </c>
      <c r="S71" s="85" t="str">
        <f t="shared" si="19"/>
        <v>Draft audit report of Laado Associates_Repossession_Haryana_April '26_ (Audit Period Jan'26 to Mar'26)</v>
      </c>
      <c r="T71" s="84" t="str">
        <f t="shared" si="18"/>
        <v>Please find the attached Draft audit report of Laado Associates_Repossession_Haryana_April '26_ (Audit Period Jan'26 to Mar'26)</v>
      </c>
      <c r="U71" s="84" t="s">
        <v>2253</v>
      </c>
      <c r="V71" s="84"/>
    </row>
    <row r="72" spans="1:22" x14ac:dyDescent="0.3">
      <c r="A72" s="1">
        <v>84</v>
      </c>
      <c r="B72" s="1" t="s">
        <v>301</v>
      </c>
      <c r="C72" s="2">
        <v>26225</v>
      </c>
      <c r="D72" s="3" t="s">
        <v>40</v>
      </c>
      <c r="E72" s="3" t="s">
        <v>61</v>
      </c>
      <c r="F72" s="3" t="s">
        <v>270</v>
      </c>
      <c r="G72" s="88" t="s">
        <v>43</v>
      </c>
      <c r="H72" s="96">
        <v>3</v>
      </c>
      <c r="I72" s="3" t="s">
        <v>1933</v>
      </c>
      <c r="J72" s="7" t="s">
        <v>78</v>
      </c>
      <c r="K72" s="26"/>
      <c r="L72" s="26" t="s">
        <v>307</v>
      </c>
      <c r="M72" s="86" t="s">
        <v>2940</v>
      </c>
      <c r="N72" s="86" t="s">
        <v>2941</v>
      </c>
      <c r="O72" s="86" t="s">
        <v>2942</v>
      </c>
      <c r="P72" s="86" t="str">
        <f>VLOOKUP(I72,Schedule!H:AR,37,FALSE)</f>
        <v>Audited for Collection Only, as no activity of repossession are done from Kanpur branch</v>
      </c>
      <c r="Q72" s="86" t="s">
        <v>307</v>
      </c>
      <c r="R72" s="86" t="str">
        <f t="shared" si="17"/>
        <v>avinash.kumar17@yes.bank.in,arun.goel@yes.bank.in,sukhwant.singh2@yes.bank.in,sameer.dhar@yes.bank.in,sanjeev.kumar30@yes.bank.in,abhinav.lal2@yes.bank.in,subhodip.mukherjee@yes.bank.in,vineet.kumar12@yes.bank.in,vaibhav.mishra2@yes.bank.in,shashi.pratapsingh@yes.bank.in,sachin.chauhan3@yes.bank.in,amit.pandey12@yes.bank.in,ram.shankar@yes.bank.in,nitin.srivastava1@yes.bank.in,rahul.harishankar@yes.bank.in,Harish.Johar@yes.bank.in,devendra.asthana@yes.bank.in,vivek.gupta13@yes.bank.in,pawan.kumar47@yes.bank.in,lonika.kotekar@yes.bank.in,shirajahmed.habib@yes.bank.in,Gaurav@kgac.in,AmanM@kgac.in,hariom@kgac.in</v>
      </c>
      <c r="S72" s="85" t="str">
        <f>_xlfn.CONCAT("Draft audit report of ","Agpo Management Services Pvt Ltd","_Collection &amp; Repossession_","Agra, Kanpur, Lucknow","_April '26_ (Audit Period Jan'26 to Mar'26)")</f>
        <v>Draft audit report of Agpo Management Services Pvt Ltd_Collection &amp; Repossession_Agra, Kanpur, Lucknow_April '26_ (Audit Period Jan'26 to Mar'26)</v>
      </c>
      <c r="T72" s="84" t="str">
        <f t="shared" si="18"/>
        <v>Please find the attached Draft audit report of Agpo Management Services Pvt Ltd_Collection &amp; Repossession_Agra, Kanpur, Lucknow_April '26_ (Audit Period Jan'26 to Mar'26)</v>
      </c>
      <c r="U72" s="84" t="s">
        <v>1994</v>
      </c>
      <c r="V72" s="84" t="s">
        <v>3693</v>
      </c>
    </row>
    <row r="73" spans="1:22" x14ac:dyDescent="0.3">
      <c r="A73" s="1">
        <v>85</v>
      </c>
      <c r="B73" s="1" t="s">
        <v>269</v>
      </c>
      <c r="C73" s="2">
        <v>12290</v>
      </c>
      <c r="D73" s="3" t="s">
        <v>40</v>
      </c>
      <c r="E73" s="3" t="s">
        <v>61</v>
      </c>
      <c r="F73" s="3" t="s">
        <v>270</v>
      </c>
      <c r="G73" s="88" t="s">
        <v>43</v>
      </c>
      <c r="H73" s="96">
        <v>1</v>
      </c>
      <c r="I73" s="3" t="s">
        <v>271</v>
      </c>
      <c r="J73" s="7" t="s">
        <v>57</v>
      </c>
      <c r="K73" s="26" t="s">
        <v>3257</v>
      </c>
      <c r="L73" s="26" t="s">
        <v>275</v>
      </c>
      <c r="M73" s="86" t="s">
        <v>2943</v>
      </c>
      <c r="N73" s="86" t="s">
        <v>2944</v>
      </c>
      <c r="O73" s="86" t="s">
        <v>257</v>
      </c>
      <c r="P73" s="86" t="str">
        <f>VLOOKUP(I73,Schedule!H:AR,37,FALSE)</f>
        <v>Audited for collection and Repossessoin, as agency have repo of assest in the audit quarter</v>
      </c>
      <c r="Q73" s="86" t="s">
        <v>3340</v>
      </c>
      <c r="R73" s="86" t="str">
        <f t="shared" si="17"/>
        <v>abhinav.lal2@yes.bank.in,vivek.gupta13@yes.bank.in,nitinkumar.singh@yes.bank.in,lonika.kotekar@yes.bank.in,shirajahmed.habib@yes.bank.in,Gaurav@kgac.in,AmanM@kgac.in,hariom@kgac.in</v>
      </c>
      <c r="S73" s="85" t="str">
        <f>_xlfn.CONCAT("Draft audit report of ",I73,"_Collection &amp; Repossession_",F73,"_April '26_ (Audit Period Jan'26 to Mar'26)")</f>
        <v>Draft audit report of Baiswara Associates_Collection &amp; Repossession_Kanpur_April '26_ (Audit Period Jan'26 to Mar'26)</v>
      </c>
      <c r="T73" s="84" t="str">
        <f t="shared" si="18"/>
        <v>Please find the attached Draft audit report of Baiswara Associates_Collection &amp; Repossession_Kanpur_April '26_ (Audit Period Jan'26 to Mar'26)</v>
      </c>
      <c r="U73" s="84" t="s">
        <v>1994</v>
      </c>
      <c r="V73" s="84" t="s">
        <v>3693</v>
      </c>
    </row>
    <row r="74" spans="1:22" x14ac:dyDescent="0.3">
      <c r="A74" s="1">
        <v>86</v>
      </c>
      <c r="B74" s="1" t="s">
        <v>301</v>
      </c>
      <c r="C74" s="2">
        <v>26225</v>
      </c>
      <c r="D74" s="3" t="s">
        <v>40</v>
      </c>
      <c r="E74" s="3" t="s">
        <v>61</v>
      </c>
      <c r="F74" s="3" t="s">
        <v>62</v>
      </c>
      <c r="G74" s="88" t="s">
        <v>43</v>
      </c>
      <c r="H74" s="96">
        <v>3</v>
      </c>
      <c r="I74" s="3" t="s">
        <v>1934</v>
      </c>
      <c r="J74" s="7" t="s">
        <v>78</v>
      </c>
      <c r="K74" s="26" t="s">
        <v>3208</v>
      </c>
      <c r="L74" s="26" t="s">
        <v>307</v>
      </c>
      <c r="M74" s="86" t="s">
        <v>2940</v>
      </c>
      <c r="N74" s="86" t="s">
        <v>2941</v>
      </c>
      <c r="O74" s="86" t="s">
        <v>2942</v>
      </c>
      <c r="P74" s="86" t="str">
        <f>VLOOKUP(I74,Schedule!H:AR,37,FALSE)</f>
        <v>Audited for Collection Only, as no activity of repossession are done from Lucknow branch</v>
      </c>
      <c r="Q74" s="86" t="s">
        <v>3341</v>
      </c>
      <c r="R74" s="86" t="str">
        <f t="shared" si="17"/>
        <v>avinash.kumar17@yes.bank.in,arun.goel@yes.bank.in,sukhwant.singh2@yes.bank.in,sameer.dhar@yes.bank.in,sanjeev.kumar30@yes.bank.in,abhinav.lal2@yes.bank.in,subhodip.mukherjee@yes.bank.in,vineet.kumar12@yes.bank.in,vaibhav.mishra2@yes.bank.in,shashi.pratapsingh@yes.bank.in,sachin.chauhan3@yes.bank.in,amit.pandey12@yes.bank.in,ram.shankar@yes.bank.in,nitin.srivastava1@yes.bank.in,rahul.harishankar@yes.bank.in,Harish.Johar@yes.bank.in,devendra.asthana@yes.bank.in,vivek.gupta13@yes.bank.in,pawan.kumar47@yes.bank.in,lonika.kotekar@yes.bank.in,shirajahmed.habib@yes.bank.in,Gaurav@kgac.in,AmanM@kgac.in,hariom@kgac.in</v>
      </c>
      <c r="S74" s="85" t="str">
        <f>_xlfn.CONCAT("Draft audit report of ","Agpo Management Services Pvt Ltd","_Collection &amp; Repossession_","Agra, Kanpur, Lucknow","_April '26_ (Audit Period Jan'26 to Mar'26)")</f>
        <v>Draft audit report of Agpo Management Services Pvt Ltd_Collection &amp; Repossession_Agra, Kanpur, Lucknow_April '26_ (Audit Period Jan'26 to Mar'26)</v>
      </c>
      <c r="T74" s="84" t="str">
        <f t="shared" si="18"/>
        <v>Please find the attached Draft audit report of Agpo Management Services Pvt Ltd_Collection &amp; Repossession_Agra, Kanpur, Lucknow_April '26_ (Audit Period Jan'26 to Mar'26)</v>
      </c>
      <c r="U74" s="84" t="s">
        <v>1994</v>
      </c>
      <c r="V74" s="84" t="s">
        <v>3693</v>
      </c>
    </row>
    <row r="75" spans="1:22" x14ac:dyDescent="0.3">
      <c r="A75" s="1">
        <v>87</v>
      </c>
      <c r="B75" s="1" t="s">
        <v>676</v>
      </c>
      <c r="C75" s="2">
        <v>53909</v>
      </c>
      <c r="D75" s="3" t="s">
        <v>40</v>
      </c>
      <c r="E75" s="3" t="s">
        <v>61</v>
      </c>
      <c r="F75" s="3" t="s">
        <v>62</v>
      </c>
      <c r="G75" s="88" t="s">
        <v>43</v>
      </c>
      <c r="H75" s="96">
        <v>1</v>
      </c>
      <c r="I75" s="3" t="s">
        <v>1701</v>
      </c>
      <c r="J75" s="7" t="s">
        <v>78</v>
      </c>
      <c r="K75" s="26" t="s">
        <v>3209</v>
      </c>
      <c r="L75" s="26" t="s">
        <v>679</v>
      </c>
      <c r="M75" s="86" t="s">
        <v>2945</v>
      </c>
      <c r="N75" s="86" t="s">
        <v>2946</v>
      </c>
      <c r="O75" s="86" t="s">
        <v>2853</v>
      </c>
      <c r="P75" s="86" t="str">
        <f>VLOOKUP(I75,Schedule!H:AR,37,FALSE)</f>
        <v>Audited for Collection Only, as no activity of repossession are done for the audit quarter</v>
      </c>
      <c r="Q75" s="86" t="s">
        <v>3342</v>
      </c>
      <c r="R75" s="86" t="str">
        <f t="shared" si="17"/>
        <v>avinash.kumar17@yes.bank.in,avinash.kumar17@yes.bank.in,sukhwant.singh2@yes.bank.in,abhinav.lal2@yes.bank.in,dheerendra.singh2@yes.bank.in,sachin.chauhan3@yes.bank.in,ashishkumar.shukla1@yes.bank.in,devendra.asthana@yes.bank.in,lonika.kotekar@yes.bank.in,shirajahmed.habib@yes.bank.in,Gaurav@kgac.in,AmanM@kgac.in,hariom@kgac.in</v>
      </c>
      <c r="S75" s="85" t="str">
        <f t="shared" ref="S75" si="20">_xlfn.CONCAT("Draft audit report of ",I75,"_Collection_",F75,"_April '26_ (Audit Period Jan'26 to Mar'26)")</f>
        <v>Draft audit report of Kk Associates_Collection_Lucknow_April '26_ (Audit Period Jan'26 to Mar'26)</v>
      </c>
      <c r="T75" s="84" t="str">
        <f t="shared" si="18"/>
        <v>Please find the attached Draft audit report of Kk Associates_Collection_Lucknow_April '26_ (Audit Period Jan'26 to Mar'26)</v>
      </c>
      <c r="U75" s="84" t="s">
        <v>2253</v>
      </c>
      <c r="V75" s="84"/>
    </row>
    <row r="76" spans="1:22" x14ac:dyDescent="0.3">
      <c r="A76" s="1">
        <v>88</v>
      </c>
      <c r="B76" s="1" t="s">
        <v>692</v>
      </c>
      <c r="C76" s="2">
        <v>65900</v>
      </c>
      <c r="D76" s="3" t="s">
        <v>40</v>
      </c>
      <c r="E76" s="3" t="s">
        <v>61</v>
      </c>
      <c r="F76" s="3" t="s">
        <v>62</v>
      </c>
      <c r="G76" s="88" t="s">
        <v>43</v>
      </c>
      <c r="H76" s="96">
        <v>1</v>
      </c>
      <c r="I76" s="3" t="s">
        <v>1703</v>
      </c>
      <c r="J76" s="7" t="s">
        <v>57</v>
      </c>
      <c r="K76" s="26" t="s">
        <v>3210</v>
      </c>
      <c r="L76" s="26" t="s">
        <v>695</v>
      </c>
      <c r="M76" s="86" t="s">
        <v>2947</v>
      </c>
      <c r="N76" s="86" t="s">
        <v>2948</v>
      </c>
      <c r="O76" s="86" t="s">
        <v>2853</v>
      </c>
      <c r="P76" s="86" t="str">
        <f>VLOOKUP(I76,Schedule!H:AR,37,FALSE)</f>
        <v>NA</v>
      </c>
      <c r="Q76" s="86" t="s">
        <v>3343</v>
      </c>
      <c r="R76" s="86" t="str">
        <f t="shared" si="17"/>
        <v>avinash.kumar17@yes.bank.in,sanjeev.kumar30@yes.bank.in,sameer.dhar@yes.bank.in,avinash.kumar17@yes.bank.in,shashi.pratapsingh@yes.bank.in,aman.kesharwani@yes.bank.in,dheerendra.singh2@yes.bank.in,kunwar.kumarsingh@yes.bank.in,lonika.kotekar@yes.bank.in,shirajahmed.habib@yes.bank.in,Gaurav@kgac.in,AmanM@kgac.in,hariom@kgac.in</v>
      </c>
      <c r="S76" s="85" t="str">
        <f>_xlfn.CONCAT("Draft audit report of ",I76,"_Collection &amp; Repossession_",F76,"_April '26_ (Audit Period Jan'26 to Mar'26)")</f>
        <v>Draft audit report of Krishna Associates_Collection &amp; Repossession_Lucknow_April '26_ (Audit Period Jan'26 to Mar'26)</v>
      </c>
      <c r="T76" s="84" t="str">
        <f t="shared" si="18"/>
        <v>Please find the attached Draft audit report of Krishna Associates_Collection &amp; Repossession_Lucknow_April '26_ (Audit Period Jan'26 to Mar'26)</v>
      </c>
      <c r="U76" s="84" t="s">
        <v>1994</v>
      </c>
      <c r="V76" s="84" t="s">
        <v>3693</v>
      </c>
    </row>
    <row r="77" spans="1:22" x14ac:dyDescent="0.3">
      <c r="A77" s="1">
        <v>89</v>
      </c>
      <c r="B77" s="1" t="s">
        <v>60</v>
      </c>
      <c r="C77" s="2">
        <v>368002</v>
      </c>
      <c r="D77" s="3" t="s">
        <v>40</v>
      </c>
      <c r="E77" s="3" t="s">
        <v>61</v>
      </c>
      <c r="F77" s="3" t="s">
        <v>62</v>
      </c>
      <c r="G77" s="88" t="s">
        <v>43</v>
      </c>
      <c r="H77" s="96">
        <v>1</v>
      </c>
      <c r="I77" s="3" t="s">
        <v>1747</v>
      </c>
      <c r="J77" s="7" t="s">
        <v>70</v>
      </c>
      <c r="K77" s="26" t="s">
        <v>1216</v>
      </c>
      <c r="L77" s="26" t="s">
        <v>1216</v>
      </c>
      <c r="M77" s="86" t="s">
        <v>3074</v>
      </c>
      <c r="N77" s="86" t="s">
        <v>3049</v>
      </c>
      <c r="O77" s="86"/>
      <c r="P77" s="86" t="str">
        <f>VLOOKUP(I77,Schedule!H:AR,37,FALSE)</f>
        <v>NA</v>
      </c>
      <c r="Q77" s="86" t="s">
        <v>3344</v>
      </c>
      <c r="R77" s="86" t="str">
        <f t="shared" si="17"/>
        <v>sameer.dhar@yes.bank.in,sanjeev.kumar30@yes.bank.in,abhinav.lal2@yes.bank.in,vivek.shukla4@yes.bank.in,shyam.parkash@yes.bank.in,rittin.arya@yes.bank.in,sachin.chauhan3@yes.bank.in,prashant.singh7@yes.bank.in,lonika.kotekar@yes.bank.in,shirajahmed.habib@yes.bank.in,Gaurav@kgac.in,AmanM@kgac.in,hariom@kgac.in</v>
      </c>
      <c r="S77" s="85" t="str">
        <f>_xlfn.CONCAT("Draft audit report of ",I77,"_Repossession_",F77,"_April '26_ (Audit Period Jan'26 to Mar'26)")</f>
        <v>Draft audit report of M/S Awadh Risk Management Services Pvt Ltd_Repossession_Lucknow_April '26_ (Audit Period Jan'26 to Mar'26)</v>
      </c>
      <c r="T77" s="84" t="str">
        <f t="shared" si="18"/>
        <v>Please find the attached Draft audit report of M/S Awadh Risk Management Services Pvt Ltd_Repossession_Lucknow_April '26_ (Audit Period Jan'26 to Mar'26)</v>
      </c>
      <c r="U77" s="84" t="s">
        <v>2253</v>
      </c>
      <c r="V77" s="84"/>
    </row>
    <row r="78" spans="1:22" x14ac:dyDescent="0.3">
      <c r="A78" s="1">
        <v>90</v>
      </c>
      <c r="B78" s="1" t="s">
        <v>698</v>
      </c>
      <c r="C78" s="2">
        <v>12185</v>
      </c>
      <c r="D78" s="3" t="s">
        <v>40</v>
      </c>
      <c r="E78" s="3" t="s">
        <v>61</v>
      </c>
      <c r="F78" s="3" t="s">
        <v>62</v>
      </c>
      <c r="G78" s="88" t="s">
        <v>43</v>
      </c>
      <c r="H78" s="96">
        <v>1</v>
      </c>
      <c r="I78" s="3" t="s">
        <v>699</v>
      </c>
      <c r="J78" s="7" t="s">
        <v>78</v>
      </c>
      <c r="K78" s="26" t="s">
        <v>704</v>
      </c>
      <c r="L78" s="26" t="s">
        <v>704</v>
      </c>
      <c r="M78" s="86" t="s">
        <v>2949</v>
      </c>
      <c r="N78" s="86" t="s">
        <v>2844</v>
      </c>
      <c r="O78" s="86" t="s">
        <v>2844</v>
      </c>
      <c r="P78" s="86" t="str">
        <f>VLOOKUP(I78,Schedule!H:AR,37,FALSE)</f>
        <v>NA</v>
      </c>
      <c r="Q78" s="86" t="s">
        <v>3345</v>
      </c>
      <c r="R78" s="86" t="str">
        <f t="shared" si="17"/>
        <v>sandeep.mehta3@yes.bank.in,sandeep.mehta3@yes.bank.in,sushant.singh2@yes.bank.in,shailendra.chauhan@yes.bank.in,manojkumar.mishra3@yes.bank.in,lonika.kotekar@yes.bank.in,shirajahmed.habib@yes.bank.in,Gaurav@kgac.in,AmanM@kgac.in,hariom@kgac.in</v>
      </c>
      <c r="S78" s="85" t="str">
        <f t="shared" ref="S78:S79" si="21">_xlfn.CONCAT("Draft audit report of ",I78,"_Collection_",F78,"_April '26_ (Audit Period Jan'26 to Mar'26)")</f>
        <v>Draft audit report of Total Solutions_Collection_Lucknow_April '26_ (Audit Period Jan'26 to Mar'26)</v>
      </c>
      <c r="T78" s="84" t="str">
        <f t="shared" si="18"/>
        <v>Please find the attached Draft audit report of Total Solutions_Collection_Lucknow_April '26_ (Audit Period Jan'26 to Mar'26)</v>
      </c>
      <c r="U78" s="84" t="s">
        <v>2253</v>
      </c>
      <c r="V78" s="84"/>
    </row>
    <row r="79" spans="1:22" x14ac:dyDescent="0.3">
      <c r="A79" s="1">
        <v>91</v>
      </c>
      <c r="B79" s="1" t="s">
        <v>60</v>
      </c>
      <c r="C79" s="2">
        <v>354992</v>
      </c>
      <c r="D79" s="3" t="s">
        <v>40</v>
      </c>
      <c r="E79" s="3" t="s">
        <v>61</v>
      </c>
      <c r="F79" s="3" t="s">
        <v>62</v>
      </c>
      <c r="G79" s="88" t="s">
        <v>43</v>
      </c>
      <c r="H79" s="96">
        <v>1</v>
      </c>
      <c r="I79" s="3" t="s">
        <v>1745</v>
      </c>
      <c r="J79" s="7" t="s">
        <v>78</v>
      </c>
      <c r="K79" s="26" t="s">
        <v>1201</v>
      </c>
      <c r="L79" s="26" t="s">
        <v>1201</v>
      </c>
      <c r="M79" s="86" t="s">
        <v>2950</v>
      </c>
      <c r="N79" s="86" t="s">
        <v>2951</v>
      </c>
      <c r="O79" s="86" t="s">
        <v>257</v>
      </c>
      <c r="P79" s="86" t="str">
        <f>VLOOKUP(I79,Schedule!H:AR,37,FALSE)</f>
        <v>NA</v>
      </c>
      <c r="Q79" s="86" t="s">
        <v>3346</v>
      </c>
      <c r="R79" s="86" t="str">
        <f t="shared" si="17"/>
        <v>abhinav.lal2@yes.bank.in,sukhwant.singh2@yes.bank.in,devendra.asthana@yes.bank.in,vivek.gupta13@yes.bank.in,ashishkumar.shukla1@yes.bank.in,nitinkumar.singh@yes.bank.in,ram.shankar@yes.bank.in,lonika.kotekar@yes.bank.in,shirajahmed.habib@yes.bank.in,Gaurav@kgac.in,AmanM@kgac.in,hariom@kgac.in</v>
      </c>
      <c r="S79" s="85" t="str">
        <f t="shared" si="21"/>
        <v>Draft audit report of Vh Management Services_Collection_Lucknow_April '26_ (Audit Period Jan'26 to Mar'26)</v>
      </c>
      <c r="T79" s="84" t="str">
        <f t="shared" si="18"/>
        <v>Please find the attached Draft audit report of Vh Management Services_Collection_Lucknow_April '26_ (Audit Period Jan'26 to Mar'26)</v>
      </c>
      <c r="U79" s="84" t="s">
        <v>2253</v>
      </c>
      <c r="V79" s="84"/>
    </row>
    <row r="80" spans="1:22" x14ac:dyDescent="0.3">
      <c r="A80" s="1">
        <v>92</v>
      </c>
      <c r="B80" s="1" t="s">
        <v>60</v>
      </c>
      <c r="C80" s="2">
        <v>332002</v>
      </c>
      <c r="D80" s="3" t="s">
        <v>40</v>
      </c>
      <c r="E80" s="3" t="s">
        <v>61</v>
      </c>
      <c r="F80" s="3" t="s">
        <v>1601</v>
      </c>
      <c r="G80" s="88" t="s">
        <v>43</v>
      </c>
      <c r="H80" s="96">
        <v>2</v>
      </c>
      <c r="I80" s="3" t="s">
        <v>1956</v>
      </c>
      <c r="J80" s="7" t="s">
        <v>78</v>
      </c>
      <c r="K80" s="26"/>
      <c r="L80" s="26" t="s">
        <v>1064</v>
      </c>
      <c r="M80" s="86" t="s">
        <v>2922</v>
      </c>
      <c r="N80" s="86" t="s">
        <v>2923</v>
      </c>
      <c r="O80" s="86" t="s">
        <v>2853</v>
      </c>
      <c r="P80" s="86" t="str">
        <f>VLOOKUP(I80,Schedule!H:AR,37,FALSE)</f>
        <v>NA</v>
      </c>
      <c r="Q80" s="86" t="s">
        <v>1064</v>
      </c>
      <c r="R80" s="86" t="str">
        <f t="shared" si="17"/>
        <v>avinash.kumar17@yes.bank.in,sameer.dhar@yes.bank.in,biswarup.ghosh@yes.bank.in,abhinav.lal2@yes.bank.in,ashutosh.gupta3@yes.bank.in,sunil.jangir@yes.bank.in,avinash.kumar17@yes.bank.in,sanjeev.kumar30@yes.bank.in,vikas.chawla@yes.bank.in,chetram.chahal@yes.bank.in,amit.pandey12@yes.bank.in,SyedMohd.Raza@yes.bank.in,ritam.basak@yes.bank.in,kailash.devanda@yes.bank.in,rajeev.jain@yes.bank.in,surendra.jhala@yes.bank.in,subhash.sharma4@yes.bank.in,mahendra.singhrathore@yes.bank.in,tarkeshwar.singh@yes.bank.in,rahul.jirota@yes.bank.in,nitinkumar.singh@yes.bank.in,siddharth.maharishi@yes.bank.in,rahul.harishankar@yes.bank.in,deepak.singh39@yes.bank.in,devendra.asthana@yes.bank.in,vivek.gupta13@yes.bank.in,jetendra.singh@yes.bank.in,abhishek.arora7@yes.bank.in,ankit.sandhu@yes.bank.in,maya.choudhary@yes.bank.in,yogesh.sharma5@yes.bank.in,manpreet.singh29@yes.bank.in,gopal.khatri@yes.bank.in,gopal.joshi1@yes.bank.in,narinder.singh3@yes.bank.in,lonika.kotekar@yes.bank.in,shirajahmed.habib@yes.bank.in,Gaurav@kgac.in,AmanM@kgac.in,hariom@kgac.in</v>
      </c>
      <c r="S80" s="85" t="str">
        <f>_xlfn.CONCAT("Draft audit report of ","Rakesh Kumar Sharma &amp; Consultants Pvt Ltd","_Collection_","Mathura, Jaipur","_April '26_ (Audit Period Jan'26 to Mar'26)")</f>
        <v>Draft audit report of Rakesh Kumar Sharma &amp; Consultants Pvt Ltd_Collection_Mathura, Jaipur_April '26_ (Audit Period Jan'26 to Mar'26)</v>
      </c>
      <c r="T80" s="84" t="str">
        <f t="shared" si="18"/>
        <v>Please find the attached Draft audit report of Rakesh Kumar Sharma &amp; Consultants Pvt Ltd_Collection_Mathura, Jaipur_April '26_ (Audit Period Jan'26 to Mar'26)</v>
      </c>
      <c r="U80" s="84" t="s">
        <v>1994</v>
      </c>
      <c r="V80" s="84" t="s">
        <v>3693</v>
      </c>
    </row>
    <row r="81" spans="1:22" x14ac:dyDescent="0.3">
      <c r="A81" s="1">
        <v>93</v>
      </c>
      <c r="B81" s="1" t="s">
        <v>1846</v>
      </c>
      <c r="C81" s="2">
        <v>281992</v>
      </c>
      <c r="D81" s="3" t="s">
        <v>40</v>
      </c>
      <c r="E81" s="3" t="s">
        <v>61</v>
      </c>
      <c r="F81" s="3" t="s">
        <v>856</v>
      </c>
      <c r="G81" s="88" t="s">
        <v>43</v>
      </c>
      <c r="H81" s="96">
        <v>1</v>
      </c>
      <c r="I81" s="3" t="s">
        <v>1712</v>
      </c>
      <c r="J81" s="7" t="s">
        <v>57</v>
      </c>
      <c r="K81" s="26" t="s">
        <v>859</v>
      </c>
      <c r="L81" s="26" t="s">
        <v>858</v>
      </c>
      <c r="M81" s="86" t="s">
        <v>2952</v>
      </c>
      <c r="N81" s="86" t="s">
        <v>2953</v>
      </c>
      <c r="O81" s="86" t="s">
        <v>2853</v>
      </c>
      <c r="P81" s="86" t="str">
        <f>VLOOKUP(I81,Schedule!H:AR,37,FALSE)</f>
        <v>NA</v>
      </c>
      <c r="Q81" s="86" t="s">
        <v>3347</v>
      </c>
      <c r="R81" s="86" t="str">
        <f t="shared" si="17"/>
        <v>avinash.kumar17@yes.bank.in,sukhwant.singh2@yes.bank.in,sanjeev.kumar30@yes.bank.in,sameer.dhar@yes.bank.in,ram.shankar@yes.bank.in,amit.pandey12@yes.bank.in,lonika.kotekar@yes.bank.in,shirajahmed.habib@yes.bank.in,Gaurav@kgac.in,AmanM@kgac.in,hariom@kgac.in</v>
      </c>
      <c r="S81" s="85" t="str">
        <f t="shared" ref="S81:S82" si="22">_xlfn.CONCAT("Draft audit report of ",I81,"_Collection &amp; Repossession_",F81,"_April '26_ (Audit Period Jan'26 to Mar'26)")</f>
        <v>Draft audit report of Radha Krishn Associates_Collection &amp; Repossession_Meerut_April '26_ (Audit Period Jan'26 to Mar'26)</v>
      </c>
      <c r="T81" s="84" t="str">
        <f t="shared" si="18"/>
        <v>Please find the attached Draft audit report of Radha Krishn Associates_Collection &amp; Repossession_Meerut_April '26_ (Audit Period Jan'26 to Mar'26)</v>
      </c>
      <c r="U81" s="84" t="s">
        <v>1994</v>
      </c>
      <c r="V81" s="84" t="s">
        <v>3693</v>
      </c>
    </row>
    <row r="82" spans="1:22" x14ac:dyDescent="0.3">
      <c r="A82" s="1">
        <v>94</v>
      </c>
      <c r="B82" s="1" t="s">
        <v>413</v>
      </c>
      <c r="C82" s="2">
        <v>26568</v>
      </c>
      <c r="D82" s="3" t="s">
        <v>40</v>
      </c>
      <c r="E82" s="3" t="s">
        <v>61</v>
      </c>
      <c r="F82" s="3" t="s">
        <v>414</v>
      </c>
      <c r="G82" s="88" t="s">
        <v>43</v>
      </c>
      <c r="H82" s="96">
        <v>1</v>
      </c>
      <c r="I82" s="3" t="s">
        <v>1695</v>
      </c>
      <c r="J82" s="7" t="s">
        <v>57</v>
      </c>
      <c r="K82" s="26" t="s">
        <v>3258</v>
      </c>
      <c r="L82" s="26" t="s">
        <v>422</v>
      </c>
      <c r="M82" s="86" t="s">
        <v>2954</v>
      </c>
      <c r="N82" s="86" t="s">
        <v>2882</v>
      </c>
      <c r="O82" s="86" t="s">
        <v>257</v>
      </c>
      <c r="P82" s="86" t="str">
        <f>VLOOKUP(I82,Schedule!H:AR,37,FALSE)</f>
        <v>Audited for collection and Repossessoin, as agency have repo of assest in the audit quarter</v>
      </c>
      <c r="Q82" s="86" t="s">
        <v>3348</v>
      </c>
      <c r="R82" s="86" t="str">
        <f t="shared" si="17"/>
        <v>subhasis.banerjee@yes.bank.in,manibhushan.kumar@yes.bank.in,lonika.kotekar@yes.bank.in,shirajahmed.habib@yes.bank.in,Gaurav@kgac.in,AmanM@kgac.in,hariom@kgac.in</v>
      </c>
      <c r="S82" s="85" t="str">
        <f t="shared" si="22"/>
        <v>Draft audit report of Microbe Banking Solution Limited Mbsl_Collection &amp; Repossession_Patna_April '26_ (Audit Period Jan'26 to Mar'26)</v>
      </c>
      <c r="T82" s="84" t="str">
        <f t="shared" si="18"/>
        <v>Please find the attached Draft audit report of Microbe Banking Solution Limited Mbsl_Collection &amp; Repossession_Patna_April '26_ (Audit Period Jan'26 to Mar'26)</v>
      </c>
      <c r="U82" s="84" t="s">
        <v>1994</v>
      </c>
      <c r="V82" s="84" t="s">
        <v>3693</v>
      </c>
    </row>
    <row r="83" spans="1:22" x14ac:dyDescent="0.3">
      <c r="A83" s="1">
        <v>95</v>
      </c>
      <c r="B83" s="1" t="s">
        <v>60</v>
      </c>
      <c r="C83" s="2">
        <v>345011</v>
      </c>
      <c r="D83" s="3" t="s">
        <v>40</v>
      </c>
      <c r="E83" s="3" t="s">
        <v>61</v>
      </c>
      <c r="F83" s="3" t="s">
        <v>986</v>
      </c>
      <c r="G83" s="88" t="s">
        <v>43</v>
      </c>
      <c r="H83" s="96">
        <v>1</v>
      </c>
      <c r="I83" s="3" t="s">
        <v>1067</v>
      </c>
      <c r="J83" s="7" t="s">
        <v>70</v>
      </c>
      <c r="K83" s="26"/>
      <c r="L83" s="26" t="s">
        <v>1069</v>
      </c>
      <c r="M83" s="86" t="s">
        <v>3075</v>
      </c>
      <c r="N83" s="86" t="s">
        <v>3050</v>
      </c>
      <c r="O83" s="86"/>
      <c r="P83" s="86" t="str">
        <f>VLOOKUP(I83,Schedule!H:AR,37,FALSE)</f>
        <v>NA</v>
      </c>
      <c r="Q83" s="86" t="s">
        <v>1069</v>
      </c>
      <c r="R83" s="86" t="str">
        <f t="shared" si="17"/>
        <v>abhinav.lal2@yes.bank.in,subhasis.banerjee@yes.bank.in,kushpal.singh@yes.bank.in,vivek.shukla4@yes.bank.in,manibhushan.kumar@yes.bank.in,lonika.kotekar@yes.bank.in,shirajahmed.habib@yes.bank.in,Gaurav@kgac.in,AmanM@kgac.in,hariom@kgac.in</v>
      </c>
      <c r="S83" s="85" t="str">
        <f t="shared" ref="S83:S84" si="23">_xlfn.CONCAT("Draft audit report of ",I83,"_Repossession_",F83,"_April '26_ (Audit Period Jan'26 to Mar'26)")</f>
        <v>Draft audit report of Dhiraj Singh Agency_Repossession_Varanasi_April '26_ (Audit Period Jan'26 to Mar'26)</v>
      </c>
      <c r="T83" s="84" t="str">
        <f t="shared" si="18"/>
        <v>Please find the attached Draft audit report of Dhiraj Singh Agency_Repossession_Varanasi_April '26_ (Audit Period Jan'26 to Mar'26)</v>
      </c>
      <c r="U83" s="84" t="s">
        <v>2253</v>
      </c>
      <c r="V83" s="84"/>
    </row>
    <row r="84" spans="1:22" x14ac:dyDescent="0.3">
      <c r="A84" s="1">
        <v>96</v>
      </c>
      <c r="B84" s="1" t="s">
        <v>60</v>
      </c>
      <c r="C84" s="2">
        <v>323996</v>
      </c>
      <c r="D84" s="3" t="s">
        <v>40</v>
      </c>
      <c r="E84" s="3" t="s">
        <v>938</v>
      </c>
      <c r="F84" s="3" t="s">
        <v>385</v>
      </c>
      <c r="G84" s="88" t="s">
        <v>43</v>
      </c>
      <c r="H84" s="96">
        <v>1</v>
      </c>
      <c r="I84" s="3" t="s">
        <v>1694</v>
      </c>
      <c r="J84" s="7" t="s">
        <v>70</v>
      </c>
      <c r="K84" s="26"/>
      <c r="L84" s="26" t="s">
        <v>387</v>
      </c>
      <c r="M84" s="86" t="s">
        <v>2858</v>
      </c>
      <c r="N84" s="86" t="s">
        <v>257</v>
      </c>
      <c r="O84" s="86"/>
      <c r="P84" s="86" t="str">
        <f>VLOOKUP(I84,Schedule!H:AR,37,FALSE)</f>
        <v>NA</v>
      </c>
      <c r="Q84" s="86" t="s">
        <v>387</v>
      </c>
      <c r="R84" s="86" t="str">
        <f t="shared" si="17"/>
        <v>rittin.arya@yes.bank.in,lonika.kotekar@yes.bank.in,shirajahmed.habib@yes.bank.in,Gaurav@kgac.in,AmanM@kgac.in,hariom@kgac.in</v>
      </c>
      <c r="S84" s="85" t="str">
        <f t="shared" si="23"/>
        <v>Draft audit report of Elite Debt Associates_Repossession_Dehradun_April '26_ (Audit Period Jan'26 to Mar'26)</v>
      </c>
      <c r="T84" s="84" t="str">
        <f t="shared" si="18"/>
        <v>Please find the attached Draft audit report of Elite Debt Associates_Repossession_Dehradun_April '26_ (Audit Period Jan'26 to Mar'26)</v>
      </c>
      <c r="U84" s="84" t="s">
        <v>3425</v>
      </c>
      <c r="V84" s="84"/>
    </row>
    <row r="85" spans="1:22" x14ac:dyDescent="0.3">
      <c r="A85" s="1">
        <v>97</v>
      </c>
      <c r="B85" s="1" t="s">
        <v>782</v>
      </c>
      <c r="C85" s="2">
        <v>54117</v>
      </c>
      <c r="D85" s="3" t="s">
        <v>40</v>
      </c>
      <c r="E85" s="3" t="s">
        <v>938</v>
      </c>
      <c r="F85" s="3" t="s">
        <v>385</v>
      </c>
      <c r="G85" s="88" t="s">
        <v>43</v>
      </c>
      <c r="H85" s="96">
        <v>1</v>
      </c>
      <c r="I85" s="3" t="s">
        <v>783</v>
      </c>
      <c r="J85" s="7" t="s">
        <v>78</v>
      </c>
      <c r="K85" s="26" t="s">
        <v>3259</v>
      </c>
      <c r="L85" s="26" t="s">
        <v>788</v>
      </c>
      <c r="M85" s="86" t="s">
        <v>2955</v>
      </c>
      <c r="N85" s="86" t="s">
        <v>2956</v>
      </c>
      <c r="O85" s="86" t="s">
        <v>2844</v>
      </c>
      <c r="P85" s="86" t="str">
        <f>VLOOKUP(I85,Schedule!H:AR,37,FALSE)</f>
        <v>NA</v>
      </c>
      <c r="Q85" s="86" t="s">
        <v>3349</v>
      </c>
      <c r="R85" s="86" t="str">
        <f t="shared" si="17"/>
        <v>sandeep.mehta3@yes.bank.in,ashutosh.gupta3@yes.bank.in,sandeep.mehta3@yes.bank.in,sanjeev.kumar30@yes.bank.in,sumit.narang@yes.bank.in,abhinav.lal2@yes.bank.in,sameer.dhar@yes.bank.in,jeetmani.silswal@yes.bank.in,hayat.kathayat@yes.bank.in,rittin.arya@yes.bank.in,sandeep.tyagi@yes.bank.in,lonika.kotekar@yes.bank.in,shirajahmed.habib@yes.bank.in,Gaurav@kgac.in,AmanM@kgac.in,hariom@kgac.in</v>
      </c>
      <c r="S85" s="85" t="str">
        <f t="shared" ref="S85:S88" si="24">_xlfn.CONCAT("Draft audit report of ",I85,"_Collection_",F85,"_April '26_ (Audit Period Jan'26 to Mar'26)")</f>
        <v>Draft audit report of Evergreen Solution_Collection_Dehradun_April '26_ (Audit Period Jan'26 to Mar'26)</v>
      </c>
      <c r="T85" s="84" t="str">
        <f t="shared" si="18"/>
        <v>Please find the attached Draft audit report of Evergreen Solution_Collection_Dehradun_April '26_ (Audit Period Jan'26 to Mar'26)</v>
      </c>
      <c r="U85" s="84" t="s">
        <v>1994</v>
      </c>
      <c r="V85" s="84" t="s">
        <v>3693</v>
      </c>
    </row>
    <row r="86" spans="1:22" x14ac:dyDescent="0.3">
      <c r="A86" s="1">
        <v>98</v>
      </c>
      <c r="B86" s="1" t="s">
        <v>808</v>
      </c>
      <c r="C86" s="2">
        <v>54662</v>
      </c>
      <c r="D86" s="3" t="s">
        <v>40</v>
      </c>
      <c r="E86" s="3" t="s">
        <v>938</v>
      </c>
      <c r="F86" s="3" t="s">
        <v>385</v>
      </c>
      <c r="G86" s="88" t="s">
        <v>43</v>
      </c>
      <c r="H86" s="96">
        <v>1</v>
      </c>
      <c r="I86" s="3" t="s">
        <v>809</v>
      </c>
      <c r="J86" s="7" t="s">
        <v>78</v>
      </c>
      <c r="K86" s="26" t="s">
        <v>814</v>
      </c>
      <c r="L86" s="26" t="s">
        <v>814</v>
      </c>
      <c r="M86" s="86" t="s">
        <v>2957</v>
      </c>
      <c r="N86" s="86" t="s">
        <v>2958</v>
      </c>
      <c r="O86" s="86" t="s">
        <v>257</v>
      </c>
      <c r="P86" s="86" t="str">
        <f>VLOOKUP(I86,Schedule!H:AR,37,FALSE)</f>
        <v>NA</v>
      </c>
      <c r="Q86" s="86" t="s">
        <v>3350</v>
      </c>
      <c r="R86" s="86" t="str">
        <f t="shared" si="17"/>
        <v>rohit.nijhawan@yes.bank.in,hayat.kathayat@yes.bank.in,lonika.kotekar@yes.bank.in,shirajahmed.habib@yes.bank.in,Gaurav@kgac.in,AmanM@kgac.in,hariom@kgac.in</v>
      </c>
      <c r="S86" s="85" t="str">
        <f t="shared" si="24"/>
        <v>Draft audit report of Pashupati Associates_Collection_Dehradun_April '26_ (Audit Period Jan'26 to Mar'26)</v>
      </c>
      <c r="T86" s="84" t="str">
        <f t="shared" si="18"/>
        <v>Please find the attached Draft audit report of Pashupati Associates_Collection_Dehradun_April '26_ (Audit Period Jan'26 to Mar'26)</v>
      </c>
      <c r="U86" s="84" t="s">
        <v>1994</v>
      </c>
      <c r="V86" s="84" t="s">
        <v>3693</v>
      </c>
    </row>
    <row r="87" spans="1:22" x14ac:dyDescent="0.3">
      <c r="A87" s="1">
        <v>99</v>
      </c>
      <c r="B87" s="1" t="s">
        <v>653</v>
      </c>
      <c r="C87" s="2">
        <v>12552</v>
      </c>
      <c r="D87" s="3" t="s">
        <v>40</v>
      </c>
      <c r="E87" s="3" t="s">
        <v>61</v>
      </c>
      <c r="F87" s="3" t="s">
        <v>654</v>
      </c>
      <c r="G87" s="88" t="s">
        <v>43</v>
      </c>
      <c r="H87" s="96">
        <v>1</v>
      </c>
      <c r="I87" s="3" t="s">
        <v>1700</v>
      </c>
      <c r="J87" s="7" t="s">
        <v>78</v>
      </c>
      <c r="K87" s="26" t="s">
        <v>663</v>
      </c>
      <c r="L87" s="26" t="s">
        <v>662</v>
      </c>
      <c r="M87" s="86" t="s">
        <v>2959</v>
      </c>
      <c r="N87" s="86" t="s">
        <v>2960</v>
      </c>
      <c r="O87" s="86" t="s">
        <v>2853</v>
      </c>
      <c r="P87" s="86" t="str">
        <f>VLOOKUP(I87,Schedule!H:AR,37,FALSE)</f>
        <v>NA</v>
      </c>
      <c r="Q87" s="86" t="s">
        <v>3351</v>
      </c>
      <c r="R87" s="86" t="str">
        <f t="shared" si="17"/>
        <v>avinash.kumar17@yes.bank.in,mukesh.rawat2@yes.bank.in,sanjeev.kumar30@yes.bank.in,abhinav.lal2@yes.bank.in,sameer.dhar@yes.bank.in,rohit.nijhawan@yes.bank.in,avinash.kumar17@yes.bank.in,sumit.narang@yes.bank.in,nitin.kumar30@yes.bank.in,hayat.kathayat@yes.bank.in,sumit.kumar78@yes.bank.in,rittin.arya@yes.bank.in,lonika.kotekar@yes.bank.in,shirajahmed.habib@yes.bank.in,Gaurav@kgac.in,AmanM@kgac.in,hariom@kgac.in</v>
      </c>
      <c r="S87" s="85" t="str">
        <f t="shared" si="24"/>
        <v>Draft audit report of Goldline Solutions Pvt Ltd_Collection_Saharanpur_April '26_ (Audit Period Jan'26 to Mar'26)</v>
      </c>
      <c r="T87" s="84" t="str">
        <f t="shared" si="18"/>
        <v>Please find the attached Draft audit report of Goldline Solutions Pvt Ltd_Collection_Saharanpur_April '26_ (Audit Period Jan'26 to Mar'26)</v>
      </c>
      <c r="U87" s="84" t="s">
        <v>2253</v>
      </c>
      <c r="V87" s="84"/>
    </row>
    <row r="88" spans="1:22" x14ac:dyDescent="0.3">
      <c r="A88" s="1">
        <v>100</v>
      </c>
      <c r="B88" s="1" t="s">
        <v>1182</v>
      </c>
      <c r="C88" s="2">
        <v>26218</v>
      </c>
      <c r="D88" s="3" t="s">
        <v>103</v>
      </c>
      <c r="E88" s="3" t="s">
        <v>104</v>
      </c>
      <c r="F88" s="3" t="s">
        <v>1183</v>
      </c>
      <c r="G88" s="88" t="s">
        <v>43</v>
      </c>
      <c r="H88" s="96">
        <v>1</v>
      </c>
      <c r="I88" s="3" t="s">
        <v>1184</v>
      </c>
      <c r="J88" s="7" t="s">
        <v>78</v>
      </c>
      <c r="K88" s="26" t="s">
        <v>1191</v>
      </c>
      <c r="L88" s="26" t="s">
        <v>1190</v>
      </c>
      <c r="M88" s="86" t="s">
        <v>2961</v>
      </c>
      <c r="N88" s="86" t="s">
        <v>2962</v>
      </c>
      <c r="O88" s="86" t="s">
        <v>257</v>
      </c>
      <c r="P88" s="86" t="str">
        <f>VLOOKUP(I88,Schedule!H:AR,37,FALSE)</f>
        <v>NA</v>
      </c>
      <c r="Q88" s="86" t="s">
        <v>3352</v>
      </c>
      <c r="R88" s="86" t="str">
        <f t="shared" si="17"/>
        <v>ashutosh.gupta3@yes.bank.in,subhasis.banerjee@yes.bank.in,biswarup.ghosh@yes.bank.in,mdshabbir.alam@yes.bank.in,md.sarfarazuddin@yes.bank.in,arindam.sarkar2@yes.bank.in,tarkeshwar.singh@yes.bank.in,ritam.basak@yes.bank.in,priyanka.mondal@yes.bank.in,deepak.singh39@yes.bank.in,manish.bhagat@yes.bank.in,soumitra.ghosh1@yes.bank.in,monawwar.alam1@yes.bank.in,lonika.kotekar@yes.bank.in,shirajahmed.habib@yes.bank.in,Gaurav@kgac.in,AmanM@kgac.in,hariom@kgac.in</v>
      </c>
      <c r="S88" s="85" t="str">
        <f t="shared" si="24"/>
        <v>Draft audit report of Zenith Management Associates_Collection_Durgapur_April '26_ (Audit Period Jan'26 to Mar'26)</v>
      </c>
      <c r="T88" s="84" t="str">
        <f t="shared" si="18"/>
        <v>Please find the attached Draft audit report of Zenith Management Associates_Collection_Durgapur_April '26_ (Audit Period Jan'26 to Mar'26)</v>
      </c>
      <c r="U88" s="84" t="s">
        <v>3425</v>
      </c>
      <c r="V88" s="84"/>
    </row>
    <row r="89" spans="1:22" x14ac:dyDescent="0.3">
      <c r="A89" s="1">
        <v>101</v>
      </c>
      <c r="B89" s="1" t="s">
        <v>311</v>
      </c>
      <c r="C89" s="2">
        <v>25557</v>
      </c>
      <c r="D89" s="3" t="s">
        <v>103</v>
      </c>
      <c r="E89" s="3" t="s">
        <v>104</v>
      </c>
      <c r="F89" s="3" t="s">
        <v>105</v>
      </c>
      <c r="G89" s="88" t="s">
        <v>43</v>
      </c>
      <c r="H89" s="96">
        <v>2</v>
      </c>
      <c r="I89" s="3" t="s">
        <v>1936</v>
      </c>
      <c r="J89" s="7" t="s">
        <v>57</v>
      </c>
      <c r="K89" s="26" t="s">
        <v>3221</v>
      </c>
      <c r="L89" s="26" t="s">
        <v>318</v>
      </c>
      <c r="M89" s="86" t="s">
        <v>2831</v>
      </c>
      <c r="N89" s="86" t="s">
        <v>2832</v>
      </c>
      <c r="O89" s="86" t="s">
        <v>2833</v>
      </c>
      <c r="P89" s="86" t="str">
        <f>VLOOKUP(I89,Schedule!H:AR,37,FALSE)</f>
        <v>NA</v>
      </c>
      <c r="Q89" s="86" t="s">
        <v>3291</v>
      </c>
      <c r="R89" s="86" t="str">
        <f t="shared" si="17"/>
        <v>manikandan.g4@yes.bank.in,sekhar.mukharjee@yes.bank.in,manikandan.g4@yes.bank.in,subhasis.banerjee@yes.bank.in,biswarup.ghosh@yes.bank.in,mdshabbir.alam@yes.bank.in,krishnendu.sarder@yes.bank.in,saisab.mallick@yes.bank.in,imran.elahi@yes.bank.in,priyanka.mondal@yes.bank.in,ritam.basak@yes.bank.in,deepak.singh39@yes.bank.in,suryanarayan.nayak@yes.bank.in,arindam.sarkar2@yes.bank.in,tarkeshwar.singh@yes.bank.in,nishant.kumar16@yes.bank.in,rajkumar.hazra@yes.bank.in,abhisek.bose@yes.bank.in,ossam.aditya@yes.bank.in,soumitra.ghosh1@yes.bank.in,monawwar.alam1@yes.bank.in,lonika.kotekar@yes.bank.in,shirajahmed.habib@yes.bank.in,Gaurav@kgac.in,AmanM@kgac.in,hariom@kgac.in</v>
      </c>
      <c r="S89" s="85" t="str">
        <f>_xlfn.CONCAT("Draft audit report of ","Aim Corporate","_Collection_","Patna, Kolkata","_April '26_ (Audit Period Jan'26 to Mar'26)")</f>
        <v>Draft audit report of Aim Corporate_Collection_Patna, Kolkata_April '26_ (Audit Period Jan'26 to Mar'26)</v>
      </c>
      <c r="T89" s="84" t="str">
        <f t="shared" si="18"/>
        <v>Please find the attached Draft audit report of Aim Corporate_Collection_Patna, Kolkata_April '26_ (Audit Period Jan'26 to Mar'26)</v>
      </c>
      <c r="U89" s="84" t="s">
        <v>1994</v>
      </c>
      <c r="V89" s="84" t="s">
        <v>3693</v>
      </c>
    </row>
    <row r="90" spans="1:22" x14ac:dyDescent="0.3">
      <c r="A90" s="1">
        <v>102</v>
      </c>
      <c r="B90" s="1">
        <v>83886</v>
      </c>
      <c r="C90" s="2">
        <v>83886</v>
      </c>
      <c r="D90" s="3" t="s">
        <v>103</v>
      </c>
      <c r="E90" s="3" t="s">
        <v>104</v>
      </c>
      <c r="F90" s="3" t="s">
        <v>105</v>
      </c>
      <c r="G90" s="88" t="s">
        <v>43</v>
      </c>
      <c r="H90" s="96">
        <v>1</v>
      </c>
      <c r="I90" s="3" t="s">
        <v>1639</v>
      </c>
      <c r="J90" s="7" t="s">
        <v>57</v>
      </c>
      <c r="K90" s="26" t="s">
        <v>821</v>
      </c>
      <c r="L90" s="26" t="s">
        <v>821</v>
      </c>
      <c r="M90" s="86" t="s">
        <v>2963</v>
      </c>
      <c r="N90" s="86" t="s">
        <v>2964</v>
      </c>
      <c r="O90" s="86" t="s">
        <v>2878</v>
      </c>
      <c r="P90" s="86" t="str">
        <f>VLOOKUP(I90,Schedule!H:AR,37,FALSE)</f>
        <v>NA</v>
      </c>
      <c r="Q90" s="86" t="s">
        <v>3353</v>
      </c>
      <c r="R90" s="86" t="str">
        <f t="shared" si="17"/>
        <v>manikandan.g4@yes.bank.in,ashutosh.gupta3@yes.bank.in,manikandan.g4@yes.bank.in,subhasis.banerjee@yes.bank.in,ashutosh.gupta3@yes.bank.in,rathindra.das@yes.bank.in,biswarup.ghosh@yes.bank.in,mdshabbir.alam@yes.bank.in,saisab.mallick@yes.bank.in,priyanka.mondal@yes.bank.in,azharuddin.md@yes.bank.in,souvik.pramanik@yes.bank.in,arindam.sarkar2@yes.bank.in,imran.elahi@yes.bank.in,deepak.singh39@yes.bank.in,tarkeshwar.singh@yes.bank.in,ritam.basak@yes.bank.in,manish.bhagat@yes.bank.in,soumitra.ghosh1@yes.bank.in,monawwar.alam1@yes.bank.in,subhakanta.panda@yes.bank.in,lonika.kotekar@yes.bank.in,shirajahmed.habib@yes.bank.in,Gaurav@kgac.in,AmanM@kgac.in,hariom@kgac.in</v>
      </c>
      <c r="S90" s="85" t="str">
        <f t="shared" ref="S90:S92" si="25">_xlfn.CONCAT("Draft audit report of ",I90,"_Collection &amp; Repossession_",F90,"_April '26_ (Audit Period Jan'26 to Mar'26)")</f>
        <v>Draft audit report of Chandan Saha_Collection &amp; Repossession_Kolkata_April '26_ (Audit Period Jan'26 to Mar'26)</v>
      </c>
      <c r="T90" s="84" t="str">
        <f t="shared" si="18"/>
        <v>Please find the attached Draft audit report of Chandan Saha_Collection &amp; Repossession_Kolkata_April '26_ (Audit Period Jan'26 to Mar'26)</v>
      </c>
      <c r="U90" s="84" t="s">
        <v>1994</v>
      </c>
      <c r="V90" s="84" t="s">
        <v>3693</v>
      </c>
    </row>
    <row r="91" spans="1:22" x14ac:dyDescent="0.3">
      <c r="A91" s="1">
        <v>103</v>
      </c>
      <c r="B91" s="1" t="s">
        <v>259</v>
      </c>
      <c r="C91" s="2">
        <v>25877</v>
      </c>
      <c r="D91" s="3" t="s">
        <v>103</v>
      </c>
      <c r="E91" s="3" t="s">
        <v>104</v>
      </c>
      <c r="F91" s="3" t="s">
        <v>105</v>
      </c>
      <c r="G91" s="88" t="s">
        <v>43</v>
      </c>
      <c r="H91" s="96">
        <v>1</v>
      </c>
      <c r="I91" s="3" t="s">
        <v>260</v>
      </c>
      <c r="J91" s="7" t="s">
        <v>57</v>
      </c>
      <c r="K91" s="26" t="s">
        <v>3260</v>
      </c>
      <c r="L91" s="26" t="s">
        <v>265</v>
      </c>
      <c r="M91" s="86" t="s">
        <v>2965</v>
      </c>
      <c r="N91" s="86" t="s">
        <v>2966</v>
      </c>
      <c r="O91" s="86" t="s">
        <v>257</v>
      </c>
      <c r="P91" s="86" t="str">
        <f>VLOOKUP(I91,Schedule!H:AR,37,FALSE)</f>
        <v>NA</v>
      </c>
      <c r="Q91" s="86" t="s">
        <v>3354</v>
      </c>
      <c r="R91" s="86" t="str">
        <f t="shared" si="17"/>
        <v>sekhar.mukharjee@yes.bank.in,krishnendu.sarder@yes.bank.in,joy.saha@yes.bank.in,lonika.kotekar@yes.bank.in,shirajahmed.habib@yes.bank.in,Gaurav@kgac.in,AmanM@kgac.in,hariom@kgac.in</v>
      </c>
      <c r="S91" s="85" t="str">
        <f t="shared" si="25"/>
        <v>Draft audit report of Easyway Advisory_Collection &amp; Repossession_Kolkata_April '26_ (Audit Period Jan'26 to Mar'26)</v>
      </c>
      <c r="T91" s="84" t="str">
        <f t="shared" si="18"/>
        <v>Please find the attached Draft audit report of Easyway Advisory_Collection &amp; Repossession_Kolkata_April '26_ (Audit Period Jan'26 to Mar'26)</v>
      </c>
      <c r="U91" s="84" t="s">
        <v>1994</v>
      </c>
      <c r="V91" s="84" t="s">
        <v>3693</v>
      </c>
    </row>
    <row r="92" spans="1:22" x14ac:dyDescent="0.3">
      <c r="A92" s="1">
        <v>105</v>
      </c>
      <c r="B92" s="1" t="s">
        <v>1843</v>
      </c>
      <c r="C92" s="2">
        <v>303020</v>
      </c>
      <c r="D92" s="3" t="s">
        <v>103</v>
      </c>
      <c r="E92" s="3" t="s">
        <v>104</v>
      </c>
      <c r="F92" s="3" t="s">
        <v>105</v>
      </c>
      <c r="G92" s="88" t="s">
        <v>43</v>
      </c>
      <c r="H92" s="96">
        <v>1</v>
      </c>
      <c r="I92" s="3" t="s">
        <v>1697</v>
      </c>
      <c r="J92" s="7" t="s">
        <v>57</v>
      </c>
      <c r="K92" s="26" t="s">
        <v>584</v>
      </c>
      <c r="L92" s="26" t="s">
        <v>583</v>
      </c>
      <c r="M92" s="86" t="s">
        <v>2967</v>
      </c>
      <c r="N92" s="86" t="s">
        <v>2968</v>
      </c>
      <c r="O92" s="86" t="s">
        <v>257</v>
      </c>
      <c r="P92" s="86" t="str">
        <f>VLOOKUP(I92,Schedule!H:AR,37,FALSE)</f>
        <v>NA</v>
      </c>
      <c r="Q92" s="86" t="s">
        <v>3355</v>
      </c>
      <c r="R92" s="86" t="str">
        <f t="shared" si="17"/>
        <v>sekhar.mukharjee@yes.bank.in,biswarup.ghosh@yes.bank.in,sudip.manna@yes.bank.in,suman.das3@yes.bank.in,ritam.basak@yes.bank.in,tarkeshwar.singh@yes.bank.in,deepak.singh39@yes.bank.in,lonika.kotekar@yes.bank.in,shirajahmed.habib@yes.bank.in,Gaurav@kgac.in,AmanM@kgac.in,hariom@kgac.in</v>
      </c>
      <c r="S92" s="85" t="str">
        <f t="shared" si="25"/>
        <v>Draft audit report of J K Associate_Collection &amp; Repossession_Kolkata_April '26_ (Audit Period Jan'26 to Mar'26)</v>
      </c>
      <c r="T92" s="84" t="str">
        <f t="shared" si="18"/>
        <v>Please find the attached Draft audit report of J K Associate_Collection &amp; Repossession_Kolkata_April '26_ (Audit Period Jan'26 to Mar'26)</v>
      </c>
      <c r="U92" s="84" t="s">
        <v>1994</v>
      </c>
      <c r="V92" s="84" t="s">
        <v>3693</v>
      </c>
    </row>
    <row r="93" spans="1:22" x14ac:dyDescent="0.3">
      <c r="A93" s="1">
        <v>106</v>
      </c>
      <c r="B93" s="1" t="s">
        <v>641</v>
      </c>
      <c r="C93" s="2">
        <v>26212</v>
      </c>
      <c r="D93" s="3" t="s">
        <v>103</v>
      </c>
      <c r="E93" s="3" t="s">
        <v>104</v>
      </c>
      <c r="F93" s="3" t="s">
        <v>105</v>
      </c>
      <c r="G93" s="88" t="s">
        <v>43</v>
      </c>
      <c r="H93" s="96">
        <v>3</v>
      </c>
      <c r="I93" s="3" t="s">
        <v>1941</v>
      </c>
      <c r="J93" s="7" t="s">
        <v>78</v>
      </c>
      <c r="K93" s="26" t="s">
        <v>3261</v>
      </c>
      <c r="L93" s="26" t="s">
        <v>649</v>
      </c>
      <c r="M93" s="86" t="s">
        <v>2876</v>
      </c>
      <c r="N93" s="86" t="s">
        <v>2877</v>
      </c>
      <c r="O93" s="86" t="s">
        <v>2878</v>
      </c>
      <c r="P93" s="86" t="str">
        <f>VLOOKUP(I93,Schedule!H:AR,37,FALSE)</f>
        <v>Audited for Collection Only, as no activity of repossession are done from Kolkata branch</v>
      </c>
      <c r="Q93" s="86" t="s">
        <v>3356</v>
      </c>
      <c r="R93" s="86" t="str">
        <f t="shared" si="17"/>
        <v>manikandan.g4@yes.bank.in,ashutosh.gupta3@yes.bank.in,ashutosh.gupta3@yes.bank.in,manikandan.g4@yes.bank.in,sekhar.mukharjee@yes.bank.in,subhasis.banerjee@yes.bank.in,rathindra.das@yes.bank.in,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lonika.kotekar@yes.bank.in,shirajahmed.habib@yes.bank.in,Gaurav@kgac.in,AmanM@kgac.in,hariom@kgac.in</v>
      </c>
      <c r="S93" s="85" t="str">
        <f>_xlfn.CONCAT("Draft audit report of ","Kalyani Associate","_Collection &amp; Repossession_","Jamshedpur, Bhubaneshwar, Kolkata","_April '26_ (Audit Period Jan'26 to Mar'26)")</f>
        <v>Draft audit report of Kalyani Associate_Collection &amp; Repossession_Jamshedpur, Bhubaneshwar, Kolkata_April '26_ (Audit Period Jan'26 to Mar'26)</v>
      </c>
      <c r="T93" s="84" t="str">
        <f t="shared" si="18"/>
        <v>Please find the attached Draft audit report of Kalyani Associate_Collection &amp; Repossession_Jamshedpur, Bhubaneshwar, Kolkata_April '26_ (Audit Period Jan'26 to Mar'26)</v>
      </c>
      <c r="U93" s="84" t="s">
        <v>1994</v>
      </c>
      <c r="V93" s="84" t="s">
        <v>3693</v>
      </c>
    </row>
    <row r="94" spans="1:22" x14ac:dyDescent="0.3">
      <c r="A94" s="1">
        <v>107</v>
      </c>
      <c r="B94" s="1" t="s">
        <v>1845</v>
      </c>
      <c r="C94" s="2">
        <v>168962</v>
      </c>
      <c r="D94" s="3" t="s">
        <v>103</v>
      </c>
      <c r="E94" s="3" t="s">
        <v>104</v>
      </c>
      <c r="F94" s="3" t="s">
        <v>105</v>
      </c>
      <c r="G94" s="88" t="s">
        <v>43</v>
      </c>
      <c r="H94" s="96">
        <v>1</v>
      </c>
      <c r="I94" s="3" t="s">
        <v>1711</v>
      </c>
      <c r="J94" s="7" t="s">
        <v>57</v>
      </c>
      <c r="K94" s="26" t="s">
        <v>3262</v>
      </c>
      <c r="L94" s="26" t="s">
        <v>854</v>
      </c>
      <c r="M94" s="86" t="s">
        <v>2969</v>
      </c>
      <c r="N94" s="86" t="s">
        <v>2970</v>
      </c>
      <c r="O94" s="86" t="s">
        <v>2833</v>
      </c>
      <c r="P94" s="86" t="str">
        <f>VLOOKUP(I94,Schedule!H:AR,37,FALSE)</f>
        <v>NA</v>
      </c>
      <c r="Q94" s="86" t="s">
        <v>3357</v>
      </c>
      <c r="R94" s="86" t="str">
        <f t="shared" si="17"/>
        <v>manikandan.g4@yes.bank.in,subhasis.banerjee@yes.bank.in,sekhar.mukharjee@yes.bank.in,manikandan.g4@yes.bank.in,biswarup.ghosh@yes.bank.in,arindam.sarkar2@yes.bank.in,krishnendu.sarder@yes.bank.in,priyanka.mondal@yes.bank.in,imran.elahi@yes.bank.in,tarkeshwar.singh@yes.bank.in,lonika.kotekar@yes.bank.in,shirajahmed.habib@yes.bank.in,Gaurav@kgac.in,AmanM@kgac.in,hariom@kgac.in</v>
      </c>
      <c r="S94" s="85" t="str">
        <f>_xlfn.CONCAT("Draft audit report of ",I94,"_Collection &amp; Repossession_",F94,"_April '26_ (Audit Period Jan'26 to Mar'26)")</f>
        <v>Draft audit report of Sunshine Credit Services_Collection &amp; Repossession_Kolkata_April '26_ (Audit Period Jan'26 to Mar'26)</v>
      </c>
      <c r="T94" s="84" t="str">
        <f t="shared" si="18"/>
        <v>Please find the attached Draft audit report of Sunshine Credit Services_Collection &amp; Repossession_Kolkata_April '26_ (Audit Period Jan'26 to Mar'26)</v>
      </c>
      <c r="U94" s="84" t="s">
        <v>1994</v>
      </c>
      <c r="V94" s="84" t="s">
        <v>3693</v>
      </c>
    </row>
    <row r="95" spans="1:22" x14ac:dyDescent="0.3">
      <c r="A95" s="1">
        <v>108</v>
      </c>
      <c r="B95" s="1" t="s">
        <v>60</v>
      </c>
      <c r="C95" s="2">
        <v>374994</v>
      </c>
      <c r="D95" s="3" t="s">
        <v>103</v>
      </c>
      <c r="E95" s="3" t="s">
        <v>104</v>
      </c>
      <c r="F95" s="3" t="s">
        <v>105</v>
      </c>
      <c r="G95" s="88" t="s">
        <v>43</v>
      </c>
      <c r="H95" s="96">
        <v>1</v>
      </c>
      <c r="I95" s="3" t="s">
        <v>1748</v>
      </c>
      <c r="J95" s="7" t="s">
        <v>78</v>
      </c>
      <c r="K95" s="26" t="s">
        <v>1227</v>
      </c>
      <c r="L95" s="26" t="s">
        <v>1227</v>
      </c>
      <c r="M95" s="86" t="s">
        <v>2971</v>
      </c>
      <c r="N95" s="86" t="s">
        <v>2966</v>
      </c>
      <c r="O95" s="86" t="s">
        <v>257</v>
      </c>
      <c r="P95" s="86" t="str">
        <f>VLOOKUP(I95,Schedule!H:AR,37,FALSE)</f>
        <v>NA</v>
      </c>
      <c r="Q95" s="86" t="s">
        <v>3358</v>
      </c>
      <c r="R95" s="86" t="str">
        <f t="shared" si="17"/>
        <v>sekhar.mukharjee@yes.bank.in,suman.das3@yes.bank.in,joy.saha@yes.bank.in,lonika.kotekar@yes.bank.in,shirajahmed.habib@yes.bank.in,Gaurav@kgac.in,AmanM@kgac.in,hariom@kgac.in</v>
      </c>
      <c r="S95" s="85" t="str">
        <f t="shared" ref="S95:S97" si="26">_xlfn.CONCAT("Draft audit report of ",I95,"_Collection_",F95,"_April '26_ (Audit Period Jan'26 to Mar'26)")</f>
        <v>Draft audit report of Swastik Consultancy_Collection_Kolkata_April '26_ (Audit Period Jan'26 to Mar'26)</v>
      </c>
      <c r="T95" s="84" t="str">
        <f t="shared" si="18"/>
        <v>Please find the attached Draft audit report of Swastik Consultancy_Collection_Kolkata_April '26_ (Audit Period Jan'26 to Mar'26)</v>
      </c>
      <c r="U95" s="84" t="s">
        <v>3425</v>
      </c>
      <c r="V95" s="84"/>
    </row>
    <row r="96" spans="1:22" x14ac:dyDescent="0.3">
      <c r="A96" s="1">
        <v>109</v>
      </c>
      <c r="B96" s="1" t="s">
        <v>102</v>
      </c>
      <c r="C96" s="2">
        <v>26452</v>
      </c>
      <c r="D96" s="3" t="s">
        <v>103</v>
      </c>
      <c r="E96" s="3" t="s">
        <v>104</v>
      </c>
      <c r="F96" s="3" t="s">
        <v>105</v>
      </c>
      <c r="G96" s="88" t="s">
        <v>43</v>
      </c>
      <c r="H96" s="96">
        <v>1</v>
      </c>
      <c r="I96" s="3" t="s">
        <v>106</v>
      </c>
      <c r="J96" s="7" t="s">
        <v>78</v>
      </c>
      <c r="K96" s="26" t="s">
        <v>111</v>
      </c>
      <c r="L96" s="26" t="s">
        <v>111</v>
      </c>
      <c r="M96" s="86" t="s">
        <v>2972</v>
      </c>
      <c r="N96" s="86" t="s">
        <v>2973</v>
      </c>
      <c r="O96" s="86" t="s">
        <v>2878</v>
      </c>
      <c r="P96" s="86" t="str">
        <f>VLOOKUP(I96,Schedule!H:AR,37,FALSE)</f>
        <v>NA</v>
      </c>
      <c r="Q96" s="86" t="s">
        <v>3359</v>
      </c>
      <c r="R96" s="86" t="str">
        <f t="shared" si="17"/>
        <v>manikandan.g4@yes.bank.in,ashutosh.gupta3@yes.bank.in,manikandan.g4@yes.bank.in,sekhar.mukharjee@yes.bank.in,ashutosh.gupta3@yes.bank.in,rathindra.das@yes.bank.in,mdshabbir.alam@yes.bank.in,saisab.mallick@yes.bank.in,rupesh.singh1@yes.bank.in,md.kausar@yes.bank.in,imran.elahi@yes.bank.in,abhishek.kumar84@yes.bank.in,monawwar.alam1@yes.bank.in,ossam.aditya@yes.bank.in,abhisek.bose@yes.bank.in,rajkumar.hazra@yes.bank.in,soumitra.ghosh1@yes.bank.in,lonika.kotekar@yes.bank.in,shirajahmed.habib@yes.bank.in,Gaurav@kgac.in,AmanM@kgac.in,hariom@kgac.in</v>
      </c>
      <c r="S96" s="85" t="str">
        <f t="shared" si="26"/>
        <v>Draft audit report of Urenus_Collection_Kolkata_April '26_ (Audit Period Jan'26 to Mar'26)</v>
      </c>
      <c r="T96" s="84" t="str">
        <f t="shared" si="18"/>
        <v>Please find the attached Draft audit report of Urenus_Collection_Kolkata_April '26_ (Audit Period Jan'26 to Mar'26)</v>
      </c>
      <c r="U96" s="84" t="s">
        <v>3425</v>
      </c>
      <c r="V96" s="84"/>
    </row>
    <row r="97" spans="1:22" x14ac:dyDescent="0.3">
      <c r="A97" s="1">
        <v>110</v>
      </c>
      <c r="B97" s="1" t="s">
        <v>792</v>
      </c>
      <c r="C97" s="2">
        <v>53595</v>
      </c>
      <c r="D97" s="3" t="s">
        <v>103</v>
      </c>
      <c r="E97" s="3" t="s">
        <v>104</v>
      </c>
      <c r="F97" s="3" t="s">
        <v>793</v>
      </c>
      <c r="G97" s="88" t="s">
        <v>43</v>
      </c>
      <c r="H97" s="96">
        <v>1</v>
      </c>
      <c r="I97" s="3" t="s">
        <v>794</v>
      </c>
      <c r="J97" s="7" t="s">
        <v>78</v>
      </c>
      <c r="K97" s="26" t="s">
        <v>3263</v>
      </c>
      <c r="L97" s="26" t="s">
        <v>798</v>
      </c>
      <c r="M97" s="86" t="s">
        <v>2974</v>
      </c>
      <c r="N97" s="86" t="s">
        <v>2975</v>
      </c>
      <c r="O97" s="86" t="s">
        <v>257</v>
      </c>
      <c r="P97" s="86" t="str">
        <f>VLOOKUP(I97,Schedule!H:AR,37,FALSE)</f>
        <v>NA</v>
      </c>
      <c r="Q97" s="86" t="s">
        <v>3360</v>
      </c>
      <c r="R97" s="86" t="str">
        <f t="shared" si="17"/>
        <v>subhasis.banerjee@yes.bank.in,biswarup.ghosh@yes.bank.in,mdshabbir.alam@yes.bank.in,arindam.sarkar2@yes.bank.in,ritam.basak@yes.bank.in,tarkeshwar.singh@yes.bank.in,deepak.singh39@yes.bank.in,priyanka.mondal@yes.bank.in,rajkumar.hazra@yes.bank.in,abhisek.bose@yes.bank.in,manish.bhagat@yes.bank.in,monawwar.alam1@yes.bank.in,lonika.kotekar@yes.bank.in,shirajahmed.habib@yes.bank.in,Gaurav@kgac.in,AmanM@kgac.in,hariom@kgac.in</v>
      </c>
      <c r="S97" s="85" t="str">
        <f t="shared" si="26"/>
        <v>Draft audit report of Wayout Solutions_Collection_Midnapore_April '26_ (Audit Period Jan'26 to Mar'26)</v>
      </c>
      <c r="T97" s="84" t="str">
        <f t="shared" si="18"/>
        <v>Please find the attached Draft audit report of Wayout Solutions_Collection_Midnapore_April '26_ (Audit Period Jan'26 to Mar'26)</v>
      </c>
      <c r="U97" s="84" t="s">
        <v>3425</v>
      </c>
      <c r="V97" s="84"/>
    </row>
    <row r="98" spans="1:22" x14ac:dyDescent="0.3">
      <c r="A98" s="1">
        <v>111</v>
      </c>
      <c r="B98" s="1" t="s">
        <v>60</v>
      </c>
      <c r="C98" s="2">
        <v>351036</v>
      </c>
      <c r="D98" s="3" t="s">
        <v>103</v>
      </c>
      <c r="E98" s="3" t="s">
        <v>104</v>
      </c>
      <c r="F98" s="3" t="s">
        <v>1144</v>
      </c>
      <c r="G98" s="88" t="s">
        <v>43</v>
      </c>
      <c r="H98" s="96">
        <v>1</v>
      </c>
      <c r="I98" s="3" t="s">
        <v>1741</v>
      </c>
      <c r="J98" s="7" t="s">
        <v>70</v>
      </c>
      <c r="K98" s="26"/>
      <c r="L98" s="26" t="s">
        <v>1149</v>
      </c>
      <c r="M98" s="86" t="s">
        <v>3076</v>
      </c>
      <c r="N98" s="86" t="s">
        <v>3052</v>
      </c>
      <c r="O98" s="86"/>
      <c r="P98" s="86" t="str">
        <f>VLOOKUP(I98,Schedule!H:AR,37,FALSE)</f>
        <v>NA</v>
      </c>
      <c r="Q98" s="86" t="s">
        <v>1149</v>
      </c>
      <c r="R98" s="86" t="str">
        <f t="shared" si="17"/>
        <v>subhasis.banerjee@yes.bank.in,biswarup.ghosh@yes.bank.in,priyanka.mondal@yes.bank.in,sourabh.parihar@yes.bank.in,lonika.kotekar@yes.bank.in,shirajahmed.habib@yes.bank.in,Gaurav@kgac.in,AmanM@kgac.in,hariom@kgac.in</v>
      </c>
      <c r="S98" s="85" t="str">
        <f>_xlfn.CONCAT("Draft audit report of ",I98,"_Repossession_",F98,"_April '26_ (Audit Period Jan'26 to Mar'26)")</f>
        <v>Draft audit report of Boundless Grow Up Private Limited_Repossession_Nadia_April '26_ (Audit Period Jan'26 to Mar'26)</v>
      </c>
      <c r="T98" s="84" t="str">
        <f t="shared" si="18"/>
        <v>Please find the attached Draft audit report of Boundless Grow Up Private Limited_Repossession_Nadia_April '26_ (Audit Period Jan'26 to Mar'26)</v>
      </c>
      <c r="U98" s="84" t="s">
        <v>3425</v>
      </c>
      <c r="V98" s="84"/>
    </row>
    <row r="99" spans="1:22" x14ac:dyDescent="0.3">
      <c r="A99" s="1">
        <v>112</v>
      </c>
      <c r="B99" s="1" t="s">
        <v>1275</v>
      </c>
      <c r="C99" s="2">
        <v>26219</v>
      </c>
      <c r="D99" s="3" t="s">
        <v>103</v>
      </c>
      <c r="E99" s="3" t="s">
        <v>968</v>
      </c>
      <c r="F99" s="3" t="s">
        <v>414</v>
      </c>
      <c r="G99" s="88" t="s">
        <v>352</v>
      </c>
      <c r="H99" s="96">
        <v>1</v>
      </c>
      <c r="I99" s="3" t="s">
        <v>1950</v>
      </c>
      <c r="J99" s="7" t="s">
        <v>78</v>
      </c>
      <c r="K99" s="26" t="s">
        <v>3264</v>
      </c>
      <c r="L99" s="26" t="s">
        <v>1280</v>
      </c>
      <c r="M99" s="86" t="s">
        <v>2976</v>
      </c>
      <c r="N99" s="86" t="s">
        <v>2977</v>
      </c>
      <c r="O99" s="86" t="s">
        <v>2847</v>
      </c>
      <c r="P99" s="86" t="str">
        <f>VLOOKUP(I99,Schedule!H:AR,37,FALSE)</f>
        <v>NA</v>
      </c>
      <c r="Q99" s="86" t="s">
        <v>3361</v>
      </c>
      <c r="R99" s="86" t="str">
        <f t="shared" si="17"/>
        <v>sandeep.mehta3@yes.bank.in,ashutosh.gupta3@yes.bank.in,sekhar.mukharjee@yes.bank.in,sandeep.mehta3@yes.bank.in,subhasis.banerjee@yes.bank.in,ashutosh.gupta3@yes.bank.in,rathindra.das@yes.bank.in,nitumani.kalita@yes.bank.in,manojkumar.mishra3@yes.bank.in,manibhushan.kumar@yes.bank.in,rupesh.singh1@yes.bank.in,gaurav.singh23@yes.bank.in,mritunjay.munna@yes.bank.in,abhishek.kumar84@yes.bank.in,ashit.kumar3@yes.bank.in,shailendra.chauhan@yes.bank.in,nayanjyoti.deka@yes.bank.in,sushant.singh2@yes.bank.in,lonika.kotekar@yes.bank.in,shirajahmed.habib@yes.bank.in,Gaurav@kgac.in,AmanM@kgac.in,hariom@kgac.in</v>
      </c>
      <c r="S99" s="85" t="str">
        <f t="shared" ref="S99:S110" si="27">_xlfn.CONCAT("Draft audit report of ",I99,"_Collection_",F99,"_April '26_ (Audit Period Jan'26 to Mar'26)")</f>
        <v>Draft audit report of Global Management - Patna_Collection_Patna_April '26_ (Audit Period Jan'26 to Mar'26)</v>
      </c>
      <c r="T99" s="84" t="str">
        <f t="shared" si="18"/>
        <v>Please find the attached Draft audit report of Global Management - Patna_Collection_Patna_April '26_ (Audit Period Jan'26 to Mar'26)</v>
      </c>
      <c r="U99" s="84" t="s">
        <v>3425</v>
      </c>
      <c r="V99" s="84"/>
    </row>
    <row r="100" spans="1:22" x14ac:dyDescent="0.3">
      <c r="A100" s="1">
        <v>113</v>
      </c>
      <c r="B100" s="1" t="s">
        <v>773</v>
      </c>
      <c r="C100" s="2">
        <v>54359</v>
      </c>
      <c r="D100" s="3" t="s">
        <v>103</v>
      </c>
      <c r="E100" s="3" t="s">
        <v>968</v>
      </c>
      <c r="F100" s="3" t="s">
        <v>414</v>
      </c>
      <c r="G100" s="88" t="s">
        <v>352</v>
      </c>
      <c r="H100" s="96">
        <v>1</v>
      </c>
      <c r="I100" s="3" t="s">
        <v>774</v>
      </c>
      <c r="J100" s="7" t="s">
        <v>78</v>
      </c>
      <c r="K100" s="4" t="s">
        <v>3265</v>
      </c>
      <c r="L100" s="4" t="s">
        <v>777</v>
      </c>
      <c r="M100" s="86" t="s">
        <v>2978</v>
      </c>
      <c r="N100" s="86" t="s">
        <v>2979</v>
      </c>
      <c r="O100" s="86" t="s">
        <v>2830</v>
      </c>
      <c r="P100" s="86" t="str">
        <f>VLOOKUP(I100,Schedule!H:AR,37,FALSE)</f>
        <v>NA</v>
      </c>
      <c r="Q100" s="86" t="s">
        <v>3362</v>
      </c>
      <c r="R100" s="86" t="str">
        <f t="shared" si="17"/>
        <v>ashutosh.gupta3@yes.bank.in,sekhar.mukharjee@yes.bank.in,ashutosh.gupta3@yes.bank.in,rathindra.das@yes.bank.in,pankaj.yadav11@yes.bank.in,rupesh.singh1@yes.bank.in,mritunjay.munna@yes.bank.in,gaurav.singh23@yes.bank.in,santosh.thakur@yes.bank.in,lonika.kotekar@yes.bank.in,shirajahmed.habib@yes.bank.in,Gaurav@kgac.in,AmanM@kgac.in,hariom@kgac.in</v>
      </c>
      <c r="S100" s="85" t="str">
        <f t="shared" si="27"/>
        <v>Draft audit report of Raj Management_Collection_Patna_April '26_ (Audit Period Jan'26 to Mar'26)</v>
      </c>
      <c r="T100" s="84" t="str">
        <f t="shared" si="18"/>
        <v>Please find the attached Draft audit report of Raj Management_Collection_Patna_April '26_ (Audit Period Jan'26 to Mar'26)</v>
      </c>
      <c r="U100" s="84" t="s">
        <v>3425</v>
      </c>
      <c r="V100" s="84"/>
    </row>
    <row r="101" spans="1:22" x14ac:dyDescent="0.3">
      <c r="A101" s="1">
        <v>114</v>
      </c>
      <c r="B101" s="1" t="s">
        <v>391</v>
      </c>
      <c r="C101" s="2">
        <v>26111</v>
      </c>
      <c r="D101" s="3" t="s">
        <v>40</v>
      </c>
      <c r="E101" s="3" t="s">
        <v>129</v>
      </c>
      <c r="F101" s="3" t="s">
        <v>129</v>
      </c>
      <c r="G101" s="88" t="s">
        <v>352</v>
      </c>
      <c r="H101" s="96">
        <v>2</v>
      </c>
      <c r="I101" s="3" t="s">
        <v>1955</v>
      </c>
      <c r="J101" s="7" t="s">
        <v>78</v>
      </c>
      <c r="K101" s="4" t="s">
        <v>3266</v>
      </c>
      <c r="L101" s="4" t="s">
        <v>398</v>
      </c>
      <c r="M101" s="86" t="s">
        <v>2980</v>
      </c>
      <c r="N101" s="86" t="s">
        <v>2981</v>
      </c>
      <c r="O101" s="86" t="s">
        <v>2844</v>
      </c>
      <c r="P101" s="86" t="str">
        <f>VLOOKUP(I101,Schedule!H:AR,37,FALSE)</f>
        <v>NA</v>
      </c>
      <c r="Q101" s="86" t="s">
        <v>3363</v>
      </c>
      <c r="R101" s="86" t="str">
        <f t="shared" si="17"/>
        <v>sandeep.mehta3@yes.bank.in,kumar.sambhav@yes.bank.in,rohit.nijhawan@yes.bank.in,vivek.pandey7@yes.bank.in,chander.miglani@yes.bank.in,manoj.kumar56@yes.bank.in,lonika.kotekar@yes.bank.in,shirajahmed.habib@yes.bank.in,Gaurav@kgac.in,AmanM@kgac.in,hariom@kgac.in</v>
      </c>
      <c r="S101" s="85" t="str">
        <f>_xlfn.CONCAT("Draft audit report of ","Gurman Industries","_Collection_",F101,"_April '26_ (Audit Period Jan'26 to Mar'26)")</f>
        <v>Draft audit report of Gurman Industries_Collection_Delhi_April '26_ (Audit Period Jan'26 to Mar'26)</v>
      </c>
      <c r="T101" s="84" t="str">
        <f t="shared" si="18"/>
        <v>Please find the attached Draft audit report of Gurman Industries_Collection_Delhi_April '26_ (Audit Period Jan'26 to Mar'26)</v>
      </c>
      <c r="U101" s="84" t="s">
        <v>1994</v>
      </c>
      <c r="V101" s="84" t="s">
        <v>3693</v>
      </c>
    </row>
    <row r="102" spans="1:22" x14ac:dyDescent="0.3">
      <c r="A102" s="1">
        <v>115</v>
      </c>
      <c r="B102" s="1" t="s">
        <v>391</v>
      </c>
      <c r="C102" s="2">
        <v>26111</v>
      </c>
      <c r="D102" s="3" t="s">
        <v>40</v>
      </c>
      <c r="E102" s="3" t="s">
        <v>129</v>
      </c>
      <c r="F102" s="3" t="s">
        <v>129</v>
      </c>
      <c r="G102" s="88" t="s">
        <v>352</v>
      </c>
      <c r="H102" s="96">
        <v>2</v>
      </c>
      <c r="I102" s="3" t="s">
        <v>1954</v>
      </c>
      <c r="J102" s="7" t="s">
        <v>78</v>
      </c>
      <c r="K102" s="26" t="s">
        <v>3266</v>
      </c>
      <c r="L102" s="26" t="s">
        <v>398</v>
      </c>
      <c r="M102" s="86" t="s">
        <v>2980</v>
      </c>
      <c r="N102" s="86" t="s">
        <v>2981</v>
      </c>
      <c r="O102" s="86" t="s">
        <v>2844</v>
      </c>
      <c r="P102" s="86" t="str">
        <f>VLOOKUP(I102,Schedule!H:AR,37,FALSE)</f>
        <v>NA</v>
      </c>
      <c r="Q102" s="86" t="s">
        <v>3363</v>
      </c>
      <c r="R102" s="86" t="str">
        <f t="shared" si="17"/>
        <v>sandeep.mehta3@yes.bank.in,kumar.sambhav@yes.bank.in,rohit.nijhawan@yes.bank.in,vivek.pandey7@yes.bank.in,chander.miglani@yes.bank.in,manoj.kumar56@yes.bank.in,lonika.kotekar@yes.bank.in,shirajahmed.habib@yes.bank.in,Gaurav@kgac.in,AmanM@kgac.in,hariom@kgac.in</v>
      </c>
      <c r="S102" s="85" t="str">
        <f>_xlfn.CONCAT("Draft audit report of ","Gurman Industries","_Collection_",F102,"_April '26_ (Audit Period Jan'26 to Mar'26)")</f>
        <v>Draft audit report of Gurman Industries_Collection_Delhi_April '26_ (Audit Period Jan'26 to Mar'26)</v>
      </c>
      <c r="T102" s="84" t="str">
        <f t="shared" si="18"/>
        <v>Please find the attached Draft audit report of Gurman Industries_Collection_Delhi_April '26_ (Audit Period Jan'26 to Mar'26)</v>
      </c>
      <c r="U102" s="84" t="s">
        <v>1994</v>
      </c>
      <c r="V102" s="84" t="s">
        <v>3693</v>
      </c>
    </row>
    <row r="103" spans="1:22" x14ac:dyDescent="0.3">
      <c r="A103" s="1">
        <v>116</v>
      </c>
      <c r="B103" s="1" t="s">
        <v>485</v>
      </c>
      <c r="C103" s="2">
        <v>26478</v>
      </c>
      <c r="D103" s="3" t="s">
        <v>40</v>
      </c>
      <c r="E103" s="3" t="s">
        <v>129</v>
      </c>
      <c r="F103" s="3" t="s">
        <v>129</v>
      </c>
      <c r="G103" s="88" t="s">
        <v>352</v>
      </c>
      <c r="H103" s="96">
        <v>1</v>
      </c>
      <c r="I103" s="3" t="s">
        <v>1696</v>
      </c>
      <c r="J103" s="7" t="s">
        <v>78</v>
      </c>
      <c r="K103" s="26" t="s">
        <v>3267</v>
      </c>
      <c r="L103" s="26" t="s">
        <v>492</v>
      </c>
      <c r="M103" s="86" t="s">
        <v>2982</v>
      </c>
      <c r="N103" s="86" t="s">
        <v>2983</v>
      </c>
      <c r="O103" s="86" t="s">
        <v>2844</v>
      </c>
      <c r="P103" s="86" t="str">
        <f>VLOOKUP(I103,Schedule!H:AR,37,FALSE)</f>
        <v>NA</v>
      </c>
      <c r="Q103" s="86" t="s">
        <v>3364</v>
      </c>
      <c r="R103" s="86" t="str">
        <f t="shared" si="17"/>
        <v>sandeep.mehta3@yes.bank.in,upanshu.bajaj@yes.bank.in,hemant.bajaj1@yes.bank.in,rinki.sharma@yes.bank.in,lonika.kotekar@yes.bank.in,shirajahmed.habib@yes.bank.in,Gaurav@kgac.in,AmanM@kgac.in,hariom@kgac.in</v>
      </c>
      <c r="S103" s="85" t="str">
        <f t="shared" si="27"/>
        <v>Draft audit report of Krishnapriya Credit Management Services (P) Ltd_Collection_Delhi_April '26_ (Audit Period Jan'26 to Mar'26)</v>
      </c>
      <c r="T103" s="84" t="str">
        <f t="shared" si="18"/>
        <v>Please find the attached Draft audit report of Krishnapriya Credit Management Services (P) Ltd_Collection_Delhi_April '26_ (Audit Period Jan'26 to Mar'26)</v>
      </c>
      <c r="U103" s="84" t="s">
        <v>2253</v>
      </c>
      <c r="V103" s="84"/>
    </row>
    <row r="104" spans="1:22" x14ac:dyDescent="0.3">
      <c r="A104" s="1">
        <v>117</v>
      </c>
      <c r="B104" s="1" t="s">
        <v>496</v>
      </c>
      <c r="C104" s="2">
        <v>26232</v>
      </c>
      <c r="D104" s="3" t="s">
        <v>40</v>
      </c>
      <c r="E104" s="3" t="s">
        <v>129</v>
      </c>
      <c r="F104" s="3" t="s">
        <v>129</v>
      </c>
      <c r="G104" s="88" t="s">
        <v>352</v>
      </c>
      <c r="H104" s="96">
        <v>1</v>
      </c>
      <c r="I104" s="3" t="s">
        <v>497</v>
      </c>
      <c r="J104" s="7" t="s">
        <v>78</v>
      </c>
      <c r="K104" s="26" t="s">
        <v>3268</v>
      </c>
      <c r="L104" s="26" t="s">
        <v>502</v>
      </c>
      <c r="M104" s="86" t="s">
        <v>2984</v>
      </c>
      <c r="N104" s="86" t="s">
        <v>2985</v>
      </c>
      <c r="O104" s="86" t="s">
        <v>257</v>
      </c>
      <c r="P104" s="86" t="str">
        <f>VLOOKUP(I104,Schedule!H:AR,37,FALSE)</f>
        <v>NA</v>
      </c>
      <c r="Q104" s="86" t="s">
        <v>3365</v>
      </c>
      <c r="R104" s="86" t="str">
        <f t="shared" si="17"/>
        <v>mukesh.rawat2@yes.bank.in,abhinav.lal2@yes.bank.in,sekhar.mukharjee@yes.bank.in,rohit.nijhawan@yes.bank.in,vishal.gupta15@yes.bank.in,gopal.khatri@yes.bank.in,md.faizullah@yes.bank.in,ravi.parkash1@yes.bank.in,nayanjyoti.deka@yes.bank.in,pooja.mehra1@yes.bank.in,lonika.kotekar@yes.bank.in,shirajahmed.habib@yes.bank.in,Gaurav@kgac.in,AmanM@kgac.in,hariom@kgac.in</v>
      </c>
      <c r="S104" s="85" t="str">
        <f t="shared" si="27"/>
        <v>Draft audit report of Oxford Management Services_Collection_Delhi_April '26_ (Audit Period Jan'26 to Mar'26)</v>
      </c>
      <c r="T104" s="84" t="str">
        <f t="shared" si="18"/>
        <v>Please find the attached Draft audit report of Oxford Management Services_Collection_Delhi_April '26_ (Audit Period Jan'26 to Mar'26)</v>
      </c>
      <c r="U104" s="84" t="s">
        <v>2253</v>
      </c>
      <c r="V104" s="84"/>
    </row>
    <row r="105" spans="1:22" x14ac:dyDescent="0.3">
      <c r="A105" s="1">
        <v>119</v>
      </c>
      <c r="B105" s="1" t="s">
        <v>60</v>
      </c>
      <c r="C105" s="2">
        <v>185979</v>
      </c>
      <c r="D105" s="3" t="s">
        <v>40</v>
      </c>
      <c r="E105" s="3" t="s">
        <v>129</v>
      </c>
      <c r="F105" s="3" t="s">
        <v>129</v>
      </c>
      <c r="G105" s="88" t="s">
        <v>352</v>
      </c>
      <c r="H105" s="96">
        <v>1</v>
      </c>
      <c r="I105" s="3" t="s">
        <v>1755</v>
      </c>
      <c r="J105" s="7" t="s">
        <v>78</v>
      </c>
      <c r="K105" s="26" t="s">
        <v>3269</v>
      </c>
      <c r="L105" s="26" t="s">
        <v>1271</v>
      </c>
      <c r="M105" s="86" t="s">
        <v>2986</v>
      </c>
      <c r="N105" s="86" t="s">
        <v>2987</v>
      </c>
      <c r="O105" s="86" t="s">
        <v>257</v>
      </c>
      <c r="P105" s="86" t="str">
        <f>VLOOKUP(I105,Schedule!H:AR,37,FALSE)</f>
        <v>NA</v>
      </c>
      <c r="Q105" s="86" t="s">
        <v>3366</v>
      </c>
      <c r="R105" s="86" t="str">
        <f t="shared" si="17"/>
        <v>mukesh.rawat2@yes.bank.in,sukhwant.singh2@yes.bank.in,vishal.gupta15@yes.bank.in,sidharth.rana@yes.bank.in,nitin.kumar30@yes.bank.in,jay.shukla1@yes.bank.in,subhajit.bhowmik@yes.bank.in,lonika.kotekar@yes.bank.in,shirajahmed.habib@yes.bank.in,Gaurav@kgac.in,AmanM@kgac.in,hariom@kgac.in</v>
      </c>
      <c r="S105" s="85" t="str">
        <f t="shared" si="27"/>
        <v>Draft audit report of Accurate Investigations_Collection_Delhi_April '26_ (Audit Period Jan'26 to Mar'26)</v>
      </c>
      <c r="T105" s="84" t="str">
        <f t="shared" si="18"/>
        <v>Please find the attached Draft audit report of Accurate Investigations_Collection_Delhi_April '26_ (Audit Period Jan'26 to Mar'26)</v>
      </c>
      <c r="U105" s="84" t="s">
        <v>2253</v>
      </c>
      <c r="V105" s="84"/>
    </row>
    <row r="106" spans="1:22" x14ac:dyDescent="0.3">
      <c r="A106" s="1">
        <v>120</v>
      </c>
      <c r="B106" s="1" t="s">
        <v>60</v>
      </c>
      <c r="C106" s="2">
        <v>71934</v>
      </c>
      <c r="D106" s="3" t="s">
        <v>40</v>
      </c>
      <c r="E106" s="3" t="s">
        <v>129</v>
      </c>
      <c r="F106" s="3" t="s">
        <v>129</v>
      </c>
      <c r="G106" s="88" t="s">
        <v>352</v>
      </c>
      <c r="H106" s="96">
        <v>1</v>
      </c>
      <c r="I106" s="3" t="s">
        <v>1754</v>
      </c>
      <c r="J106" s="7" t="s">
        <v>78</v>
      </c>
      <c r="K106" s="26" t="s">
        <v>3270</v>
      </c>
      <c r="L106" s="26" t="s">
        <v>1265</v>
      </c>
      <c r="M106" s="86" t="s">
        <v>2988</v>
      </c>
      <c r="N106" s="86" t="s">
        <v>2857</v>
      </c>
      <c r="O106" s="86" t="s">
        <v>257</v>
      </c>
      <c r="P106" s="86" t="str">
        <f>VLOOKUP(I106,Schedule!H:AR,37,FALSE)</f>
        <v>NA</v>
      </c>
      <c r="Q106" s="86" t="s">
        <v>3367</v>
      </c>
      <c r="R106" s="86" t="str">
        <f t="shared" si="17"/>
        <v>mukesh.rawat2@yes.bank.in,jay.shukla1@yes.bank.in,lonika.kotekar@yes.bank.in,shirajahmed.habib@yes.bank.in,Gaurav@kgac.in,AmanM@kgac.in,hariom@kgac.in</v>
      </c>
      <c r="S106" s="85" t="str">
        <f t="shared" si="27"/>
        <v>Draft audit report of Jai Ambey Associates_Collection_Delhi_April '26_ (Audit Period Jan'26 to Mar'26)</v>
      </c>
      <c r="T106" s="84" t="str">
        <f t="shared" si="18"/>
        <v>Please find the attached Draft audit report of Jai Ambey Associates_Collection_Delhi_April '26_ (Audit Period Jan'26 to Mar'26)</v>
      </c>
      <c r="U106" s="84" t="s">
        <v>2253</v>
      </c>
      <c r="V106" s="84"/>
    </row>
    <row r="107" spans="1:22" x14ac:dyDescent="0.3">
      <c r="A107" s="1">
        <v>121</v>
      </c>
      <c r="B107" s="1" t="s">
        <v>60</v>
      </c>
      <c r="C107" s="2">
        <v>355991</v>
      </c>
      <c r="D107" s="3" t="s">
        <v>40</v>
      </c>
      <c r="E107" s="3" t="s">
        <v>129</v>
      </c>
      <c r="F107" s="3" t="s">
        <v>129</v>
      </c>
      <c r="G107" s="88" t="s">
        <v>352</v>
      </c>
      <c r="H107" s="96">
        <v>1</v>
      </c>
      <c r="I107" s="3" t="s">
        <v>1743</v>
      </c>
      <c r="J107" s="7" t="s">
        <v>78</v>
      </c>
      <c r="K107" s="26" t="s">
        <v>1161</v>
      </c>
      <c r="L107" s="26" t="s">
        <v>1161</v>
      </c>
      <c r="M107" s="86" t="s">
        <v>2989</v>
      </c>
      <c r="N107" s="86" t="s">
        <v>2990</v>
      </c>
      <c r="O107" s="86" t="s">
        <v>2844</v>
      </c>
      <c r="P107" s="86" t="str">
        <f>VLOOKUP(I107,Schedule!H:AR,37,FALSE)</f>
        <v>NA</v>
      </c>
      <c r="Q107" s="86" t="s">
        <v>3368</v>
      </c>
      <c r="R107" s="86" t="str">
        <f t="shared" si="17"/>
        <v>sandeep.mehta3@yes.bank.in,mukesh.rawat2@yes.bank.in,kumar.sambhav@yes.bank.in,jay.shukla1@yes.bank.in,amit.kumar183@yes.bank.in,lonika.kotekar@yes.bank.in,shirajahmed.habib@yes.bank.in,Gaurav@kgac.in,AmanM@kgac.in,hariom@kgac.in</v>
      </c>
      <c r="S107" s="85" t="str">
        <f t="shared" si="27"/>
        <v>Draft audit report of Mf Services Private Limited_Collection_Delhi_April '26_ (Audit Period Jan'26 to Mar'26)</v>
      </c>
      <c r="T107" s="84" t="str">
        <f t="shared" si="18"/>
        <v>Please find the attached Draft audit report of Mf Services Private Limited_Collection_Delhi_April '26_ (Audit Period Jan'26 to Mar'26)</v>
      </c>
      <c r="U107" s="84" t="s">
        <v>2253</v>
      </c>
      <c r="V107" s="84"/>
    </row>
    <row r="108" spans="1:22" x14ac:dyDescent="0.3">
      <c r="A108" s="1">
        <v>122</v>
      </c>
      <c r="B108" s="1" t="s">
        <v>60</v>
      </c>
      <c r="C108" s="2">
        <v>317007</v>
      </c>
      <c r="D108" s="3" t="s">
        <v>40</v>
      </c>
      <c r="E108" s="3" t="s">
        <v>129</v>
      </c>
      <c r="F108" s="3" t="s">
        <v>129</v>
      </c>
      <c r="G108" s="88" t="s">
        <v>352</v>
      </c>
      <c r="H108" s="96">
        <v>1</v>
      </c>
      <c r="I108" s="3" t="s">
        <v>1753</v>
      </c>
      <c r="J108" s="7" t="s">
        <v>78</v>
      </c>
      <c r="K108" s="26" t="s">
        <v>3271</v>
      </c>
      <c r="L108" s="26" t="s">
        <v>1260</v>
      </c>
      <c r="M108" s="86" t="s">
        <v>2991</v>
      </c>
      <c r="N108" s="86" t="s">
        <v>2844</v>
      </c>
      <c r="O108" s="86" t="s">
        <v>2844</v>
      </c>
      <c r="P108" s="86" t="str">
        <f>VLOOKUP(I108,Schedule!H:AR,37,FALSE)</f>
        <v>NA</v>
      </c>
      <c r="Q108" s="86" t="s">
        <v>3369</v>
      </c>
      <c r="R108" s="86" t="str">
        <f t="shared" si="17"/>
        <v>sandeep.mehta3@yes.bank.in,sandeep.mehta3@yes.bank.in,shailendra.chauhan@yes.bank.in,jeetmani.silswal@yes.bank.in,sushant.singh2@yes.bank.in,manojkumar.mishra3@yes.bank.in,lonika.kotekar@yes.bank.in,shirajahmed.habib@yes.bank.in,Gaurav@kgac.in,AmanM@kgac.in,hariom@kgac.in</v>
      </c>
      <c r="S108" s="85" t="str">
        <f t="shared" si="27"/>
        <v>Draft audit report of Singh Asset Recon Services Pvt Ltd_Collection_Delhi_April '26_ (Audit Period Jan'26 to Mar'26)</v>
      </c>
      <c r="T108" s="84" t="str">
        <f t="shared" si="18"/>
        <v>Please find the attached Draft audit report of Singh Asset Recon Services Pvt Ltd_Collection_Delhi_April '26_ (Audit Period Jan'26 to Mar'26)</v>
      </c>
      <c r="U108" s="84" t="s">
        <v>2253</v>
      </c>
      <c r="V108" s="84"/>
    </row>
    <row r="109" spans="1:22" x14ac:dyDescent="0.3">
      <c r="A109" s="1">
        <v>123</v>
      </c>
      <c r="B109" s="1" t="s">
        <v>1850</v>
      </c>
      <c r="C109" s="2">
        <v>118900</v>
      </c>
      <c r="D109" s="3" t="s">
        <v>40</v>
      </c>
      <c r="E109" s="3" t="s">
        <v>96</v>
      </c>
      <c r="F109" s="3" t="s">
        <v>129</v>
      </c>
      <c r="G109" s="88" t="s">
        <v>352</v>
      </c>
      <c r="H109" s="96">
        <v>1</v>
      </c>
      <c r="I109" s="3" t="s">
        <v>1734</v>
      </c>
      <c r="J109" s="7" t="s">
        <v>78</v>
      </c>
      <c r="K109" s="26" t="s">
        <v>1030</v>
      </c>
      <c r="L109" s="26" t="s">
        <v>1030</v>
      </c>
      <c r="M109" s="86" t="s">
        <v>2992</v>
      </c>
      <c r="N109" s="86" t="s">
        <v>2853</v>
      </c>
      <c r="O109" s="86" t="s">
        <v>2853</v>
      </c>
      <c r="P109" s="86" t="str">
        <f>VLOOKUP(I109,Schedule!H:AR,37,FALSE)</f>
        <v xml:space="preserve">Visited the agency but audit not done due to agency is working for Yes Bank from their another branch, Address : B2 And B3 Khasra No. 2761/738 And 2762/738/1, , Second Floor, Kailash Park ,Vill. Basaidara Pur, Moti Nagar West Delhi 110015 </v>
      </c>
      <c r="Q109" s="86" t="s">
        <v>3370</v>
      </c>
      <c r="R109" s="86" t="str">
        <f t="shared" si="17"/>
        <v>avinash.kumar17@yes.bank.in,avinash.kumar17@yes.bank.in,sushant.parashar@yes.bank.in,rahul.sharma57@yes.bank.in,sumit.kumar78@yes.bank.in,lonika.kotekar@yes.bank.in,shirajahmed.habib@yes.bank.in,Gaurav@kgac.in,AmanM@kgac.in,hariom@kgac.in</v>
      </c>
      <c r="S109" s="85" t="str">
        <f t="shared" si="27"/>
        <v>Draft audit report of Sss Solution_Collection_Delhi_April '26_ (Audit Period Jan'26 to Mar'26)</v>
      </c>
      <c r="T109" s="84" t="str">
        <f t="shared" si="18"/>
        <v>Please find the attached Draft audit report of Sss Solution_Collection_Delhi_April '26_ (Audit Period Jan'26 to Mar'26)</v>
      </c>
      <c r="U109" s="84" t="s">
        <v>1994</v>
      </c>
      <c r="V109" s="84" t="s">
        <v>3693</v>
      </c>
    </row>
    <row r="110" spans="1:22" x14ac:dyDescent="0.3">
      <c r="A110" s="1">
        <v>125</v>
      </c>
      <c r="B110" s="1" t="s">
        <v>572</v>
      </c>
      <c r="C110" s="2">
        <v>45746</v>
      </c>
      <c r="D110" s="3" t="s">
        <v>40</v>
      </c>
      <c r="E110" s="3" t="s">
        <v>96</v>
      </c>
      <c r="F110" s="3" t="s">
        <v>573</v>
      </c>
      <c r="G110" s="88" t="s">
        <v>352</v>
      </c>
      <c r="H110" s="96">
        <v>1</v>
      </c>
      <c r="I110" s="3" t="s">
        <v>574</v>
      </c>
      <c r="J110" s="7" t="s">
        <v>78</v>
      </c>
      <c r="K110" s="26" t="s">
        <v>3272</v>
      </c>
      <c r="L110" s="26" t="s">
        <v>578</v>
      </c>
      <c r="M110" s="86" t="s">
        <v>2993</v>
      </c>
      <c r="N110" s="86" t="s">
        <v>2994</v>
      </c>
      <c r="O110" s="86" t="s">
        <v>2897</v>
      </c>
      <c r="P110" s="86" t="str">
        <f>VLOOKUP(I110,Schedule!H:AR,37,FALSE)</f>
        <v>Audited on another address : Plot No. 15/1, Sector 28, Opposite Unicorn Garden, Rohtak, Haryana.</v>
      </c>
      <c r="Q110" s="86" t="s">
        <v>3371</v>
      </c>
      <c r="R110" s="86" t="str">
        <f t="shared" si="17"/>
        <v>avinash.kumar17@yes.bank.in,ashutosh.gupta3@yes.bank.in,ashutosh.gupta3@yes.bank.in,avinash.kumar17@yes.bank.in,abhinav.lal2@yes.bank.in,krishan.saini@yes.bank.in,pawan.rana@yes.bank.in,vikas.saini2@yes.bank.in,pawan.kumar61@yes.bank.in,vinay.kumar15@yes.bank.in,ekta.rani1@yes.bank.in,lonika.kotekar@yes.bank.in,shirajahmed.habib@yes.bank.in,Gaurav@kgac.in,AmanM@kgac.in,hariom@kgac.in</v>
      </c>
      <c r="S110" s="85" t="str">
        <f t="shared" si="27"/>
        <v>Draft audit report of Shri Ram Fin Corp_Collection_Rohtak _April '26_ (Audit Period Jan'26 to Mar'26)</v>
      </c>
      <c r="T110" s="84" t="str">
        <f t="shared" si="18"/>
        <v>Please find the attached Draft audit report of Shri Ram Fin Corp_Collection_Rohtak _April '26_ (Audit Period Jan'26 to Mar'26)</v>
      </c>
      <c r="U110" s="84" t="s">
        <v>1994</v>
      </c>
      <c r="V110" s="84" t="s">
        <v>3693</v>
      </c>
    </row>
    <row r="111" spans="1:22" x14ac:dyDescent="0.3">
      <c r="A111" s="1">
        <v>127</v>
      </c>
      <c r="B111" s="1" t="s">
        <v>350</v>
      </c>
      <c r="C111" s="2">
        <v>26458</v>
      </c>
      <c r="D111" s="3" t="s">
        <v>40</v>
      </c>
      <c r="E111" s="3" t="s">
        <v>351</v>
      </c>
      <c r="F111" s="3" t="s">
        <v>351</v>
      </c>
      <c r="G111" s="88" t="s">
        <v>352</v>
      </c>
      <c r="H111" s="96">
        <v>1</v>
      </c>
      <c r="I111" s="3" t="s">
        <v>1693</v>
      </c>
      <c r="J111" s="7" t="s">
        <v>57</v>
      </c>
      <c r="K111" s="26" t="s">
        <v>360</v>
      </c>
      <c r="L111" s="26" t="s">
        <v>359</v>
      </c>
      <c r="M111" s="86" t="s">
        <v>2995</v>
      </c>
      <c r="N111" s="86" t="s">
        <v>2996</v>
      </c>
      <c r="O111" s="86" t="s">
        <v>257</v>
      </c>
      <c r="P111" s="86" t="str">
        <f>VLOOKUP(I111,Schedule!H:AR,37,FALSE)</f>
        <v>NA</v>
      </c>
      <c r="Q111" s="86" t="s">
        <v>3372</v>
      </c>
      <c r="R111" s="86" t="str">
        <f t="shared" si="17"/>
        <v>sameer.dhar@yes.bank.in,sukhwant.singh2@yes.bank.in,sanjeev.kumar30@yes.bank.in,ashutosh.gupta3@yes.bank.in,pawan.rana@yes.bank.in,vikram.singh26@yes.bank.in,vikash.kumar40@yes.bank.in,jaspreetsingh.bhathal@yes.bank.in,kushpal.singh@yes.bank.in,rishu.raghuvanshi@yes.bank.in,lonika.kotekar@yes.bank.in,shirajahmed.habib@yes.bank.in,Gaurav@kgac.in,AmanM@kgac.in,hariom@kgac.in</v>
      </c>
      <c r="S111" s="85" t="str">
        <f>_xlfn.CONCAT("Draft audit report of ",I111,"_Collection &amp; Repossession_",F111,"_April '26_ (Audit Period Jan'26 to Mar'26)")</f>
        <v>Draft audit report of Jk Corporate Pvt Ltd_Collection &amp; Repossession_Jammu_April '26_ (Audit Period Jan'26 to Mar'26)</v>
      </c>
      <c r="T111" s="84" t="str">
        <f t="shared" si="18"/>
        <v>Please find the attached Draft audit report of Jk Corporate Pvt Ltd_Collection &amp; Repossession_Jammu_April '26_ (Audit Period Jan'26 to Mar'26)</v>
      </c>
      <c r="U111" s="84" t="s">
        <v>1994</v>
      </c>
      <c r="V111" s="84" t="s">
        <v>3693</v>
      </c>
    </row>
    <row r="112" spans="1:22" x14ac:dyDescent="0.3">
      <c r="A112" s="1">
        <v>128</v>
      </c>
      <c r="B112" s="1" t="s">
        <v>464</v>
      </c>
      <c r="C112" s="2">
        <v>26177</v>
      </c>
      <c r="D112" s="3" t="s">
        <v>40</v>
      </c>
      <c r="E112" s="3" t="s">
        <v>465</v>
      </c>
      <c r="F112" s="3" t="s">
        <v>466</v>
      </c>
      <c r="G112" s="88" t="s">
        <v>352</v>
      </c>
      <c r="H112" s="96">
        <v>1</v>
      </c>
      <c r="I112" s="3" t="s">
        <v>467</v>
      </c>
      <c r="J112" s="7" t="s">
        <v>78</v>
      </c>
      <c r="K112" s="26" t="s">
        <v>3273</v>
      </c>
      <c r="L112" s="26" t="s">
        <v>472</v>
      </c>
      <c r="M112" s="86" t="s">
        <v>2997</v>
      </c>
      <c r="N112" s="86" t="s">
        <v>2827</v>
      </c>
      <c r="O112" s="86" t="s">
        <v>257</v>
      </c>
      <c r="P112" s="86" t="str">
        <f>VLOOKUP(I112,Schedule!H:AR,37,FALSE)</f>
        <v>NA</v>
      </c>
      <c r="Q112" s="86" t="s">
        <v>3373</v>
      </c>
      <c r="R112" s="86" t="str">
        <f t="shared" si="17"/>
        <v>sekhar.mukharjee@yes.bank.in,ashutosh.gupta3@yes.bank.in,santosh.thakur@yes.bank.in,ashit.kumar3@yes.bank.in,pankaj.yadav11@yes.bank.in,choudhury.jena@yes.bank.in,avdesh.mishra@yes.bank.in,lonika.kotekar@yes.bank.in,shirajahmed.habib@yes.bank.in,Gaurav@kgac.in,AmanM@kgac.in,hariom@kgac.in</v>
      </c>
      <c r="S112" s="85" t="str">
        <f t="shared" ref="S112:S132" si="28">_xlfn.CONCAT("Draft audit report of ",I112,"_Collection_",F112,"_April '26_ (Audit Period Jan'26 to Mar'26)")</f>
        <v>Draft audit report of Kuber Consultants_Collection_Ranchi_April '26_ (Audit Period Jan'26 to Mar'26)</v>
      </c>
      <c r="T112" s="84" t="str">
        <f t="shared" si="18"/>
        <v>Please find the attached Draft audit report of Kuber Consultants_Collection_Ranchi_April '26_ (Audit Period Jan'26 to Mar'26)</v>
      </c>
      <c r="U112" s="84" t="s">
        <v>1994</v>
      </c>
      <c r="V112" s="84" t="s">
        <v>3693</v>
      </c>
    </row>
    <row r="113" spans="1:22" x14ac:dyDescent="0.3">
      <c r="A113" s="1">
        <v>129</v>
      </c>
      <c r="B113" s="1" t="s">
        <v>991</v>
      </c>
      <c r="C113" s="2">
        <v>131909</v>
      </c>
      <c r="D113" s="3" t="s">
        <v>40</v>
      </c>
      <c r="E113" s="3" t="s">
        <v>41</v>
      </c>
      <c r="F113" s="3" t="s">
        <v>992</v>
      </c>
      <c r="G113" s="88" t="s">
        <v>352</v>
      </c>
      <c r="H113" s="96">
        <v>1</v>
      </c>
      <c r="I113" s="3" t="s">
        <v>1731</v>
      </c>
      <c r="J113" s="7" t="s">
        <v>78</v>
      </c>
      <c r="K113" s="26" t="s">
        <v>3274</v>
      </c>
      <c r="L113" s="26" t="s">
        <v>995</v>
      </c>
      <c r="M113" s="86" t="s">
        <v>2998</v>
      </c>
      <c r="N113" s="86" t="s">
        <v>2908</v>
      </c>
      <c r="O113" s="86" t="s">
        <v>257</v>
      </c>
      <c r="P113" s="86" t="str">
        <f>VLOOKUP(I113,Schedule!H:AR,37,FALSE)</f>
        <v>NA</v>
      </c>
      <c r="Q113" s="86" t="s">
        <v>3374</v>
      </c>
      <c r="R113" s="86" t="str">
        <f t="shared" si="17"/>
        <v>pawan.rana@yes.bank.in,rishu.raghuvanshi@yes.bank.in,lonika.kotekar@yes.bank.in,shirajahmed.habib@yes.bank.in,Gaurav@kgac.in,AmanM@kgac.in,hariom@kgac.in</v>
      </c>
      <c r="S113" s="85" t="str">
        <f t="shared" si="28"/>
        <v>Draft audit report of Sanjeev Mahajan And Associates_Collection_Amritsar_April '26_ (Audit Period Jan'26 to Mar'26)</v>
      </c>
      <c r="T113" s="84" t="str">
        <f t="shared" si="18"/>
        <v>Please find the attached Draft audit report of Sanjeev Mahajan And Associates_Collection_Amritsar_April '26_ (Audit Period Jan'26 to Mar'26)</v>
      </c>
      <c r="U113" s="84" t="s">
        <v>2240</v>
      </c>
      <c r="V113" s="84"/>
    </row>
    <row r="114" spans="1:22" x14ac:dyDescent="0.3">
      <c r="A114" s="1">
        <v>131</v>
      </c>
      <c r="B114" s="1" t="s">
        <v>758</v>
      </c>
      <c r="C114" s="2">
        <v>55833</v>
      </c>
      <c r="D114" s="3" t="s">
        <v>40</v>
      </c>
      <c r="E114" s="3" t="s">
        <v>41</v>
      </c>
      <c r="F114" s="3" t="s">
        <v>42</v>
      </c>
      <c r="G114" s="88" t="s">
        <v>352</v>
      </c>
      <c r="H114" s="96">
        <v>1</v>
      </c>
      <c r="I114" s="3" t="s">
        <v>759</v>
      </c>
      <c r="J114" s="7" t="s">
        <v>78</v>
      </c>
      <c r="K114" s="28" t="s">
        <v>3275</v>
      </c>
      <c r="L114" s="28" t="s">
        <v>762</v>
      </c>
      <c r="M114" s="86" t="s">
        <v>2999</v>
      </c>
      <c r="N114" s="86" t="s">
        <v>3000</v>
      </c>
      <c r="O114" s="86" t="s">
        <v>2830</v>
      </c>
      <c r="P114" s="86" t="str">
        <f>VLOOKUP(I114,Schedule!H:AR,37,FALSE)</f>
        <v>NA</v>
      </c>
      <c r="Q114" s="86" t="s">
        <v>3375</v>
      </c>
      <c r="R114" s="86" t="str">
        <f t="shared" si="17"/>
        <v>ashutosh.gupta3@yes.bank.in,ashutosh.gupta3@yes.bank.in,harmeet.singh5@yes.bank.in,jagmohan.singh3@yes.bank.in,jaspreetsingh.bhathal@yes.bank.in,sunil.kumar113@yes.bank.in,lonika.kotekar@yes.bank.in,shirajahmed.habib@yes.bank.in,Gaurav@kgac.in,AmanM@kgac.in,hariom@kgac.in</v>
      </c>
      <c r="S114" s="85" t="str">
        <f t="shared" si="28"/>
        <v>Draft audit report of Regal Solutions_Collection_Chandigarh_April '26_ (Audit Period Jan'26 to Mar'26)</v>
      </c>
      <c r="T114" s="84" t="str">
        <f t="shared" si="18"/>
        <v>Please find the attached Draft audit report of Regal Solutions_Collection_Chandigarh_April '26_ (Audit Period Jan'26 to Mar'26)</v>
      </c>
      <c r="U114" s="84" t="s">
        <v>2240</v>
      </c>
      <c r="V114" s="84"/>
    </row>
    <row r="115" spans="1:22" x14ac:dyDescent="0.3">
      <c r="A115" s="1">
        <v>132</v>
      </c>
      <c r="B115" s="1" t="s">
        <v>619</v>
      </c>
      <c r="C115" s="2">
        <v>26119</v>
      </c>
      <c r="D115" s="3" t="s">
        <v>40</v>
      </c>
      <c r="E115" s="3" t="s">
        <v>41</v>
      </c>
      <c r="F115" s="3" t="s">
        <v>42</v>
      </c>
      <c r="G115" s="88" t="s">
        <v>352</v>
      </c>
      <c r="H115" s="96">
        <v>1</v>
      </c>
      <c r="I115" s="3" t="s">
        <v>620</v>
      </c>
      <c r="J115" s="7" t="s">
        <v>78</v>
      </c>
      <c r="K115" s="26" t="s">
        <v>625</v>
      </c>
      <c r="L115" s="26" t="s">
        <v>625</v>
      </c>
      <c r="M115" s="86" t="s">
        <v>3001</v>
      </c>
      <c r="N115" s="86" t="s">
        <v>3002</v>
      </c>
      <c r="O115" s="86" t="s">
        <v>257</v>
      </c>
      <c r="P115" s="86" t="str">
        <f>VLOOKUP(I115,Schedule!H:AR,37,FALSE)</f>
        <v>NA</v>
      </c>
      <c r="Q115" s="86" t="s">
        <v>3376</v>
      </c>
      <c r="R115" s="86" t="str">
        <f t="shared" si="17"/>
        <v>sunil.jangir@yes.bank.in,ashutosh.gupta3@yes.bank.in,pawan.rana@yes.bank.in,LavenderSingh.Negi@yes.bank.in,avdesh.mishra@yes.bank.in,vikas.saini2@yes.bank.in,jaspreetsingh.bhathal@yes.bank.in,jagmohan.singh3@yes.bank.in,Jauny.Singh@yes.bank.in,sunil.kumar113@yes.bank.in,lonika.kotekar@yes.bank.in,shirajahmed.habib@yes.bank.in,Gaurav@kgac.in,AmanM@kgac.in,hariom@kgac.in</v>
      </c>
      <c r="S115" s="85" t="str">
        <f t="shared" si="28"/>
        <v>Draft audit report of Spark Enterprises_Collection_Chandigarh_April '26_ (Audit Period Jan'26 to Mar'26)</v>
      </c>
      <c r="T115" s="84" t="str">
        <f t="shared" si="18"/>
        <v>Please find the attached Draft audit report of Spark Enterprises_Collection_Chandigarh_April '26_ (Audit Period Jan'26 to Mar'26)</v>
      </c>
      <c r="U115" s="84" t="s">
        <v>2240</v>
      </c>
      <c r="V115" s="84"/>
    </row>
    <row r="116" spans="1:22" x14ac:dyDescent="0.3">
      <c r="A116" s="1">
        <v>133</v>
      </c>
      <c r="B116" s="1" t="s">
        <v>1079</v>
      </c>
      <c r="C116" s="2">
        <v>26376</v>
      </c>
      <c r="D116" s="3" t="s">
        <v>40</v>
      </c>
      <c r="E116" s="3" t="s">
        <v>199</v>
      </c>
      <c r="F116" s="3" t="s">
        <v>214</v>
      </c>
      <c r="G116" s="88" t="s">
        <v>352</v>
      </c>
      <c r="H116" s="96">
        <v>1</v>
      </c>
      <c r="I116" s="3" t="s">
        <v>1080</v>
      </c>
      <c r="J116" s="7" t="s">
        <v>78</v>
      </c>
      <c r="K116" s="26" t="s">
        <v>1085</v>
      </c>
      <c r="L116" s="26" t="s">
        <v>1085</v>
      </c>
      <c r="M116" s="86" t="s">
        <v>3003</v>
      </c>
      <c r="N116" s="86" t="s">
        <v>2919</v>
      </c>
      <c r="O116" s="86" t="s">
        <v>257</v>
      </c>
      <c r="P116" s="86" t="str">
        <f>VLOOKUP(I116,Schedule!H:AR,37,FALSE)</f>
        <v>NA</v>
      </c>
      <c r="Q116" s="86" t="s">
        <v>3377</v>
      </c>
      <c r="R116" s="86" t="str">
        <f t="shared" si="17"/>
        <v>manish.shukla10@yes.bank.in,kuldeep.rathore1@yes.bank.in,manish.shukla10@yes.bank.in,lonika.kotekar@yes.bank.in,shirajahmed.habib@yes.bank.in,Gaurav@kgac.in,AmanM@kgac.in,hariom@kgac.in</v>
      </c>
      <c r="S116" s="85" t="str">
        <f t="shared" si="28"/>
        <v>Draft audit report of Star Associates_Collection_Jaipur_April '26_ (Audit Period Jan'26 to Mar'26)</v>
      </c>
      <c r="T116" s="84" t="str">
        <f t="shared" si="18"/>
        <v>Please find the attached Draft audit report of Star Associates_Collection_Jaipur_April '26_ (Audit Period Jan'26 to Mar'26)</v>
      </c>
      <c r="U116" s="84" t="s">
        <v>2243</v>
      </c>
      <c r="V116" s="84"/>
    </row>
    <row r="117" spans="1:22" x14ac:dyDescent="0.3">
      <c r="A117" s="1">
        <v>134</v>
      </c>
      <c r="B117" s="1" t="s">
        <v>60</v>
      </c>
      <c r="C117" s="2">
        <v>130913</v>
      </c>
      <c r="D117" s="3" t="s">
        <v>40</v>
      </c>
      <c r="E117" s="3" t="s">
        <v>199</v>
      </c>
      <c r="F117" s="3" t="s">
        <v>214</v>
      </c>
      <c r="G117" s="88" t="s">
        <v>352</v>
      </c>
      <c r="H117" s="96">
        <v>1</v>
      </c>
      <c r="I117" s="3" t="s">
        <v>1746</v>
      </c>
      <c r="J117" s="7" t="s">
        <v>78</v>
      </c>
      <c r="K117" s="26" t="s">
        <v>3276</v>
      </c>
      <c r="L117" s="26" t="s">
        <v>1210</v>
      </c>
      <c r="M117" s="86" t="s">
        <v>3004</v>
      </c>
      <c r="N117" s="86" t="s">
        <v>3005</v>
      </c>
      <c r="O117" s="86" t="s">
        <v>257</v>
      </c>
      <c r="P117" s="86" t="str">
        <f>VLOOKUP(I117,Schedule!H:AR,37,FALSE)</f>
        <v>NA</v>
      </c>
      <c r="Q117" s="86" t="s">
        <v>3378</v>
      </c>
      <c r="R117" s="86" t="str">
        <f t="shared" si="17"/>
        <v>manish.shukla10@yes.bank.in,ashutosh.gupta3@yes.bank.in,yasin.mohammed1@yes.bank.in,pravesh.sharma1@yes.bank.in,kailash.devanda@yes.bank.in,akram.hussain@yes.bank.in,lonika.kotekar@yes.bank.in,shirajahmed.habib@yes.bank.in,Gaurav@kgac.in,AmanM@kgac.in,hariom@kgac.in</v>
      </c>
      <c r="S117" s="85" t="str">
        <f t="shared" si="28"/>
        <v>Draft audit report of Suryavanshi Associates_Collection_Jaipur_April '26_ (Audit Period Jan'26 to Mar'26)</v>
      </c>
      <c r="T117" s="84" t="str">
        <f t="shared" si="18"/>
        <v>Please find the attached Draft audit report of Suryavanshi Associates_Collection_Jaipur_April '26_ (Audit Period Jan'26 to Mar'26)</v>
      </c>
      <c r="U117" s="84" t="s">
        <v>2243</v>
      </c>
      <c r="V117" s="84"/>
    </row>
    <row r="118" spans="1:22" x14ac:dyDescent="0.3">
      <c r="A118" s="1">
        <v>136</v>
      </c>
      <c r="B118" s="1" t="s">
        <v>539</v>
      </c>
      <c r="C118" s="2">
        <v>12488</v>
      </c>
      <c r="D118" s="3" t="s">
        <v>40</v>
      </c>
      <c r="E118" s="3" t="s">
        <v>199</v>
      </c>
      <c r="F118" s="3" t="s">
        <v>540</v>
      </c>
      <c r="G118" s="88" t="s">
        <v>352</v>
      </c>
      <c r="H118" s="96">
        <v>1</v>
      </c>
      <c r="I118" s="3" t="s">
        <v>541</v>
      </c>
      <c r="J118" s="7" t="s">
        <v>78</v>
      </c>
      <c r="K118" s="26" t="s">
        <v>545</v>
      </c>
      <c r="L118" s="26" t="s">
        <v>545</v>
      </c>
      <c r="M118" s="86" t="s">
        <v>3006</v>
      </c>
      <c r="N118" s="86" t="s">
        <v>3007</v>
      </c>
      <c r="O118" s="86" t="s">
        <v>257</v>
      </c>
      <c r="P118" s="86" t="str">
        <f>VLOOKUP(I118,Schedule!H:AR,37,FALSE)</f>
        <v>NA</v>
      </c>
      <c r="Q118" s="86" t="s">
        <v>3379</v>
      </c>
      <c r="R118" s="86" t="str">
        <f t="shared" si="17"/>
        <v>saurabh.saroch@yes.bank.in,kalpesh.raval@yes.bank.in,devi.rathore@yes.bank.in,ram.choudhary@yes.bank.in,lonika.kotekar@yes.bank.in,shirajahmed.habib@yes.bank.in,Gaurav@kgac.in,AmanM@kgac.in,hariom@kgac.in</v>
      </c>
      <c r="S118" s="85" t="str">
        <f t="shared" si="28"/>
        <v>Draft audit report of Ishaan Associates_Collection_Udaipur_April '26_ (Audit Period Jan'26 to Mar'26)</v>
      </c>
      <c r="T118" s="84" t="str">
        <f t="shared" si="18"/>
        <v>Please find the attached Draft audit report of Ishaan Associates_Collection_Udaipur_April '26_ (Audit Period Jan'26 to Mar'26)</v>
      </c>
      <c r="U118" s="84" t="s">
        <v>2243</v>
      </c>
      <c r="V118" s="84"/>
    </row>
    <row r="119" spans="1:22" x14ac:dyDescent="0.3">
      <c r="A119" s="1">
        <v>137</v>
      </c>
      <c r="B119" s="1" t="s">
        <v>592</v>
      </c>
      <c r="C119" s="2">
        <v>12568</v>
      </c>
      <c r="D119" s="3" t="s">
        <v>40</v>
      </c>
      <c r="E119" s="3" t="s">
        <v>61</v>
      </c>
      <c r="F119" s="3" t="s">
        <v>593</v>
      </c>
      <c r="G119" s="88" t="s">
        <v>352</v>
      </c>
      <c r="H119" s="96">
        <v>1</v>
      </c>
      <c r="I119" s="3" t="s">
        <v>594</v>
      </c>
      <c r="J119" s="7" t="s">
        <v>78</v>
      </c>
      <c r="K119" s="26" t="s">
        <v>599</v>
      </c>
      <c r="L119" s="26" t="s">
        <v>599</v>
      </c>
      <c r="M119" s="86" t="s">
        <v>3008</v>
      </c>
      <c r="N119" s="86" t="s">
        <v>2894</v>
      </c>
      <c r="O119" s="86" t="s">
        <v>257</v>
      </c>
      <c r="P119" s="86" t="str">
        <f>VLOOKUP(I119,Schedule!H:AR,37,FALSE)</f>
        <v>NA</v>
      </c>
      <c r="Q119" s="86" t="s">
        <v>3380</v>
      </c>
      <c r="R119" s="86" t="str">
        <f t="shared" si="17"/>
        <v>sukhwant.singh2@yes.bank.in,ram.shankar@yes.bank.in,lonika.kotekar@yes.bank.in,shirajahmed.habib@yes.bank.in,Gaurav@kgac.in,AmanM@kgac.in,hariom@kgac.in</v>
      </c>
      <c r="S119" s="85" t="str">
        <f t="shared" si="28"/>
        <v>Draft audit report of Global Financial Consultant_Collection_Agra_April '26_ (Audit Period Jan'26 to Mar'26)</v>
      </c>
      <c r="T119" s="84" t="str">
        <f t="shared" si="18"/>
        <v>Please find the attached Draft audit report of Global Financial Consultant_Collection_Agra_April '26_ (Audit Period Jan'26 to Mar'26)</v>
      </c>
      <c r="U119" s="84" t="s">
        <v>2253</v>
      </c>
      <c r="V119" s="84"/>
    </row>
    <row r="120" spans="1:22" x14ac:dyDescent="0.3">
      <c r="A120" s="1">
        <v>138</v>
      </c>
      <c r="B120" s="1" t="s">
        <v>60</v>
      </c>
      <c r="C120" s="2">
        <v>189971</v>
      </c>
      <c r="D120" s="3" t="s">
        <v>40</v>
      </c>
      <c r="E120" s="3" t="s">
        <v>61</v>
      </c>
      <c r="F120" s="3" t="s">
        <v>593</v>
      </c>
      <c r="G120" s="88" t="s">
        <v>352</v>
      </c>
      <c r="H120" s="96">
        <v>1</v>
      </c>
      <c r="I120" s="3" t="s">
        <v>605</v>
      </c>
      <c r="J120" s="7" t="s">
        <v>78</v>
      </c>
      <c r="K120" s="26" t="s">
        <v>606</v>
      </c>
      <c r="L120" s="26" t="s">
        <v>606</v>
      </c>
      <c r="M120" s="86" t="s">
        <v>3009</v>
      </c>
      <c r="N120" s="86" t="s">
        <v>2894</v>
      </c>
      <c r="O120" s="86" t="s">
        <v>257</v>
      </c>
      <c r="P120" s="86" t="str">
        <f>VLOOKUP(I120,Schedule!H:AR,37,FALSE)</f>
        <v>NA</v>
      </c>
      <c r="Q120" s="86" t="s">
        <v>3381</v>
      </c>
      <c r="R120" s="86" t="str">
        <f t="shared" si="17"/>
        <v>sukhwant.singh2@yes.bank.in,ram.shankar@yes.bank.in,mohit.rathore2@yes.bank.in,lonika.kotekar@yes.bank.in,shirajahmed.habib@yes.bank.in,Gaurav@kgac.in,AmanM@kgac.in,hariom@kgac.in</v>
      </c>
      <c r="S120" s="85" t="str">
        <f t="shared" si="28"/>
        <v>Draft audit report of Jmd Associates_Collection_Agra_April '26_ (Audit Period Jan'26 to Mar'26)</v>
      </c>
      <c r="T120" s="84" t="str">
        <f t="shared" si="18"/>
        <v>Please find the attached Draft audit report of Jmd Associates_Collection_Agra_April '26_ (Audit Period Jan'26 to Mar'26)</v>
      </c>
      <c r="U120" s="84" t="s">
        <v>2253</v>
      </c>
      <c r="V120" s="84"/>
    </row>
    <row r="121" spans="1:22" x14ac:dyDescent="0.3">
      <c r="A121" s="1">
        <v>139</v>
      </c>
      <c r="B121" s="1" t="s">
        <v>60</v>
      </c>
      <c r="C121" s="2">
        <v>311991</v>
      </c>
      <c r="D121" s="3" t="s">
        <v>40</v>
      </c>
      <c r="E121" s="3" t="s">
        <v>61</v>
      </c>
      <c r="F121" s="3" t="s">
        <v>968</v>
      </c>
      <c r="G121" s="88" t="s">
        <v>352</v>
      </c>
      <c r="H121" s="96">
        <v>1</v>
      </c>
      <c r="I121" s="3" t="s">
        <v>1738</v>
      </c>
      <c r="J121" s="7" t="s">
        <v>78</v>
      </c>
      <c r="K121" s="26" t="s">
        <v>3277</v>
      </c>
      <c r="L121" s="26" t="s">
        <v>1097</v>
      </c>
      <c r="M121" s="86" t="s">
        <v>3010</v>
      </c>
      <c r="N121" s="86" t="s">
        <v>3011</v>
      </c>
      <c r="O121" s="86" t="s">
        <v>257</v>
      </c>
      <c r="P121" s="86" t="str">
        <f>VLOOKUP(I121,Schedule!H:AR,37,FALSE)</f>
        <v>NA</v>
      </c>
      <c r="Q121" s="86" t="s">
        <v>3382</v>
      </c>
      <c r="R121" s="86" t="str">
        <f t="shared" si="17"/>
        <v>ashutosh.gupta3@yes.bank.in,subhasis.banerjee@yes.bank.in,mritunjay.munna@yes.bank.in,manibhushan.kumar@yes.bank.in,lonika.kotekar@yes.bank.in,shirajahmed.habib@yes.bank.in,Gaurav@kgac.in,AmanM@kgac.in,hariom@kgac.in</v>
      </c>
      <c r="S121" s="85" t="str">
        <f t="shared" si="28"/>
        <v>Draft audit report of Swarnika Associates_Collection_Bihar_April '26_ (Audit Period Jan'26 to Mar'26)</v>
      </c>
      <c r="T121" s="84" t="str">
        <f t="shared" si="18"/>
        <v>Please find the attached Draft audit report of Swarnika Associates_Collection_Bihar_April '26_ (Audit Period Jan'26 to Mar'26)</v>
      </c>
      <c r="U121" s="84" t="s">
        <v>2253</v>
      </c>
      <c r="V121" s="84"/>
    </row>
    <row r="122" spans="1:22" x14ac:dyDescent="0.3">
      <c r="A122" s="1">
        <v>140</v>
      </c>
      <c r="B122" s="1" t="s">
        <v>60</v>
      </c>
      <c r="C122" s="2">
        <v>243984</v>
      </c>
      <c r="D122" s="3" t="s">
        <v>40</v>
      </c>
      <c r="E122" s="3" t="s">
        <v>61</v>
      </c>
      <c r="F122" s="3" t="s">
        <v>1584</v>
      </c>
      <c r="G122" s="88" t="s">
        <v>352</v>
      </c>
      <c r="H122" s="96">
        <v>1</v>
      </c>
      <c r="I122" s="3" t="s">
        <v>1715</v>
      </c>
      <c r="J122" s="7" t="s">
        <v>78</v>
      </c>
      <c r="K122" s="26" t="s">
        <v>875</v>
      </c>
      <c r="L122" s="26" t="s">
        <v>875</v>
      </c>
      <c r="M122" s="86" t="s">
        <v>3012</v>
      </c>
      <c r="N122" s="86" t="s">
        <v>3013</v>
      </c>
      <c r="O122" s="86" t="s">
        <v>257</v>
      </c>
      <c r="P122" s="86" t="str">
        <f>VLOOKUP(I122,Schedule!H:AR,37,FALSE)</f>
        <v>NA</v>
      </c>
      <c r="Q122" s="86" t="s">
        <v>3383</v>
      </c>
      <c r="R122" s="86" t="str">
        <f t="shared" si="17"/>
        <v>sukhwant.singh2@yes.bank.in,abhinav.lal2@yes.bank.in,vaibhav.mishra2@yes.bank.in,sachin.chauhan3@yes.bank.in,vivek.gupta13@yes.bank.in,devendra.asthana@yes.bank.in,lonika.kotekar@yes.bank.in,shirajahmed.habib@yes.bank.in,Gaurav@kgac.in,AmanM@kgac.in,hariom@kgac.in</v>
      </c>
      <c r="S122" s="85" t="str">
        <f t="shared" si="28"/>
        <v>Draft audit report of Smart Business Support Services_Collection_Gorakhpur_April '26_ (Audit Period Jan'26 to Mar'26)</v>
      </c>
      <c r="T122" s="84" t="str">
        <f t="shared" si="18"/>
        <v>Please find the attached Draft audit report of Smart Business Support Services_Collection_Gorakhpur_April '26_ (Audit Period Jan'26 to Mar'26)</v>
      </c>
      <c r="U122" s="84" t="s">
        <v>2253</v>
      </c>
      <c r="V122" s="84"/>
    </row>
    <row r="123" spans="1:22" x14ac:dyDescent="0.3">
      <c r="A123" s="1">
        <v>141</v>
      </c>
      <c r="B123" s="1" t="s">
        <v>1849</v>
      </c>
      <c r="C123" s="2">
        <v>310994</v>
      </c>
      <c r="D123" s="3" t="s">
        <v>40</v>
      </c>
      <c r="E123" s="3" t="s">
        <v>61</v>
      </c>
      <c r="F123" s="3" t="s">
        <v>96</v>
      </c>
      <c r="G123" s="88" t="s">
        <v>352</v>
      </c>
      <c r="H123" s="96">
        <v>1</v>
      </c>
      <c r="I123" s="3" t="s">
        <v>1732</v>
      </c>
      <c r="J123" s="7" t="s">
        <v>78</v>
      </c>
      <c r="K123" s="26" t="s">
        <v>3278</v>
      </c>
      <c r="L123" s="26" t="s">
        <v>1000</v>
      </c>
      <c r="M123" s="86" t="s">
        <v>3014</v>
      </c>
      <c r="N123" s="86" t="s">
        <v>3015</v>
      </c>
      <c r="O123" s="86" t="s">
        <v>2853</v>
      </c>
      <c r="P123" s="86" t="str">
        <f>VLOOKUP(I123,Schedule!H:AR,37,FALSE)</f>
        <v>NA</v>
      </c>
      <c r="Q123" s="86" t="s">
        <v>3384</v>
      </c>
      <c r="R123" s="86" t="str">
        <f t="shared" si="17"/>
        <v>avinash.kumar17@yes.bank.in,mukesh.rawat2@yes.bank.in,avinash.kumar17@yes.bank.in,sumit.narang@yes.bank.in,subhajit.bhowmik@yes.bank.in,sushant.parashar@yes.bank.in,sandeep.tyagi@yes.bank.in,sumit.kumar78@yes.bank.in,rahul.sharma57@yes.bank.in,rittin.arya@yes.bank.in,lonika.kotekar@yes.bank.in,shirajahmed.habib@yes.bank.in,Gaurav@kgac.in,AmanM@kgac.in,hariom@kgac.in</v>
      </c>
      <c r="S123" s="85" t="str">
        <f t="shared" si="28"/>
        <v>Draft audit report of Jsr Consultant_Collection_Haryana_April '26_ (Audit Period Jan'26 to Mar'26)</v>
      </c>
      <c r="T123" s="84" t="str">
        <f t="shared" si="18"/>
        <v>Please find the attached Draft audit report of Jsr Consultant_Collection_Haryana_April '26_ (Audit Period Jan'26 to Mar'26)</v>
      </c>
      <c r="U123" s="84" t="s">
        <v>2253</v>
      </c>
      <c r="V123" s="84"/>
    </row>
    <row r="124" spans="1:22" x14ac:dyDescent="0.3">
      <c r="A124" s="1">
        <v>142</v>
      </c>
      <c r="B124" s="1" t="s">
        <v>60</v>
      </c>
      <c r="C124" s="2">
        <v>363994</v>
      </c>
      <c r="D124" s="3" t="s">
        <v>40</v>
      </c>
      <c r="E124" s="3" t="s">
        <v>61</v>
      </c>
      <c r="F124" s="3" t="s">
        <v>270</v>
      </c>
      <c r="G124" s="88" t="s">
        <v>352</v>
      </c>
      <c r="H124" s="96">
        <v>1</v>
      </c>
      <c r="I124" s="3" t="s">
        <v>1752</v>
      </c>
      <c r="J124" s="7" t="s">
        <v>78</v>
      </c>
      <c r="K124" s="26" t="s">
        <v>1255</v>
      </c>
      <c r="L124" s="26" t="s">
        <v>1255</v>
      </c>
      <c r="M124" s="86" t="s">
        <v>3016</v>
      </c>
      <c r="N124" s="86" t="s">
        <v>2894</v>
      </c>
      <c r="O124" s="86" t="s">
        <v>257</v>
      </c>
      <c r="P124" s="86" t="str">
        <f>VLOOKUP(I124,Schedule!H:AR,37,FALSE)</f>
        <v>NA</v>
      </c>
      <c r="Q124" s="86" t="s">
        <v>3385</v>
      </c>
      <c r="R124" s="86" t="str">
        <f t="shared" si="17"/>
        <v>sukhwant.singh2@yes.bank.in,vaibhav.mishra2@yes.bank.in,lonika.kotekar@yes.bank.in,shirajahmed.habib@yes.bank.in,Gaurav@kgac.in,AmanM@kgac.in,hariom@kgac.in</v>
      </c>
      <c r="S124" s="85" t="str">
        <f t="shared" si="28"/>
        <v>Draft audit report of Swapnil And Company_Collection_Kanpur_April '26_ (Audit Period Jan'26 to Mar'26)</v>
      </c>
      <c r="T124" s="84" t="str">
        <f t="shared" si="18"/>
        <v>Please find the attached Draft audit report of Swapnil And Company_Collection_Kanpur_April '26_ (Audit Period Jan'26 to Mar'26)</v>
      </c>
      <c r="U124" s="84" t="s">
        <v>2253</v>
      </c>
      <c r="V124" s="84"/>
    </row>
    <row r="125" spans="1:22" x14ac:dyDescent="0.3">
      <c r="A125" s="1">
        <v>144</v>
      </c>
      <c r="B125" s="1" t="s">
        <v>60</v>
      </c>
      <c r="C125" s="2">
        <v>56283</v>
      </c>
      <c r="D125" s="3" t="s">
        <v>40</v>
      </c>
      <c r="E125" s="3" t="s">
        <v>61</v>
      </c>
      <c r="F125" s="3" t="s">
        <v>62</v>
      </c>
      <c r="G125" s="88" t="s">
        <v>352</v>
      </c>
      <c r="H125" s="96">
        <v>1</v>
      </c>
      <c r="I125" s="3" t="s">
        <v>1749</v>
      </c>
      <c r="J125" s="7" t="s">
        <v>78</v>
      </c>
      <c r="K125" s="26" t="s">
        <v>3207</v>
      </c>
      <c r="L125" s="26" t="s">
        <v>1231</v>
      </c>
      <c r="M125" s="86" t="s">
        <v>3016</v>
      </c>
      <c r="N125" s="86" t="s">
        <v>2894</v>
      </c>
      <c r="O125" s="86" t="s">
        <v>257</v>
      </c>
      <c r="P125" s="86" t="str">
        <f>VLOOKUP(I125,Schedule!H:AR,37,FALSE)</f>
        <v>NA</v>
      </c>
      <c r="Q125" s="86" t="s">
        <v>3386</v>
      </c>
      <c r="R125" s="86" t="str">
        <f t="shared" si="17"/>
        <v>sukhwant.singh2@yes.bank.in,vaibhav.mishra2@yes.bank.in,lonika.kotekar@yes.bank.in,shirajahmed.habib@yes.bank.in,Gaurav@kgac.in,AmanM@kgac.in,hariom@kgac.in</v>
      </c>
      <c r="S125" s="85" t="str">
        <f t="shared" si="28"/>
        <v>Draft audit report of Shri Shiv Associates_Collection_Lucknow_April '26_ (Audit Period Jan'26 to Mar'26)</v>
      </c>
      <c r="T125" s="84" t="str">
        <f t="shared" si="18"/>
        <v>Please find the attached Draft audit report of Shri Shiv Associates_Collection_Lucknow_April '26_ (Audit Period Jan'26 to Mar'26)</v>
      </c>
      <c r="U125" s="84" t="s">
        <v>2253</v>
      </c>
      <c r="V125" s="84"/>
    </row>
    <row r="126" spans="1:22" x14ac:dyDescent="0.3">
      <c r="A126" s="1">
        <v>146</v>
      </c>
      <c r="B126" s="1" t="s">
        <v>666</v>
      </c>
      <c r="C126" s="2">
        <v>13052</v>
      </c>
      <c r="D126" s="3" t="s">
        <v>40</v>
      </c>
      <c r="E126" s="3" t="s">
        <v>61</v>
      </c>
      <c r="F126" s="3" t="s">
        <v>654</v>
      </c>
      <c r="G126" s="88" t="s">
        <v>352</v>
      </c>
      <c r="H126" s="96">
        <v>1</v>
      </c>
      <c r="I126" s="3" t="s">
        <v>667</v>
      </c>
      <c r="J126" s="7" t="s">
        <v>78</v>
      </c>
      <c r="K126" s="26" t="s">
        <v>3279</v>
      </c>
      <c r="L126" s="26" t="s">
        <v>672</v>
      </c>
      <c r="M126" s="86" t="s">
        <v>3017</v>
      </c>
      <c r="N126" s="86" t="s">
        <v>3018</v>
      </c>
      <c r="O126" s="86" t="s">
        <v>257</v>
      </c>
      <c r="P126" s="86" t="str">
        <f>VLOOKUP(I126,Schedule!H:AR,37,FALSE)</f>
        <v>NA</v>
      </c>
      <c r="Q126" s="86" t="s">
        <v>3387</v>
      </c>
      <c r="R126" s="86" t="str">
        <f t="shared" si="17"/>
        <v>abhinav.lal2@yes.bank.in,sanjeev.kumar30@yes.bank.in,rohit.nijhawan@yes.bank.in,sameer.dhar@yes.bank.in,hayat.kathayat@yes.bank.in,devendra.asthana@yes.bank.in,lonika.kotekar@yes.bank.in,shirajahmed.habib@yes.bank.in,Gaurav@kgac.in,AmanM@kgac.in,hariom@kgac.in</v>
      </c>
      <c r="S126" s="85" t="str">
        <f t="shared" si="28"/>
        <v>Draft audit report of Meerut Collection Centre_Collection_Saharanpur_April '26_ (Audit Period Jan'26 to Mar'26)</v>
      </c>
      <c r="T126" s="84" t="str">
        <f t="shared" si="18"/>
        <v>Please find the attached Draft audit report of Meerut Collection Centre_Collection_Saharanpur_April '26_ (Audit Period Jan'26 to Mar'26)</v>
      </c>
      <c r="U126" s="84" t="s">
        <v>2253</v>
      </c>
      <c r="V126" s="84"/>
    </row>
    <row r="127" spans="1:22" x14ac:dyDescent="0.3">
      <c r="A127" s="1">
        <v>147</v>
      </c>
      <c r="B127" s="1" t="s">
        <v>60</v>
      </c>
      <c r="C127" s="2">
        <v>165960</v>
      </c>
      <c r="D127" s="3" t="s">
        <v>103</v>
      </c>
      <c r="E127" s="3" t="s">
        <v>104</v>
      </c>
      <c r="F127" s="3" t="s">
        <v>105</v>
      </c>
      <c r="G127" s="88" t="s">
        <v>352</v>
      </c>
      <c r="H127" s="96">
        <v>1</v>
      </c>
      <c r="I127" s="3" t="s">
        <v>883</v>
      </c>
      <c r="J127" s="7" t="s">
        <v>78</v>
      </c>
      <c r="K127" s="26" t="s">
        <v>3280</v>
      </c>
      <c r="L127" s="26" t="s">
        <v>885</v>
      </c>
      <c r="M127" s="86" t="s">
        <v>3019</v>
      </c>
      <c r="N127" s="86" t="s">
        <v>2979</v>
      </c>
      <c r="O127" s="86" t="s">
        <v>2830</v>
      </c>
      <c r="P127" s="86" t="str">
        <f>VLOOKUP(I127,Schedule!H:AR,37,FALSE)</f>
        <v>NA</v>
      </c>
      <c r="Q127" s="86" t="s">
        <v>3388</v>
      </c>
      <c r="R127" s="86" t="str">
        <f t="shared" si="17"/>
        <v>ashutosh.gupta3@yes.bank.in,sekhar.mukharjee@yes.bank.in,ashutosh.gupta3@yes.bank.in,rathindra.das@yes.bank.in,krishnendu.sarder@yes.bank.in,sujoy.das@yes.bank.in,lonika.kotekar@yes.bank.in,shirajahmed.habib@yes.bank.in,Gaurav@kgac.in,AmanM@kgac.in,hariom@kgac.in</v>
      </c>
      <c r="S127" s="85" t="str">
        <f t="shared" si="28"/>
        <v>Draft audit report of Credit Solution_Collection_Kolkata_April '26_ (Audit Period Jan'26 to Mar'26)</v>
      </c>
      <c r="T127" s="84" t="str">
        <f t="shared" si="18"/>
        <v>Please find the attached Draft audit report of Credit Solution_Collection_Kolkata_April '26_ (Audit Period Jan'26 to Mar'26)</v>
      </c>
      <c r="U127" s="84" t="s">
        <v>3425</v>
      </c>
      <c r="V127" s="84"/>
    </row>
    <row r="128" spans="1:22" x14ac:dyDescent="0.3">
      <c r="A128" s="1">
        <v>149</v>
      </c>
      <c r="B128" s="1" t="s">
        <v>862</v>
      </c>
      <c r="C128" s="2">
        <v>24898</v>
      </c>
      <c r="D128" s="3" t="s">
        <v>103</v>
      </c>
      <c r="E128" s="3" t="s">
        <v>104</v>
      </c>
      <c r="F128" s="3" t="s">
        <v>105</v>
      </c>
      <c r="G128" s="88" t="s">
        <v>352</v>
      </c>
      <c r="H128" s="96">
        <v>1</v>
      </c>
      <c r="I128" s="3" t="s">
        <v>1713</v>
      </c>
      <c r="J128" s="7" t="s">
        <v>78</v>
      </c>
      <c r="K128" s="26" t="s">
        <v>3281</v>
      </c>
      <c r="L128" s="26" t="s">
        <v>865</v>
      </c>
      <c r="M128" s="86" t="s">
        <v>3020</v>
      </c>
      <c r="N128" s="86" t="s">
        <v>2830</v>
      </c>
      <c r="O128" s="86" t="s">
        <v>257</v>
      </c>
      <c r="P128" s="86" t="str">
        <f>VLOOKUP(I128,Schedule!H:AR,37,FALSE)</f>
        <v>NA</v>
      </c>
      <c r="Q128" s="86" t="s">
        <v>3389</v>
      </c>
      <c r="R128" s="86" t="str">
        <f t="shared" si="17"/>
        <v>ashutosh.gupta3@yes.bank.in,sujoy.das@yes.bank.in,lonika.kotekar@yes.bank.in,shirajahmed.habib@yes.bank.in,Gaurav@kgac.in,AmanM@kgac.in,hariom@kgac.in</v>
      </c>
      <c r="S128" s="85" t="str">
        <f t="shared" si="28"/>
        <v>Draft audit report of Fusion Financier_Collection_Kolkata_April '26_ (Audit Period Jan'26 to Mar'26)</v>
      </c>
      <c r="T128" s="84" t="str">
        <f t="shared" si="18"/>
        <v>Please find the attached Draft audit report of Fusion Financier_Collection_Kolkata_April '26_ (Audit Period Jan'26 to Mar'26)</v>
      </c>
      <c r="U128" s="84" t="s">
        <v>3425</v>
      </c>
      <c r="V128" s="84"/>
    </row>
    <row r="129" spans="1:22" x14ac:dyDescent="0.3">
      <c r="A129" s="1">
        <v>150</v>
      </c>
      <c r="B129" s="1" t="s">
        <v>1851</v>
      </c>
      <c r="C129" s="2">
        <v>400003</v>
      </c>
      <c r="D129" s="3" t="s">
        <v>103</v>
      </c>
      <c r="E129" s="3" t="s">
        <v>104</v>
      </c>
      <c r="F129" s="3" t="s">
        <v>105</v>
      </c>
      <c r="G129" s="88" t="s">
        <v>352</v>
      </c>
      <c r="H129" s="96">
        <v>1</v>
      </c>
      <c r="I129" s="3" t="s">
        <v>1750</v>
      </c>
      <c r="J129" s="7" t="s">
        <v>78</v>
      </c>
      <c r="K129" s="26" t="s">
        <v>3282</v>
      </c>
      <c r="L129" s="26" t="s">
        <v>1246</v>
      </c>
      <c r="M129" s="86" t="s">
        <v>3021</v>
      </c>
      <c r="N129" s="86" t="s">
        <v>2833</v>
      </c>
      <c r="O129" s="86" t="s">
        <v>2833</v>
      </c>
      <c r="P129" s="86" t="str">
        <f>VLOOKUP(I129,Schedule!H:AR,37,FALSE)</f>
        <v>NA</v>
      </c>
      <c r="Q129" s="86" t="s">
        <v>3390</v>
      </c>
      <c r="R129" s="86" t="str">
        <f t="shared" si="17"/>
        <v>manikandan.g4@yes.bank.in,manikandan.g4@yes.bank.in,saisab.mallick@yes.bank.in,imran.elahi@yes.bank.in,lonika.kotekar@yes.bank.in,shirajahmed.habib@yes.bank.in,Gaurav@kgac.in,AmanM@kgac.in,hariom@kgac.in</v>
      </c>
      <c r="S129" s="85" t="str">
        <f t="shared" si="28"/>
        <v>Draft audit report of Sr Collection_Collection_Kolkata_April '26_ (Audit Period Jan'26 to Mar'26)</v>
      </c>
      <c r="T129" s="84" t="str">
        <f t="shared" si="18"/>
        <v>Please find the attached Draft audit report of Sr Collection_Collection_Kolkata_April '26_ (Audit Period Jan'26 to Mar'26)</v>
      </c>
      <c r="U129" s="84" t="s">
        <v>3425</v>
      </c>
      <c r="V129" s="84"/>
    </row>
    <row r="130" spans="1:22" x14ac:dyDescent="0.3">
      <c r="A130" s="1">
        <v>151</v>
      </c>
      <c r="B130" s="1" t="s">
        <v>290</v>
      </c>
      <c r="C130" s="2">
        <v>25936</v>
      </c>
      <c r="D130" s="3" t="s">
        <v>40</v>
      </c>
      <c r="E130" s="3" t="s">
        <v>129</v>
      </c>
      <c r="F130" s="3" t="s">
        <v>129</v>
      </c>
      <c r="G130" s="88" t="s">
        <v>185</v>
      </c>
      <c r="H130" s="96">
        <v>1</v>
      </c>
      <c r="I130" s="3" t="s">
        <v>291</v>
      </c>
      <c r="J130" s="7" t="s">
        <v>78</v>
      </c>
      <c r="K130" s="26" t="s">
        <v>3283</v>
      </c>
      <c r="L130" s="26" t="s">
        <v>296</v>
      </c>
      <c r="M130" s="86" t="s">
        <v>3022</v>
      </c>
      <c r="N130" s="86" t="s">
        <v>3023</v>
      </c>
      <c r="O130" s="86" t="s">
        <v>2844</v>
      </c>
      <c r="P130" s="86" t="str">
        <f>VLOOKUP(I130,Schedule!H:AR,37,FALSE)</f>
        <v>NA</v>
      </c>
      <c r="Q130" s="86" t="s">
        <v>3391</v>
      </c>
      <c r="R130" s="86" t="str">
        <f t="shared" si="17"/>
        <v>sandeep.mehta3@yes.bank.in,upanshu.bajaj@yes.bank.in,rohit.nijhawan@yes.bank.in,bhavana.rajput@yes.bank.in,ritesh.chourasia@yes.bank.in,anuj.saxena4@yes.bank.in,lonika.kotekar@yes.bank.in,shirajahmed.habib@yes.bank.in,Gaurav@kgac.in,AmanM@kgac.in,hariom@kgac.in</v>
      </c>
      <c r="S130" s="85" t="str">
        <f t="shared" si="28"/>
        <v>Draft audit report of S. Sabherwal &amp; Co._Collection_Delhi_April '26_ (Audit Period Jan'26 to Mar'26)</v>
      </c>
      <c r="T130" s="84" t="str">
        <f t="shared" si="18"/>
        <v>Please find the attached Draft audit report of S. Sabherwal &amp; Co._Collection_Delhi_April '26_ (Audit Period Jan'26 to Mar'26)</v>
      </c>
      <c r="U130" s="84" t="s">
        <v>2253</v>
      </c>
      <c r="V130" s="84"/>
    </row>
    <row r="131" spans="1:22" x14ac:dyDescent="0.3">
      <c r="A131" s="1">
        <v>152</v>
      </c>
      <c r="B131" s="1" t="s">
        <v>281</v>
      </c>
      <c r="C131" s="2">
        <v>28512</v>
      </c>
      <c r="D131" s="3" t="s">
        <v>40</v>
      </c>
      <c r="E131" s="3" t="s">
        <v>129</v>
      </c>
      <c r="F131" s="3" t="s">
        <v>129</v>
      </c>
      <c r="G131" s="88" t="s">
        <v>185</v>
      </c>
      <c r="H131" s="96">
        <v>2</v>
      </c>
      <c r="I131" s="3" t="s">
        <v>1958</v>
      </c>
      <c r="J131" s="7" t="s">
        <v>78</v>
      </c>
      <c r="K131" s="26" t="s">
        <v>286</v>
      </c>
      <c r="L131" s="26" t="s">
        <v>286</v>
      </c>
      <c r="M131" s="86" t="s">
        <v>3024</v>
      </c>
      <c r="N131" s="86" t="s">
        <v>3025</v>
      </c>
      <c r="O131" s="86" t="s">
        <v>2844</v>
      </c>
      <c r="P131" s="86" t="str">
        <f>VLOOKUP(I131,Schedule!H:AR,37,FALSE)</f>
        <v>NA</v>
      </c>
      <c r="Q131" s="86" t="s">
        <v>3392</v>
      </c>
      <c r="R131" s="86" t="str">
        <f t="shared" ref="R131:R194" si="29">_xlfn.TEXTJOIN(",",TRUE,O131,N131,M131,"lonika.kotekar@yes.bank.in,shirajahmed.habib@yes.bank.in,Gaurav@kgac.in,AmanM@kgac.in,hariom@kgac.in")</f>
        <v>sandeep.mehta3@yes.bank.in,upanshu.bajaj@yes.bank.in,mukesh.rawat2@yes.bank.in,rohit.nijhawan@yes.bank.in,jatin.saini@yes.bank.in,subhajit.bhowmik@yes.bank.in,shivakant.trivedi@yes.bank.in,sandeep.kumar95@yes.bank.in,priya.kumari8@yes.bank.in,pawan.kumar47@yes.bank.in,govind.kumar3@yes.bank.in,pooja.mehra1@yes.bank.in,lonika.kotekar@yes.bank.in,shirajahmed.habib@yes.bank.in,Gaurav@kgac.in,AmanM@kgac.in,hariom@kgac.in</v>
      </c>
      <c r="S131" s="85" t="str">
        <f>_xlfn.CONCAT("Draft audit report of ","The Pentagon House","_Collection_","Delhi, Lucknow","_April '26_ (Audit Period Jan'26 to Mar'26)")</f>
        <v>Draft audit report of The Pentagon House_Collection_Delhi, Lucknow_April '26_ (Audit Period Jan'26 to Mar'26)</v>
      </c>
      <c r="T131" s="84" t="str">
        <f t="shared" ref="T131:T160" si="30">_xlfn.CONCAT("Please find the attached ",S131)</f>
        <v>Please find the attached Draft audit report of The Pentagon House_Collection_Delhi, Lucknow_April '26_ (Audit Period Jan'26 to Mar'26)</v>
      </c>
      <c r="U131" s="84" t="s">
        <v>1994</v>
      </c>
      <c r="V131" s="84" t="s">
        <v>3693</v>
      </c>
    </row>
    <row r="132" spans="1:22" x14ac:dyDescent="0.3">
      <c r="A132" s="1">
        <v>153</v>
      </c>
      <c r="B132" s="1" t="s">
        <v>225</v>
      </c>
      <c r="C132" s="2">
        <v>26089</v>
      </c>
      <c r="D132" s="3" t="s">
        <v>103</v>
      </c>
      <c r="E132" s="3" t="s">
        <v>237</v>
      </c>
      <c r="F132" s="3" t="s">
        <v>226</v>
      </c>
      <c r="G132" s="88" t="s">
        <v>185</v>
      </c>
      <c r="H132" s="96">
        <v>1</v>
      </c>
      <c r="I132" s="3" t="s">
        <v>227</v>
      </c>
      <c r="J132" s="7" t="s">
        <v>78</v>
      </c>
      <c r="K132" s="26" t="s">
        <v>231</v>
      </c>
      <c r="L132" s="26" t="s">
        <v>231</v>
      </c>
      <c r="M132" s="86" t="s">
        <v>3026</v>
      </c>
      <c r="N132" s="86" t="s">
        <v>3027</v>
      </c>
      <c r="O132" s="86" t="s">
        <v>2833</v>
      </c>
      <c r="P132" s="86" t="str">
        <f>VLOOKUP(I132,Schedule!H:AR,37,FALSE)</f>
        <v>NA</v>
      </c>
      <c r="Q132" s="86" t="s">
        <v>3393</v>
      </c>
      <c r="R132" s="86" t="str">
        <f t="shared" si="29"/>
        <v>manikandan.g4@yes.bank.in,ashutosh.gupta3@yes.bank.in,subhasis.banerjee@yes.bank.in,sekhar.mukharjee@yes.bank.in,manikandan.g4@yes.bank.in,saurabh.chaturvedi2@yes.bank.in,choudhury.jena@yes.bank.in,suryakanta.jena1@yes.bank.in,kalpataru.baishakh@yes.bank.in,subhakanta.panda@yes.bank.in,kiran.mohapatra@yes.bank.in,avdesh.mishra@yes.bank.in,lonika.kotekar@yes.bank.in,shirajahmed.habib@yes.bank.in,Gaurav@kgac.in,AmanM@kgac.in,hariom@kgac.in</v>
      </c>
      <c r="S132" s="85" t="str">
        <f t="shared" si="28"/>
        <v>Draft audit report of P N Services_Collection_Bhubaneshwar_April '26_ (Audit Period Jan'26 to Mar'26)</v>
      </c>
      <c r="T132" s="84" t="str">
        <f t="shared" si="30"/>
        <v>Please find the attached Draft audit report of P N Services_Collection_Bhubaneshwar_April '26_ (Audit Period Jan'26 to Mar'26)</v>
      </c>
      <c r="U132" s="84" t="s">
        <v>3425</v>
      </c>
      <c r="V132" s="84"/>
    </row>
    <row r="133" spans="1:22" x14ac:dyDescent="0.3">
      <c r="A133" s="1">
        <v>154</v>
      </c>
      <c r="B133" s="1" t="s">
        <v>184</v>
      </c>
      <c r="C133" s="2">
        <v>24908</v>
      </c>
      <c r="D133" s="3" t="s">
        <v>40</v>
      </c>
      <c r="E133" s="3" t="s">
        <v>41</v>
      </c>
      <c r="F133" s="3" t="s">
        <v>42</v>
      </c>
      <c r="G133" s="88" t="s">
        <v>185</v>
      </c>
      <c r="H133" s="96">
        <v>1</v>
      </c>
      <c r="I133" s="3" t="s">
        <v>186</v>
      </c>
      <c r="J133" s="7" t="s">
        <v>57</v>
      </c>
      <c r="K133" s="26" t="s">
        <v>192</v>
      </c>
      <c r="L133" s="26" t="s">
        <v>192</v>
      </c>
      <c r="M133" s="86" t="s">
        <v>3028</v>
      </c>
      <c r="N133" s="86" t="s">
        <v>3029</v>
      </c>
      <c r="O133" s="86" t="s">
        <v>257</v>
      </c>
      <c r="P133" s="86" t="str">
        <f>VLOOKUP(I133,Schedule!H:AR,37,FALSE)</f>
        <v>NA</v>
      </c>
      <c r="Q133" s="86" t="s">
        <v>3394</v>
      </c>
      <c r="R133" s="86" t="str">
        <f t="shared" si="29"/>
        <v>sukhwant.singh2@yes.bank.in,sameer.dhar@yes.bank.in,sanjeev.kumar30@yes.bank.in,pawan.rana@yes.bank.in,vineet.kumar12@yes.bank.in,kushpal.singh@yes.bank.in,sukhwinder.singh18@yes.bank.in,vikash.kumar40@yes.bank.in,anilkumar.nandal@yes.bank.in,pawan.kumar62@yes.bank.in,sidharth.rana@yes.bank.in,sukhwant.singh2@yes.bank.in,kapil.kumar24@yes.bank.in,lonika.kotekar@yes.bank.in,shirajahmed.habib@yes.bank.in,Gaurav@kgac.in,AmanM@kgac.in,hariom@kgac.in</v>
      </c>
      <c r="S133" s="85" t="str">
        <f>_xlfn.CONCAT("Draft audit report of ",I133,"_Collection &amp; Repossession_",F133,"_April '26_ (Audit Period Jan'26 to Mar'26)")</f>
        <v>Draft audit report of I Care Securities_Collection &amp; Repossession_Chandigarh_April '26_ (Audit Period Jan'26 to Mar'26)</v>
      </c>
      <c r="T133" s="84" t="str">
        <f t="shared" si="30"/>
        <v>Please find the attached Draft audit report of I Care Securities_Collection &amp; Repossession_Chandigarh_April '26_ (Audit Period Jan'26 to Mar'26)</v>
      </c>
      <c r="U133" s="84" t="s">
        <v>1994</v>
      </c>
      <c r="V133" s="84" t="s">
        <v>3693</v>
      </c>
    </row>
    <row r="134" spans="1:22" x14ac:dyDescent="0.3">
      <c r="A134" s="1">
        <v>155</v>
      </c>
      <c r="B134" s="1" t="s">
        <v>451</v>
      </c>
      <c r="C134" s="2">
        <v>25428</v>
      </c>
      <c r="D134" s="3" t="s">
        <v>40</v>
      </c>
      <c r="E134" s="3" t="s">
        <v>199</v>
      </c>
      <c r="F134" s="3" t="s">
        <v>452</v>
      </c>
      <c r="G134" s="88" t="s">
        <v>185</v>
      </c>
      <c r="H134" s="96">
        <v>1</v>
      </c>
      <c r="I134" s="3" t="s">
        <v>453</v>
      </c>
      <c r="J134" s="7" t="s">
        <v>78</v>
      </c>
      <c r="K134" s="26" t="s">
        <v>460</v>
      </c>
      <c r="L134" s="26" t="s">
        <v>459</v>
      </c>
      <c r="M134" s="86" t="s">
        <v>3030</v>
      </c>
      <c r="N134" s="86" t="s">
        <v>3031</v>
      </c>
      <c r="O134" s="86" t="s">
        <v>257</v>
      </c>
      <c r="P134" s="86" t="str">
        <f>VLOOKUP(I134,Schedule!H:AR,37,FALSE)</f>
        <v>Audited for Collection Only, as no activity of repossession are done for the audit quarter</v>
      </c>
      <c r="Q134" s="86" t="s">
        <v>3395</v>
      </c>
      <c r="R134" s="86" t="str">
        <f t="shared" si="29"/>
        <v>manish.shukla10@yes.bank.in,ashutosh.gupta3@yes.bank.in,kalpesh.raval@yes.bank.in,saurabh.saroch@yes.bank.in,yasin.mohammed1@yes.bank.in,akram.hussain@yes.bank.in,pramod.sankhala@yes.bank.in,ranjan.solanki@yes.bank.in,sunil.choudhary2@yes.bank.in,manish.shukla10@yes.bank.in,lonika.kotekar@yes.bank.in,shirajahmed.habib@yes.bank.in,Gaurav@kgac.in,AmanM@kgac.in,hariom@kgac.in</v>
      </c>
      <c r="S134" s="85" t="str">
        <f t="shared" ref="S134:S135" si="31">_xlfn.CONCAT("Draft audit report of ",I134,"_Collection_",F134,"_April '26_ (Audit Period Jan'26 to Mar'26)")</f>
        <v>Draft audit report of F K Associates_Collection_Ajmer_April '26_ (Audit Period Jan'26 to Mar'26)</v>
      </c>
      <c r="T134" s="84" t="str">
        <f t="shared" si="30"/>
        <v>Please find the attached Draft audit report of F K Associates_Collection_Ajmer_April '26_ (Audit Period Jan'26 to Mar'26)</v>
      </c>
      <c r="U134" s="84" t="s">
        <v>2243</v>
      </c>
      <c r="V134" s="84"/>
    </row>
    <row r="135" spans="1:22" x14ac:dyDescent="0.3">
      <c r="A135" s="1">
        <v>157</v>
      </c>
      <c r="B135" s="1" t="s">
        <v>213</v>
      </c>
      <c r="C135" s="2">
        <v>54034</v>
      </c>
      <c r="D135" s="3" t="s">
        <v>40</v>
      </c>
      <c r="E135" s="3" t="s">
        <v>199</v>
      </c>
      <c r="F135" s="3" t="s">
        <v>214</v>
      </c>
      <c r="G135" s="88" t="s">
        <v>185</v>
      </c>
      <c r="H135" s="96">
        <v>1</v>
      </c>
      <c r="I135" s="3" t="s">
        <v>1946</v>
      </c>
      <c r="J135" s="7" t="s">
        <v>78</v>
      </c>
      <c r="K135" s="26" t="s">
        <v>220</v>
      </c>
      <c r="L135" s="26" t="s">
        <v>220</v>
      </c>
      <c r="M135" s="86" t="s">
        <v>3032</v>
      </c>
      <c r="N135" s="86" t="s">
        <v>3033</v>
      </c>
      <c r="O135" s="86" t="s">
        <v>2897</v>
      </c>
      <c r="P135" s="86" t="str">
        <f>VLOOKUP(I135,Schedule!H:AR,37,FALSE)</f>
        <v>NA</v>
      </c>
      <c r="Q135" s="86" t="s">
        <v>3396</v>
      </c>
      <c r="R135" s="86" t="str">
        <f t="shared" si="29"/>
        <v>avinash.kumar17@yes.bank.in,ashutosh.gupta3@yes.bank.in,ashutosh.gupta3@yes.bank.in,avinash.kumar17@yes.bank.in,sanjeev.kumar30@yes.bank.in,krishan.saini@yes.bank.in,sameer.dhar@yes.bank.in,saurabh.saroch@yes.bank.in,pawan.rana@yes.bank.in,sunil.choudhary2@yes.bank.in,sandeep.kumar121@yes.bank.in,ranjan.solanki@yes.bank.in,pramod.sankhala@yes.bank.in,siddharth.maharishi@yes.bank.in,kailash.devanda@yes.bank.in,rajveer.singh5@yes.bank.in,lonika.kotekar@yes.bank.in,shirajahmed.habib@yes.bank.in,Gaurav@kgac.in,AmanM@kgac.in,hariom@kgac.in</v>
      </c>
      <c r="S135" s="85" t="str">
        <f t="shared" si="31"/>
        <v>Draft audit report of Choudhary Brothers Group - Jaipur_Collection_Jaipur_April '26_ (Audit Period Jan'26 to Mar'26)</v>
      </c>
      <c r="T135" s="84" t="str">
        <f t="shared" si="30"/>
        <v>Please find the attached Draft audit report of Choudhary Brothers Group - Jaipur_Collection_Jaipur_April '26_ (Audit Period Jan'26 to Mar'26)</v>
      </c>
      <c r="U135" s="84" t="s">
        <v>2243</v>
      </c>
      <c r="V135" s="84"/>
    </row>
    <row r="136" spans="1:22" x14ac:dyDescent="0.3">
      <c r="A136" s="1">
        <v>158</v>
      </c>
      <c r="B136" s="1" t="s">
        <v>915</v>
      </c>
      <c r="C136" s="2">
        <v>26440</v>
      </c>
      <c r="D136" s="3" t="s">
        <v>40</v>
      </c>
      <c r="E136" s="3" t="s">
        <v>199</v>
      </c>
      <c r="F136" s="3" t="s">
        <v>214</v>
      </c>
      <c r="G136" s="88" t="s">
        <v>185</v>
      </c>
      <c r="H136" s="96">
        <v>1</v>
      </c>
      <c r="I136" s="3" t="s">
        <v>916</v>
      </c>
      <c r="J136" s="7" t="s">
        <v>57</v>
      </c>
      <c r="K136" s="26" t="s">
        <v>923</v>
      </c>
      <c r="L136" s="26" t="s">
        <v>922</v>
      </c>
      <c r="M136" s="86" t="s">
        <v>3034</v>
      </c>
      <c r="N136" s="86" t="s">
        <v>3035</v>
      </c>
      <c r="O136" s="86" t="s">
        <v>2830</v>
      </c>
      <c r="P136" s="86" t="str">
        <f>VLOOKUP(I136,Schedule!H:AR,37,FALSE)</f>
        <v>NA</v>
      </c>
      <c r="Q136" s="86" t="s">
        <v>3397</v>
      </c>
      <c r="R136" s="86" t="str">
        <f t="shared" si="29"/>
        <v>ashutosh.gupta3@yes.bank.in,manish.shukla10@yes.bank.in,ashutosh.gupta3@yes.bank.in,sameer.dhar@yes.bank.in,sunil.jangir@yes.bank.in,vivek.joshi4@yes.bank.in,krishan.saini@yes.bank.in,pravesh.sharma1@yes.bank.in,akram.hussain@yes.bank.in,pramod.sankhala@yes.bank.in,siddharth.maharishi@yes.bank.in,yogesh.sharma5@yes.bank.in,yasin.mohammed1@yes.bank.in,deependra.rathore@yes.bank.in,himmat.mangawa@yes.bank.in,lalchand.chimpa@yes.bank.in,dinesh.kumar44@yes.bank.in,ram.singh6@yes.bank.in,kishore.singh2@yes.bank.in,ashish.tiwari10@yes.bank.in,lonika.kotekar@yes.bank.in,shirajahmed.habib@yes.bank.in,Gaurav@kgac.in,AmanM@kgac.in,hariom@kgac.in</v>
      </c>
      <c r="S136" s="85" t="str">
        <f>_xlfn.CONCAT("Draft audit report of ",I136,"_Collection &amp; Repossession_",F136,"_April '26_ (Audit Period Jan'26 to Mar'26)")</f>
        <v>Draft audit report of Rawla Associates_Collection &amp; Repossession_Jaipur_April '26_ (Audit Period Jan'26 to Mar'26)</v>
      </c>
      <c r="T136" s="84" t="str">
        <f t="shared" si="30"/>
        <v>Please find the attached Draft audit report of Rawla Associates_Collection &amp; Repossession_Jaipur_April '26_ (Audit Period Jan'26 to Mar'26)</v>
      </c>
      <c r="U136" s="84" t="s">
        <v>1994</v>
      </c>
      <c r="V136" s="84" t="s">
        <v>3693</v>
      </c>
    </row>
    <row r="137" spans="1:22" x14ac:dyDescent="0.3">
      <c r="A137" s="1">
        <v>159</v>
      </c>
      <c r="B137" s="1" t="s">
        <v>281</v>
      </c>
      <c r="C137" s="2">
        <v>28512</v>
      </c>
      <c r="D137" s="3" t="s">
        <v>40</v>
      </c>
      <c r="E137" s="3" t="s">
        <v>61</v>
      </c>
      <c r="F137" s="3" t="s">
        <v>62</v>
      </c>
      <c r="G137" s="88" t="s">
        <v>185</v>
      </c>
      <c r="H137" s="96">
        <v>2</v>
      </c>
      <c r="I137" s="3" t="s">
        <v>1959</v>
      </c>
      <c r="J137" s="7" t="s">
        <v>78</v>
      </c>
      <c r="K137" s="4" t="s">
        <v>286</v>
      </c>
      <c r="L137" s="4" t="s">
        <v>286</v>
      </c>
      <c r="M137" s="86" t="s">
        <v>3024</v>
      </c>
      <c r="N137" s="86" t="s">
        <v>3025</v>
      </c>
      <c r="O137" s="86" t="s">
        <v>2844</v>
      </c>
      <c r="P137" s="86" t="str">
        <f>VLOOKUP(I137,Schedule!H:AR,37,FALSE)</f>
        <v>NA</v>
      </c>
      <c r="Q137" s="86" t="s">
        <v>3392</v>
      </c>
      <c r="R137" s="86" t="str">
        <f t="shared" si="29"/>
        <v>sandeep.mehta3@yes.bank.in,upanshu.bajaj@yes.bank.in,mukesh.rawat2@yes.bank.in,rohit.nijhawan@yes.bank.in,jatin.saini@yes.bank.in,subhajit.bhowmik@yes.bank.in,shivakant.trivedi@yes.bank.in,sandeep.kumar95@yes.bank.in,priya.kumari8@yes.bank.in,pawan.kumar47@yes.bank.in,govind.kumar3@yes.bank.in,pooja.mehra1@yes.bank.in,lonika.kotekar@yes.bank.in,shirajahmed.habib@yes.bank.in,Gaurav@kgac.in,AmanM@kgac.in,hariom@kgac.in</v>
      </c>
      <c r="S137" s="85" t="str">
        <f>_xlfn.CONCAT("Draft audit report of ","The Pentagon House","_Collection_","Delhi, Lucknow","_April '26_ (Audit Period Jan'26 to Mar'26)")</f>
        <v>Draft audit report of The Pentagon House_Collection_Delhi, Lucknow_April '26_ (Audit Period Jan'26 to Mar'26)</v>
      </c>
      <c r="T137" s="84" t="str">
        <f t="shared" si="30"/>
        <v>Please find the attached Draft audit report of The Pentagon House_Collection_Delhi, Lucknow_April '26_ (Audit Period Jan'26 to Mar'26)</v>
      </c>
      <c r="U137" s="84" t="s">
        <v>1994</v>
      </c>
      <c r="V137" s="84" t="s">
        <v>3693</v>
      </c>
    </row>
    <row r="138" spans="1:22" x14ac:dyDescent="0.3">
      <c r="A138" s="1">
        <v>160</v>
      </c>
      <c r="B138" s="1" t="s">
        <v>682</v>
      </c>
      <c r="C138" s="2">
        <v>25732</v>
      </c>
      <c r="D138" s="3" t="s">
        <v>103</v>
      </c>
      <c r="E138" s="3" t="s">
        <v>104</v>
      </c>
      <c r="F138" s="3" t="s">
        <v>105</v>
      </c>
      <c r="G138" s="88" t="s">
        <v>185</v>
      </c>
      <c r="H138" s="96">
        <v>1</v>
      </c>
      <c r="I138" s="3" t="s">
        <v>1702</v>
      </c>
      <c r="J138" s="7" t="s">
        <v>78</v>
      </c>
      <c r="K138" s="26" t="s">
        <v>3284</v>
      </c>
      <c r="L138" s="26" t="s">
        <v>688</v>
      </c>
      <c r="M138" s="86" t="s">
        <v>3036</v>
      </c>
      <c r="N138" s="86" t="s">
        <v>3037</v>
      </c>
      <c r="O138" s="86" t="s">
        <v>2830</v>
      </c>
      <c r="P138" s="86" t="str">
        <f>VLOOKUP(I138,Schedule!H:AR,37,FALSE)</f>
        <v>NA</v>
      </c>
      <c r="Q138" s="86" t="s">
        <v>3398</v>
      </c>
      <c r="R138" s="86" t="str">
        <f t="shared" si="29"/>
        <v>ashutosh.gupta3@yes.bank.in,sekhar.mukharjee@yes.bank.in,ashutosh.gupta3@yes.bank.in,rathindra.das@yes.bank.in,biswarup.ghosh@yes.bank.in,suman.das3@yes.bank.in,md.sarfarazuddin@yes.bank.in,azharuddin.md@yes.bank.in,sudip.manna@yes.bank.in,tarkeshwar.singh@yes.bank.in,deepak.singh39@yes.bank.in,lonika.kotekar@yes.bank.in,shirajahmed.habib@yes.bank.in,Gaurav@kgac.in,AmanM@kgac.in,hariom@kgac.in</v>
      </c>
      <c r="S138" s="85" t="str">
        <f t="shared" ref="S138:S139" si="32">_xlfn.CONCAT("Draft audit report of ",I138,"_Collection_",F138,"_April '26_ (Audit Period Jan'26 to Mar'26)")</f>
        <v>Draft audit report of Esolve Solutions Pvt Ltd_Collection_Kolkata_April '26_ (Audit Period Jan'26 to Mar'26)</v>
      </c>
      <c r="T138" s="84" t="str">
        <f t="shared" si="30"/>
        <v>Please find the attached Draft audit report of Esolve Solutions Pvt Ltd_Collection_Kolkata_April '26_ (Audit Period Jan'26 to Mar'26)</v>
      </c>
      <c r="U138" s="84" t="s">
        <v>3425</v>
      </c>
      <c r="V138" s="84"/>
    </row>
    <row r="139" spans="1:22" x14ac:dyDescent="0.3">
      <c r="A139" s="1">
        <v>161</v>
      </c>
      <c r="B139" s="1" t="s">
        <v>170</v>
      </c>
      <c r="C139" s="2">
        <v>26147</v>
      </c>
      <c r="D139" s="3" t="s">
        <v>40</v>
      </c>
      <c r="E139" s="3" t="s">
        <v>129</v>
      </c>
      <c r="F139" s="3" t="s">
        <v>129</v>
      </c>
      <c r="G139" s="88" t="s">
        <v>171</v>
      </c>
      <c r="H139" s="96">
        <v>1</v>
      </c>
      <c r="I139" s="3" t="s">
        <v>172</v>
      </c>
      <c r="J139" s="7" t="s">
        <v>78</v>
      </c>
      <c r="K139" s="26" t="s">
        <v>3285</v>
      </c>
      <c r="L139" s="26" t="s">
        <v>178</v>
      </c>
      <c r="M139" s="86" t="s">
        <v>3038</v>
      </c>
      <c r="N139" s="86" t="s">
        <v>3039</v>
      </c>
      <c r="O139" s="86" t="s">
        <v>257</v>
      </c>
      <c r="P139" s="86" t="str">
        <f>VLOOKUP(I139,Schedule!H:AR,37,FALSE)</f>
        <v>NA</v>
      </c>
      <c r="Q139" s="86" t="s">
        <v>3399</v>
      </c>
      <c r="R139" s="86" t="str">
        <f t="shared" si="29"/>
        <v>mukesh.rawat2@yes.bank.in,vineet.kumar12@yes.bank.in,vishal.gupta15@yes.bank.in,Harish.Johar@yes.bank.in,manpreet.singh35@yes.bank.in,lonika.kotekar@yes.bank.in,shirajahmed.habib@yes.bank.in,Gaurav@kgac.in,AmanM@kgac.in,hariom@kgac.in</v>
      </c>
      <c r="S139" s="85" t="str">
        <f t="shared" si="32"/>
        <v>Draft audit report of Positive Move_Collection_Delhi_April '26_ (Audit Period Jan'26 to Mar'26)</v>
      </c>
      <c r="T139" s="84" t="str">
        <f t="shared" si="30"/>
        <v>Please find the attached Draft audit report of Positive Move_Collection_Delhi_April '26_ (Audit Period Jan'26 to Mar'26)</v>
      </c>
      <c r="U139" s="84" t="s">
        <v>2253</v>
      </c>
      <c r="V139" s="84"/>
    </row>
    <row r="140" spans="1:22" x14ac:dyDescent="0.3">
      <c r="A140" s="1">
        <v>162</v>
      </c>
      <c r="B140" s="1" t="s">
        <v>60</v>
      </c>
      <c r="C140" s="2">
        <v>317020</v>
      </c>
      <c r="D140" s="3" t="s">
        <v>103</v>
      </c>
      <c r="E140" s="3" t="s">
        <v>968</v>
      </c>
      <c r="F140" s="3" t="s">
        <v>414</v>
      </c>
      <c r="G140" s="88" t="s">
        <v>63</v>
      </c>
      <c r="H140" s="96">
        <v>1</v>
      </c>
      <c r="I140" s="3" t="s">
        <v>1873</v>
      </c>
      <c r="J140" s="7" t="s">
        <v>70</v>
      </c>
      <c r="K140" s="89"/>
      <c r="L140" s="89" t="s">
        <v>3213</v>
      </c>
      <c r="M140" s="86" t="s">
        <v>2954</v>
      </c>
      <c r="N140" s="86" t="s">
        <v>2882</v>
      </c>
      <c r="O140" s="86"/>
      <c r="P140" s="86" t="str">
        <f>VLOOKUP(I140,Schedule!H:AR,37,FALSE)</f>
        <v>NA</v>
      </c>
      <c r="Q140" s="86" t="s">
        <v>3213</v>
      </c>
      <c r="R140" s="86" t="str">
        <f t="shared" si="29"/>
        <v>subhasis.banerjee@yes.bank.in,manibhushan.kumar@yes.bank.in,lonika.kotekar@yes.bank.in,shirajahmed.habib@yes.bank.in,Gaurav@kgac.in,AmanM@kgac.in,hariom@kgac.in</v>
      </c>
      <c r="S140" s="85" t="str">
        <f t="shared" ref="S140:S144" si="33">_xlfn.CONCAT("Draft audit report of ",I140,"_Repossession_",F140,"_April '26_ (Audit Period Jan'26 to Mar'26)")</f>
        <v>Draft audit report of Vaishnavi Repo Agency_Repossession_Patna_April '26_ (Audit Period Jan'26 to Mar'26)</v>
      </c>
      <c r="T140" s="84" t="str">
        <f t="shared" si="30"/>
        <v>Please find the attached Draft audit report of Vaishnavi Repo Agency_Repossession_Patna_April '26_ (Audit Period Jan'26 to Mar'26)</v>
      </c>
      <c r="U140" s="84" t="s">
        <v>3425</v>
      </c>
      <c r="V140" s="84"/>
    </row>
    <row r="141" spans="1:22" x14ac:dyDescent="0.3">
      <c r="A141" s="1">
        <v>163</v>
      </c>
      <c r="B141" s="1" t="s">
        <v>341</v>
      </c>
      <c r="C141" s="2">
        <v>26224</v>
      </c>
      <c r="D141" s="3" t="s">
        <v>103</v>
      </c>
      <c r="E141" s="3" t="s">
        <v>1621</v>
      </c>
      <c r="F141" s="3" t="s">
        <v>342</v>
      </c>
      <c r="G141" s="88" t="s">
        <v>63</v>
      </c>
      <c r="H141" s="96">
        <v>1</v>
      </c>
      <c r="I141" s="3" t="s">
        <v>1692</v>
      </c>
      <c r="J141" s="7" t="s">
        <v>70</v>
      </c>
      <c r="K141" s="26" t="s">
        <v>347</v>
      </c>
      <c r="L141" s="26" t="s">
        <v>347</v>
      </c>
      <c r="M141" s="86" t="s">
        <v>3077</v>
      </c>
      <c r="N141" s="86" t="s">
        <v>3053</v>
      </c>
      <c r="O141" s="86"/>
      <c r="P141" s="86" t="str">
        <f>VLOOKUP(I141,Schedule!H:AR,37,FALSE)</f>
        <v>NA</v>
      </c>
      <c r="Q141" s="86" t="s">
        <v>3400</v>
      </c>
      <c r="R141" s="86" t="str">
        <f t="shared" si="29"/>
        <v>biswarup.ghosh@yes.bank.in,SAGAR.CHOUDHARI@yes.bank.in,subhasis.banerjee@yes.bank.in,nitesh.madhavi@yes.bank.in,sourabh.parihar@yes.bank.in,sudip.manna@yes.bank.in,kravi.kumar@yes.bank.in,lonika.kotekar@yes.bank.in,shirajahmed.habib@yes.bank.in,Gaurav@kgac.in,AmanM@kgac.in,hariom@kgac.in</v>
      </c>
      <c r="S141" s="85" t="str">
        <f t="shared" si="33"/>
        <v>Draft audit report of R S Repossession Agency _Repossession_Raipur_April '26_ (Audit Period Jan'26 to Mar'26)</v>
      </c>
      <c r="T141" s="84" t="str">
        <f t="shared" si="30"/>
        <v>Please find the attached Draft audit report of R S Repossession Agency _Repossession_Raipur_April '26_ (Audit Period Jan'26 to Mar'26)</v>
      </c>
      <c r="U141" s="84" t="s">
        <v>3425</v>
      </c>
      <c r="V141" s="84"/>
    </row>
    <row r="142" spans="1:22" x14ac:dyDescent="0.3">
      <c r="A142" s="1">
        <v>164</v>
      </c>
      <c r="B142" s="1" t="s">
        <v>60</v>
      </c>
      <c r="C142" s="2">
        <v>355004</v>
      </c>
      <c r="D142" s="3" t="s">
        <v>40</v>
      </c>
      <c r="E142" s="3" t="s">
        <v>129</v>
      </c>
      <c r="F142" s="3" t="s">
        <v>129</v>
      </c>
      <c r="G142" s="88" t="s">
        <v>63</v>
      </c>
      <c r="H142" s="96">
        <v>1</v>
      </c>
      <c r="I142" s="3" t="s">
        <v>1698</v>
      </c>
      <c r="J142" s="7" t="s">
        <v>70</v>
      </c>
      <c r="K142" s="26"/>
      <c r="L142" s="26" t="s">
        <v>589</v>
      </c>
      <c r="M142" s="86" t="s">
        <v>3078</v>
      </c>
      <c r="N142" s="86" t="s">
        <v>3054</v>
      </c>
      <c r="O142" s="86"/>
      <c r="P142" s="86" t="str">
        <f>VLOOKUP(I142,Schedule!H:AR,37,FALSE)</f>
        <v>NA</v>
      </c>
      <c r="Q142" s="86" t="s">
        <v>589</v>
      </c>
      <c r="R142" s="86" t="str">
        <f t="shared" si="29"/>
        <v>abhinav.lal2@yes.bank.in,SAGAR.CHOUDHARI@yes.bank.in,sameer.dhar@yes.bank.in,biswarup.ghosh@yes.bank.in,shyam.parkash@yes.bank.in,gaurav.mishra5@yes.bank.in,abhinav.lal2@yes.bank.in,lonika.kotekar@yes.bank.in,shirajahmed.habib@yes.bank.in,Gaurav@kgac.in,AmanM@kgac.in,hariom@kgac.in</v>
      </c>
      <c r="S142" s="85" t="str">
        <f t="shared" si="33"/>
        <v>Draft audit report of Jbms Associates_Repossession_Delhi_April '26_ (Audit Period Jan'26 to Mar'26)</v>
      </c>
      <c r="T142" s="84" t="str">
        <f t="shared" si="30"/>
        <v>Please find the attached Draft audit report of Jbms Associates_Repossession_Delhi_April '26_ (Audit Period Jan'26 to Mar'26)</v>
      </c>
      <c r="U142" s="84" t="s">
        <v>2253</v>
      </c>
      <c r="V142" s="84"/>
    </row>
    <row r="143" spans="1:22" x14ac:dyDescent="0.3">
      <c r="A143" s="1">
        <v>165</v>
      </c>
      <c r="B143" s="1" t="s">
        <v>60</v>
      </c>
      <c r="C143" s="2">
        <v>327007</v>
      </c>
      <c r="D143" s="3" t="s">
        <v>40</v>
      </c>
      <c r="E143" s="3" t="s">
        <v>129</v>
      </c>
      <c r="F143" s="3" t="s">
        <v>129</v>
      </c>
      <c r="G143" s="88" t="s">
        <v>63</v>
      </c>
      <c r="H143" s="96">
        <v>1</v>
      </c>
      <c r="I143" s="3" t="s">
        <v>1717</v>
      </c>
      <c r="J143" s="7" t="s">
        <v>70</v>
      </c>
      <c r="K143" s="26"/>
      <c r="L143" s="26" t="s">
        <v>895</v>
      </c>
      <c r="M143" s="86" t="s">
        <v>3055</v>
      </c>
      <c r="N143" s="86" t="s">
        <v>2944</v>
      </c>
      <c r="O143" s="86"/>
      <c r="P143" s="86" t="str">
        <f>VLOOKUP(I143,Schedule!H:AR,37,FALSE)</f>
        <v>NA</v>
      </c>
      <c r="Q143" s="86" t="s">
        <v>895</v>
      </c>
      <c r="R143" s="86" t="str">
        <f t="shared" si="29"/>
        <v>abhinav.lal2@yes.bank.in,abhinav.lal2@yes.bank.in,ravi.parkash1@yes.bank.in,gopal.khatri@yes.bank.in,lonika.kotekar@yes.bank.in,shirajahmed.habib@yes.bank.in,Gaurav@kgac.in,AmanM@kgac.in,hariom@kgac.in</v>
      </c>
      <c r="S143" s="85" t="str">
        <f t="shared" si="33"/>
        <v>Draft audit report of Rama Associates_Repossession_Delhi_April '26_ (Audit Period Jan'26 to Mar'26)</v>
      </c>
      <c r="T143" s="84" t="str">
        <f t="shared" si="30"/>
        <v>Please find the attached Draft audit report of Rama Associates_Repossession_Delhi_April '26_ (Audit Period Jan'26 to Mar'26)</v>
      </c>
      <c r="U143" s="84" t="s">
        <v>2253</v>
      </c>
      <c r="V143" s="84"/>
    </row>
    <row r="144" spans="1:22" x14ac:dyDescent="0.3">
      <c r="A144" s="1">
        <v>166</v>
      </c>
      <c r="B144" s="1" t="s">
        <v>60</v>
      </c>
      <c r="C144" s="2">
        <v>313994</v>
      </c>
      <c r="D144" s="3" t="s">
        <v>40</v>
      </c>
      <c r="E144" s="3" t="s">
        <v>61</v>
      </c>
      <c r="F144" s="3" t="s">
        <v>2819</v>
      </c>
      <c r="G144" s="88" t="s">
        <v>63</v>
      </c>
      <c r="H144" s="96">
        <v>1</v>
      </c>
      <c r="I144" s="3" t="s">
        <v>1723</v>
      </c>
      <c r="J144" s="7" t="s">
        <v>70</v>
      </c>
      <c r="K144" s="26"/>
      <c r="L144" s="26" t="s">
        <v>956</v>
      </c>
      <c r="M144" s="86" t="s">
        <v>3079</v>
      </c>
      <c r="N144" s="86" t="s">
        <v>3056</v>
      </c>
      <c r="O144" s="86"/>
      <c r="P144" s="86" t="str">
        <f>VLOOKUP(I144,Schedule!H:AR,37,FALSE)</f>
        <v>NA</v>
      </c>
      <c r="Q144" s="86" t="s">
        <v>956</v>
      </c>
      <c r="R144" s="86" t="str">
        <f t="shared" si="29"/>
        <v>abhinav.lal2@yes.bank.in,SAGAR.CHOUDHARI@yes.bank.in,sanjeev.kumar30@yes.bank.in,shyam.parkash@yes.bank.in,vivek.shukla4@yes.bank.in,sourabh.parihar@yes.bank.in,sushim.kumar@yes.bank.in,lonika.kotekar@yes.bank.in,shirajahmed.habib@yes.bank.in,Gaurav@kgac.in,AmanM@kgac.in,hariom@kgac.in</v>
      </c>
      <c r="S144" s="85" t="str">
        <f t="shared" si="33"/>
        <v>Draft audit report of Gattu Brothers_Repossession_Mainpuri_April '26_ (Audit Period Jan'26 to Mar'26)</v>
      </c>
      <c r="T144" s="84" t="str">
        <f t="shared" si="30"/>
        <v>Please find the attached Draft audit report of Gattu Brothers_Repossession_Mainpuri_April '26_ (Audit Period Jan'26 to Mar'26)</v>
      </c>
      <c r="U144" s="84" t="s">
        <v>2253</v>
      </c>
      <c r="V144" s="84"/>
    </row>
    <row r="145" spans="1:22" x14ac:dyDescent="0.3">
      <c r="A145" s="1">
        <v>167</v>
      </c>
      <c r="B145" s="1" t="s">
        <v>60</v>
      </c>
      <c r="C145" s="2">
        <v>220977</v>
      </c>
      <c r="D145" s="3" t="s">
        <v>40</v>
      </c>
      <c r="E145" s="3" t="s">
        <v>96</v>
      </c>
      <c r="F145" s="3" t="s">
        <v>1024</v>
      </c>
      <c r="G145" s="88" t="s">
        <v>63</v>
      </c>
      <c r="H145" s="96">
        <v>1</v>
      </c>
      <c r="I145" s="3" t="s">
        <v>1733</v>
      </c>
      <c r="J145" s="7" t="s">
        <v>78</v>
      </c>
      <c r="K145" s="26" t="s">
        <v>3286</v>
      </c>
      <c r="L145" s="26" t="s">
        <v>1026</v>
      </c>
      <c r="M145" s="86" t="s">
        <v>2859</v>
      </c>
      <c r="N145" s="86" t="s">
        <v>257</v>
      </c>
      <c r="O145" s="86" t="s">
        <v>257</v>
      </c>
      <c r="P145" s="86" t="str">
        <f>VLOOKUP(I145,Schedule!H:AR,37,FALSE)</f>
        <v>NA</v>
      </c>
      <c r="Q145" s="86" t="s">
        <v>3401</v>
      </c>
      <c r="R145" s="86" t="str">
        <f t="shared" si="29"/>
        <v>sumit.narang@yes.bank.in,lonika.kotekar@yes.bank.in,shirajahmed.habib@yes.bank.in,Gaurav@kgac.in,AmanM@kgac.in,hariom@kgac.in</v>
      </c>
      <c r="S145" s="85" t="str">
        <f>_xlfn.CONCAT("Draft audit report of ",I145,"_Collection_",F145,"_April '26_ (Audit Period Jan'26 to Mar'26)")</f>
        <v>Draft audit report of Golden Hawk Debt Management And Legal Services Pvt. Ltd_Collection_Gurgoan_April '26_ (Audit Period Jan'26 to Mar'26)</v>
      </c>
      <c r="T145" s="84" t="str">
        <f t="shared" si="30"/>
        <v>Please find the attached Draft audit report of Golden Hawk Debt Management And Legal Services Pvt. Ltd_Collection_Gurgoan_April '26_ (Audit Period Jan'26 to Mar'26)</v>
      </c>
      <c r="U145" s="84" t="s">
        <v>1994</v>
      </c>
      <c r="V145" s="84" t="s">
        <v>3693</v>
      </c>
    </row>
    <row r="146" spans="1:22" x14ac:dyDescent="0.3">
      <c r="A146" s="1">
        <v>168</v>
      </c>
      <c r="B146" s="1" t="s">
        <v>60</v>
      </c>
      <c r="C146" s="2">
        <v>338997</v>
      </c>
      <c r="D146" s="3" t="s">
        <v>40</v>
      </c>
      <c r="E146" s="3" t="s">
        <v>96</v>
      </c>
      <c r="F146" s="3" t="s">
        <v>1052</v>
      </c>
      <c r="G146" s="88" t="s">
        <v>63</v>
      </c>
      <c r="H146" s="96">
        <v>1</v>
      </c>
      <c r="I146" s="3" t="s">
        <v>1736</v>
      </c>
      <c r="J146" s="7" t="s">
        <v>70</v>
      </c>
      <c r="K146" s="26"/>
      <c r="L146" s="26" t="s">
        <v>1055</v>
      </c>
      <c r="M146" s="86" t="s">
        <v>3080</v>
      </c>
      <c r="N146" s="86" t="s">
        <v>2886</v>
      </c>
      <c r="O146" s="86"/>
      <c r="P146" s="86" t="str">
        <f>VLOOKUP(I146,Schedule!H:AR,37,FALSE)</f>
        <v>NA</v>
      </c>
      <c r="Q146" s="86" t="s">
        <v>1055</v>
      </c>
      <c r="R146" s="86" t="str">
        <f t="shared" si="29"/>
        <v>sameer.dhar@yes.bank.in,sanjeev.kumar30@yes.bank.in,manpreet.singh35@yes.bank.in,shyam.parkash@yes.bank.in,rittin.arya@yes.bank.in,manpreet.singh29@yes.bank.in,lonika.kotekar@yes.bank.in,shirajahmed.habib@yes.bank.in,Gaurav@kgac.in,AmanM@kgac.in,hariom@kgac.in</v>
      </c>
      <c r="S146" s="85" t="str">
        <f t="shared" ref="S146:S161" si="34">_xlfn.CONCAT("Draft audit report of ",I146,"_Repossession_",F146,"_April '26_ (Audit Period Jan'26 to Mar'26)")</f>
        <v>Draft audit report of Mukeem Khan Repo Agency_Repossession_Hodal_April '26_ (Audit Period Jan'26 to Mar'26)</v>
      </c>
      <c r="T146" s="84" t="str">
        <f t="shared" si="30"/>
        <v>Please find the attached Draft audit report of Mukeem Khan Repo Agency_Repossession_Hodal_April '26_ (Audit Period Jan'26 to Mar'26)</v>
      </c>
      <c r="U146" s="84" t="s">
        <v>3425</v>
      </c>
      <c r="V146" s="84"/>
    </row>
    <row r="147" spans="1:22" x14ac:dyDescent="0.3">
      <c r="A147" s="1">
        <v>169</v>
      </c>
      <c r="B147" s="1" t="s">
        <v>60</v>
      </c>
      <c r="C147" s="2">
        <v>309992</v>
      </c>
      <c r="D147" s="3" t="s">
        <v>40</v>
      </c>
      <c r="E147" s="3" t="s">
        <v>465</v>
      </c>
      <c r="F147" s="3" t="s">
        <v>466</v>
      </c>
      <c r="G147" s="88" t="s">
        <v>63</v>
      </c>
      <c r="H147" s="96">
        <v>1</v>
      </c>
      <c r="I147" s="3" t="s">
        <v>1727</v>
      </c>
      <c r="J147" s="7" t="s">
        <v>70</v>
      </c>
      <c r="K147" s="26"/>
      <c r="L147" s="26" t="s">
        <v>974</v>
      </c>
      <c r="M147" s="86" t="s">
        <v>3057</v>
      </c>
      <c r="N147" s="86" t="s">
        <v>3052</v>
      </c>
      <c r="O147" s="86"/>
      <c r="P147" s="86" t="str">
        <f>VLOOKUP(I147,Schedule!H:AR,37,FALSE)</f>
        <v>NA</v>
      </c>
      <c r="Q147" s="86" t="s">
        <v>974</v>
      </c>
      <c r="R147" s="86" t="str">
        <f t="shared" si="29"/>
        <v>subhasis.banerjee@yes.bank.in,biswarup.ghosh@yes.bank.in,santosh.thakur@yes.bank.in,amit.singh69@yes.bank.in,sachin.bharti@yes.bank.in,sankerbalaji.n@yes.bank.in,santosh.sharma9@yes.bank.in,lonika.kotekar@yes.bank.in,shirajahmed.habib@yes.bank.in,Gaurav@kgac.in,AmanM@kgac.in,hariom@kgac.in</v>
      </c>
      <c r="S147" s="85" t="str">
        <f t="shared" si="34"/>
        <v>Draft audit report of G S Services_Repossession_Ranchi_April '26_ (Audit Period Jan'26 to Mar'26)</v>
      </c>
      <c r="T147" s="84" t="str">
        <f t="shared" si="30"/>
        <v>Please find the attached Draft audit report of G S Services_Repossession_Ranchi_April '26_ (Audit Period Jan'26 to Mar'26)</v>
      </c>
      <c r="U147" s="84" t="s">
        <v>3425</v>
      </c>
      <c r="V147" s="84"/>
    </row>
    <row r="148" spans="1:22" x14ac:dyDescent="0.3">
      <c r="A148" s="1">
        <v>170</v>
      </c>
      <c r="B148" s="1" t="s">
        <v>60</v>
      </c>
      <c r="C148" s="2">
        <v>310997</v>
      </c>
      <c r="D148" s="3" t="s">
        <v>40</v>
      </c>
      <c r="E148" s="3" t="s">
        <v>465</v>
      </c>
      <c r="F148" s="3" t="s">
        <v>466</v>
      </c>
      <c r="G148" s="88" t="s">
        <v>63</v>
      </c>
      <c r="H148" s="96">
        <v>1</v>
      </c>
      <c r="I148" s="3" t="s">
        <v>1871</v>
      </c>
      <c r="J148" s="7" t="s">
        <v>70</v>
      </c>
      <c r="K148" s="89"/>
      <c r="L148" s="89" t="s">
        <v>3212</v>
      </c>
      <c r="M148" s="86" t="s">
        <v>3058</v>
      </c>
      <c r="N148" s="86" t="s">
        <v>3059</v>
      </c>
      <c r="O148" s="86"/>
      <c r="P148" s="86" t="str">
        <f>VLOOKUP(I148,Schedule!H:AR,37,FALSE)</f>
        <v>NA</v>
      </c>
      <c r="Q148" s="86" t="s">
        <v>3212</v>
      </c>
      <c r="R148" s="86" t="str">
        <f t="shared" si="29"/>
        <v>biswarup.ghosh@yes.bank.in,SAGAR.CHOUDHARI@yes.bank.in,nishant.kumar16@yes.bank.in,lonika.kotekar@yes.bank.in,shirajahmed.habib@yes.bank.in,Gaurav@kgac.in,AmanM@kgac.in,hariom@kgac.in</v>
      </c>
      <c r="S148" s="85" t="str">
        <f t="shared" si="34"/>
        <v>Draft audit report of Sigma Associate_Repossession_Ranchi_April '26_ (Audit Period Jan'26 to Mar'26)</v>
      </c>
      <c r="T148" s="84" t="str">
        <f t="shared" si="30"/>
        <v>Please find the attached Draft audit report of Sigma Associate_Repossession_Ranchi_April '26_ (Audit Period Jan'26 to Mar'26)</v>
      </c>
      <c r="U148" s="84" t="s">
        <v>1994</v>
      </c>
      <c r="V148" s="84" t="s">
        <v>3693</v>
      </c>
    </row>
    <row r="149" spans="1:22" x14ac:dyDescent="0.3">
      <c r="A149" s="1">
        <v>171</v>
      </c>
      <c r="B149" s="1" t="s">
        <v>475</v>
      </c>
      <c r="C149" s="2">
        <v>24651</v>
      </c>
      <c r="D149" s="3" t="s">
        <v>103</v>
      </c>
      <c r="E149" s="3" t="s">
        <v>237</v>
      </c>
      <c r="F149" s="3" t="s">
        <v>226</v>
      </c>
      <c r="G149" s="88" t="s">
        <v>63</v>
      </c>
      <c r="H149" s="96">
        <v>1</v>
      </c>
      <c r="I149" s="3" t="s">
        <v>476</v>
      </c>
      <c r="J149" s="7" t="s">
        <v>70</v>
      </c>
      <c r="K149" s="26"/>
      <c r="L149" s="26" t="s">
        <v>482</v>
      </c>
      <c r="M149" s="86" t="s">
        <v>3081</v>
      </c>
      <c r="N149" s="86" t="s">
        <v>3060</v>
      </c>
      <c r="O149" s="86"/>
      <c r="P149" s="86" t="str">
        <f>VLOOKUP(I149,Schedule!H:AR,37,FALSE)</f>
        <v>NA</v>
      </c>
      <c r="Q149" s="86" t="s">
        <v>482</v>
      </c>
      <c r="R149" s="86" t="str">
        <f t="shared" si="29"/>
        <v>biswarup.ghosh@yes.bank.in,SAGAR.CHOUDHARI@yes.bank.in,subhasis.banerjee@yes.bank.in,rajnish.dwivedi@yes.bank.in,suryanarayan.nayak@yes.bank.in,santosh.sharma9@yes.bank.in,nitesh.madhavi@yes.bank.in,arindam.sarkar2@yes.bank.in,suryakanta.jena1@yes.bank.in,manikandan.g4@yes.bank.in,lonika.kotekar@yes.bank.in,shirajahmed.habib@yes.bank.in,Gaurav@kgac.in,AmanM@kgac.in,hariom@kgac.in</v>
      </c>
      <c r="S149" s="85" t="str">
        <f t="shared" si="34"/>
        <v>Draft audit report of Jyotirmay Sasmal_Repossession_Bhubaneshwar_April '26_ (Audit Period Jan'26 to Mar'26)</v>
      </c>
      <c r="T149" s="84" t="str">
        <f t="shared" si="30"/>
        <v>Please find the attached Draft audit report of Jyotirmay Sasmal_Repossession_Bhubaneshwar_April '26_ (Audit Period Jan'26 to Mar'26)</v>
      </c>
      <c r="U149" s="84" t="s">
        <v>3425</v>
      </c>
      <c r="V149" s="84"/>
    </row>
    <row r="150" spans="1:22" x14ac:dyDescent="0.3">
      <c r="A150" s="1">
        <v>172</v>
      </c>
      <c r="B150" s="1" t="s">
        <v>718</v>
      </c>
      <c r="C150" s="2">
        <v>51577</v>
      </c>
      <c r="D150" s="3" t="s">
        <v>40</v>
      </c>
      <c r="E150" s="3" t="s">
        <v>199</v>
      </c>
      <c r="F150" s="3" t="s">
        <v>214</v>
      </c>
      <c r="G150" s="88" t="s">
        <v>63</v>
      </c>
      <c r="H150" s="96">
        <v>1</v>
      </c>
      <c r="I150" s="3" t="s">
        <v>719</v>
      </c>
      <c r="J150" s="7" t="s">
        <v>70</v>
      </c>
      <c r="K150" s="26"/>
      <c r="L150" s="26" t="s">
        <v>724</v>
      </c>
      <c r="M150" s="86" t="s">
        <v>2913</v>
      </c>
      <c r="N150" s="86" t="s">
        <v>2914</v>
      </c>
      <c r="O150" s="86"/>
      <c r="P150" s="86" t="str">
        <f>VLOOKUP(I150,Schedule!H:AR,37,FALSE)</f>
        <v>NA</v>
      </c>
      <c r="Q150" s="86" t="s">
        <v>724</v>
      </c>
      <c r="R150" s="86" t="str">
        <f t="shared" si="29"/>
        <v>vivek.joshi4@yes.bank.in,ashish.tiwari10@yes.bank.in,lonika.kotekar@yes.bank.in,shirajahmed.habib@yes.bank.in,Gaurav@kgac.in,AmanM@kgac.in,hariom@kgac.in</v>
      </c>
      <c r="S150" s="85" t="str">
        <f t="shared" si="34"/>
        <v>Draft audit report of Mandha Associates_Repossession_Jaipur_April '26_ (Audit Period Jan'26 to Mar'26)</v>
      </c>
      <c r="T150" s="84" t="str">
        <f t="shared" si="30"/>
        <v>Please find the attached Draft audit report of Mandha Associates_Repossession_Jaipur_April '26_ (Audit Period Jan'26 to Mar'26)</v>
      </c>
      <c r="U150" s="84" t="s">
        <v>2243</v>
      </c>
      <c r="V150" s="84"/>
    </row>
    <row r="151" spans="1:22" x14ac:dyDescent="0.3">
      <c r="A151" s="1">
        <v>173</v>
      </c>
      <c r="B151" s="1" t="s">
        <v>1164</v>
      </c>
      <c r="C151" s="2">
        <v>54054</v>
      </c>
      <c r="D151" s="3" t="s">
        <v>40</v>
      </c>
      <c r="E151" s="3" t="s">
        <v>199</v>
      </c>
      <c r="F151" s="3" t="s">
        <v>214</v>
      </c>
      <c r="G151" s="88" t="s">
        <v>63</v>
      </c>
      <c r="H151" s="96">
        <v>1</v>
      </c>
      <c r="I151" s="3" t="s">
        <v>1165</v>
      </c>
      <c r="J151" s="7" t="s">
        <v>70</v>
      </c>
      <c r="K151" s="26"/>
      <c r="L151" s="26" t="s">
        <v>1170</v>
      </c>
      <c r="M151" s="86" t="s">
        <v>3082</v>
      </c>
      <c r="N151" s="86" t="s">
        <v>3045</v>
      </c>
      <c r="O151" s="86"/>
      <c r="P151" s="86" t="str">
        <f>VLOOKUP(I151,Schedule!H:AR,37,FALSE)</f>
        <v>NA</v>
      </c>
      <c r="Q151" s="86" t="s">
        <v>1170</v>
      </c>
      <c r="R151" s="86" t="str">
        <f t="shared" si="29"/>
        <v>sanjeev.kumar30@yes.bank.in,shyam.parkash@yes.bank.in,lokeshkumar.sharma@yes.bank.in,lonika.kotekar@yes.bank.in,shirajahmed.habib@yes.bank.in,Gaurav@kgac.in,AmanM@kgac.in,hariom@kgac.in</v>
      </c>
      <c r="S151" s="85" t="str">
        <f t="shared" si="34"/>
        <v>Draft audit report of Yadu Associates_Repossession_Jaipur_April '26_ (Audit Period Jan'26 to Mar'26)</v>
      </c>
      <c r="T151" s="84" t="str">
        <f t="shared" si="30"/>
        <v>Please find the attached Draft audit report of Yadu Associates_Repossession_Jaipur_April '26_ (Audit Period Jan'26 to Mar'26)</v>
      </c>
      <c r="U151" s="84" t="s">
        <v>2243</v>
      </c>
      <c r="V151" s="84"/>
    </row>
    <row r="152" spans="1:22" x14ac:dyDescent="0.3">
      <c r="A152" s="1">
        <v>174</v>
      </c>
      <c r="B152" s="1" t="s">
        <v>727</v>
      </c>
      <c r="C152" s="2">
        <v>26483</v>
      </c>
      <c r="D152" s="3" t="s">
        <v>40</v>
      </c>
      <c r="E152" s="3" t="s">
        <v>199</v>
      </c>
      <c r="F152" s="3" t="s">
        <v>540</v>
      </c>
      <c r="G152" s="88" t="s">
        <v>63</v>
      </c>
      <c r="H152" s="96">
        <v>1</v>
      </c>
      <c r="I152" s="3" t="s">
        <v>728</v>
      </c>
      <c r="J152" s="7" t="s">
        <v>70</v>
      </c>
      <c r="K152" s="26"/>
      <c r="L152" s="26" t="s">
        <v>733</v>
      </c>
      <c r="M152" s="86" t="s">
        <v>3083</v>
      </c>
      <c r="N152" s="86" t="s">
        <v>2914</v>
      </c>
      <c r="O152" s="86"/>
      <c r="P152" s="86" t="str">
        <f>VLOOKUP(I152,Schedule!H:AR,37,FALSE)</f>
        <v>NA</v>
      </c>
      <c r="Q152" s="86" t="s">
        <v>733</v>
      </c>
      <c r="R152" s="86" t="str">
        <f t="shared" si="29"/>
        <v>vivek.joshi4@yes.bank.in,kishore.singh2@yes.bank.in,ashish.tiwari10@yes.bank.in,shyam.parkash@yes.bank.in,lonika.kotekar@yes.bank.in,shirajahmed.habib@yes.bank.in,Gaurav@kgac.in,AmanM@kgac.in,hariom@kgac.in</v>
      </c>
      <c r="S152" s="85" t="str">
        <f t="shared" si="34"/>
        <v>Draft audit report of Meena Associate_Repossession_Udaipur_April '26_ (Audit Period Jan'26 to Mar'26)</v>
      </c>
      <c r="T152" s="84" t="str">
        <f t="shared" si="30"/>
        <v>Please find the attached Draft audit report of Meena Associate_Repossession_Udaipur_April '26_ (Audit Period Jan'26 to Mar'26)</v>
      </c>
      <c r="U152" s="84" t="s">
        <v>2243</v>
      </c>
      <c r="V152" s="84"/>
    </row>
    <row r="153" spans="1:22" x14ac:dyDescent="0.3">
      <c r="A153" s="1">
        <v>175</v>
      </c>
      <c r="B153" s="1" t="s">
        <v>1905</v>
      </c>
      <c r="C153" s="2">
        <v>21693</v>
      </c>
      <c r="D153" s="3" t="s">
        <v>40</v>
      </c>
      <c r="E153" s="3" t="s">
        <v>1906</v>
      </c>
      <c r="F153" s="3" t="s">
        <v>593</v>
      </c>
      <c r="G153" s="88" t="s">
        <v>63</v>
      </c>
      <c r="H153" s="96">
        <v>1</v>
      </c>
      <c r="I153" s="3" t="s">
        <v>1872</v>
      </c>
      <c r="J153" s="7" t="s">
        <v>70</v>
      </c>
      <c r="K153" s="4" t="s">
        <v>3287</v>
      </c>
      <c r="L153" s="4" t="s">
        <v>60</v>
      </c>
      <c r="M153" s="86" t="s">
        <v>3040</v>
      </c>
      <c r="N153" s="86" t="s">
        <v>3061</v>
      </c>
      <c r="O153" s="86"/>
      <c r="P153" s="86" t="str">
        <f>VLOOKUP(I153,Schedule!H:AR,37,FALSE)</f>
        <v>NA</v>
      </c>
      <c r="Q153" s="86" t="s">
        <v>3402</v>
      </c>
      <c r="R153" s="86" t="str">
        <f t="shared" si="29"/>
        <v>abhinav.lal2@yes.bank.in,sanjeev.kumar30@yes.bank.in,vivek.shukla4@yes.bank.in,lonika.kotekar@yes.bank.in,shirajahmed.habib@yes.bank.in,Gaurav@kgac.in,AmanM@kgac.in,hariom@kgac.in</v>
      </c>
      <c r="S153" s="85" t="str">
        <f t="shared" si="34"/>
        <v>Draft audit report of Tiger Brothers Services Pvt Ltd_Repossession_Agra_April '26_ (Audit Period Jan'26 to Mar'26)</v>
      </c>
      <c r="T153" s="84" t="str">
        <f t="shared" si="30"/>
        <v>Please find the attached Draft audit report of Tiger Brothers Services Pvt Ltd_Repossession_Agra_April '26_ (Audit Period Jan'26 to Mar'26)</v>
      </c>
      <c r="U153" s="84" t="s">
        <v>2253</v>
      </c>
      <c r="V153" s="84"/>
    </row>
    <row r="154" spans="1:22" x14ac:dyDescent="0.3">
      <c r="A154" s="1">
        <v>176</v>
      </c>
      <c r="B154" s="1" t="s">
        <v>60</v>
      </c>
      <c r="C154" s="2">
        <v>307009</v>
      </c>
      <c r="D154" s="3" t="s">
        <v>40</v>
      </c>
      <c r="E154" s="3" t="s">
        <v>61</v>
      </c>
      <c r="F154" s="3" t="s">
        <v>968</v>
      </c>
      <c r="G154" s="88" t="s">
        <v>63</v>
      </c>
      <c r="H154" s="96">
        <v>1</v>
      </c>
      <c r="I154" s="3" t="s">
        <v>1726</v>
      </c>
      <c r="J154" s="7" t="s">
        <v>70</v>
      </c>
      <c r="K154" s="26"/>
      <c r="L154" s="26" t="s">
        <v>970</v>
      </c>
      <c r="M154" s="86" t="s">
        <v>3062</v>
      </c>
      <c r="N154" s="86" t="s">
        <v>3043</v>
      </c>
      <c r="O154" s="86"/>
      <c r="P154" s="86" t="str">
        <f>VLOOKUP(I154,Schedule!H:AR,37,FALSE)</f>
        <v>NA</v>
      </c>
      <c r="Q154" s="86" t="s">
        <v>970</v>
      </c>
      <c r="R154" s="86" t="str">
        <f t="shared" si="29"/>
        <v>biswarup.ghosh@yes.bank.in,nishant.kumar16@yes.bank.in,abhishek.kumar84@yes.bank.in,lonika.kotekar@yes.bank.in,shirajahmed.habib@yes.bank.in,Gaurav@kgac.in,AmanM@kgac.in,hariom@kgac.in</v>
      </c>
      <c r="S154" s="85" t="str">
        <f t="shared" si="34"/>
        <v>Draft audit report of Vishnu Repossession Agency_Repossession_Bihar_April '26_ (Audit Period Jan'26 to Mar'26)</v>
      </c>
      <c r="T154" s="84" t="str">
        <f t="shared" si="30"/>
        <v>Please find the attached Draft audit report of Vishnu Repossession Agency_Repossession_Bihar_April '26_ (Audit Period Jan'26 to Mar'26)</v>
      </c>
      <c r="U154" s="84" t="s">
        <v>2253</v>
      </c>
      <c r="V154" s="84"/>
    </row>
    <row r="155" spans="1:22" x14ac:dyDescent="0.3">
      <c r="A155" s="1">
        <v>178</v>
      </c>
      <c r="B155" s="1" t="s">
        <v>60</v>
      </c>
      <c r="C155" s="2">
        <v>351027</v>
      </c>
      <c r="D155" s="3" t="s">
        <v>40</v>
      </c>
      <c r="E155" s="3" t="s">
        <v>61</v>
      </c>
      <c r="F155" s="3" t="s">
        <v>270</v>
      </c>
      <c r="G155" s="88" t="s">
        <v>63</v>
      </c>
      <c r="H155" s="96">
        <v>1</v>
      </c>
      <c r="I155" s="3" t="s">
        <v>1705</v>
      </c>
      <c r="J155" s="7" t="s">
        <v>70</v>
      </c>
      <c r="K155" s="26"/>
      <c r="L155" s="26" t="s">
        <v>740</v>
      </c>
      <c r="M155" s="86" t="s">
        <v>3070</v>
      </c>
      <c r="N155" s="86" t="s">
        <v>3063</v>
      </c>
      <c r="O155" s="86"/>
      <c r="P155" s="86" t="str">
        <f>VLOOKUP(I155,Schedule!H:AR,37,FALSE)</f>
        <v>NA</v>
      </c>
      <c r="Q155" s="86" t="s">
        <v>740</v>
      </c>
      <c r="R155" s="86" t="str">
        <f t="shared" si="29"/>
        <v>abhinav.lal2@yes.bank.in,rajnish.dwivedi@yes.bank.in,shyam.parkash@yes.bank.in,lonika.kotekar@yes.bank.in,shirajahmed.habib@yes.bank.in,Gaurav@kgac.in,AmanM@kgac.in,hariom@kgac.in</v>
      </c>
      <c r="S155" s="85" t="str">
        <f t="shared" si="34"/>
        <v>Draft audit report of Mm Associates_Repossession_Kanpur_April '26_ (Audit Period Jan'26 to Mar'26)</v>
      </c>
      <c r="T155" s="84" t="str">
        <f t="shared" si="30"/>
        <v>Please find the attached Draft audit report of Mm Associates_Repossession_Kanpur_April '26_ (Audit Period Jan'26 to Mar'26)</v>
      </c>
      <c r="U155" s="84" t="s">
        <v>2253</v>
      </c>
      <c r="V155" s="84"/>
    </row>
    <row r="156" spans="1:22" x14ac:dyDescent="0.3">
      <c r="A156" s="1">
        <v>179</v>
      </c>
      <c r="B156" s="1" t="s">
        <v>60</v>
      </c>
      <c r="C156" s="2">
        <v>351028</v>
      </c>
      <c r="D156" s="3" t="s">
        <v>40</v>
      </c>
      <c r="E156" s="3" t="s">
        <v>61</v>
      </c>
      <c r="F156" s="3" t="s">
        <v>62</v>
      </c>
      <c r="G156" s="88" t="s">
        <v>63</v>
      </c>
      <c r="H156" s="96">
        <v>1</v>
      </c>
      <c r="I156" s="3" t="s">
        <v>1690</v>
      </c>
      <c r="J156" s="7" t="s">
        <v>70</v>
      </c>
      <c r="K156" s="26" t="s">
        <v>66</v>
      </c>
      <c r="L156" s="26" t="s">
        <v>66</v>
      </c>
      <c r="M156" s="86" t="s">
        <v>3084</v>
      </c>
      <c r="N156" s="86" t="s">
        <v>3064</v>
      </c>
      <c r="O156" s="86"/>
      <c r="P156" s="86" t="str">
        <f>VLOOKUP(I156,Schedule!H:AR,37,FALSE)</f>
        <v>NA</v>
      </c>
      <c r="Q156" s="86" t="s">
        <v>3403</v>
      </c>
      <c r="R156" s="86" t="str">
        <f t="shared" si="29"/>
        <v>sameer.dhar@yes.bank.in,abhinav.lal2@yes.bank.in,sanjeev.kumar30@yes.bank.in,shyam.parkash@yes.bank.in,rittin.arya@yes.bank.in,vivek.shukla4@yes.bank.in,lonika.kotekar@yes.bank.in,shirajahmed.habib@yes.bank.in,Gaurav@kgac.in,AmanM@kgac.in,hariom@kgac.in</v>
      </c>
      <c r="S156" s="85" t="str">
        <f t="shared" si="34"/>
        <v>Draft audit report of Aarya Associates_Repossession_Lucknow_April '26_ (Audit Period Jan'26 to Mar'26)</v>
      </c>
      <c r="T156" s="84" t="str">
        <f t="shared" si="30"/>
        <v>Please find the attached Draft audit report of Aarya Associates_Repossession_Lucknow_April '26_ (Audit Period Jan'26 to Mar'26)</v>
      </c>
      <c r="U156" s="84" t="s">
        <v>2253</v>
      </c>
      <c r="V156" s="84"/>
    </row>
    <row r="157" spans="1:22" x14ac:dyDescent="0.3">
      <c r="A157" s="1">
        <v>180</v>
      </c>
      <c r="B157" s="1" t="s">
        <v>60</v>
      </c>
      <c r="C157" s="2">
        <v>350007</v>
      </c>
      <c r="D157" s="3" t="s">
        <v>40</v>
      </c>
      <c r="E157" s="3" t="s">
        <v>61</v>
      </c>
      <c r="F157" s="3" t="s">
        <v>62</v>
      </c>
      <c r="G157" s="88" t="s">
        <v>63</v>
      </c>
      <c r="H157" s="96">
        <v>1</v>
      </c>
      <c r="I157" s="3" t="s">
        <v>1739</v>
      </c>
      <c r="J157" s="7" t="s">
        <v>70</v>
      </c>
      <c r="K157" s="26" t="s">
        <v>1122</v>
      </c>
      <c r="L157" s="26" t="s">
        <v>1122</v>
      </c>
      <c r="M157" s="86" t="s">
        <v>3040</v>
      </c>
      <c r="N157" s="86" t="s">
        <v>257</v>
      </c>
      <c r="O157" s="86"/>
      <c r="P157" s="86" t="str">
        <f>VLOOKUP(I157,Schedule!H:AR,37,FALSE)</f>
        <v>NA</v>
      </c>
      <c r="Q157" s="86" t="s">
        <v>3404</v>
      </c>
      <c r="R157" s="86" t="str">
        <f t="shared" si="29"/>
        <v>vivek.shukla4@yes.bank.in,lonika.kotekar@yes.bank.in,shirajahmed.habib@yes.bank.in,Gaurav@kgac.in,AmanM@kgac.in,hariom@kgac.in</v>
      </c>
      <c r="S157" s="85" t="str">
        <f t="shared" si="34"/>
        <v>Draft audit report of Singh Repossession Agency_Repossession_Lucknow_April '26_ (Audit Period Jan'26 to Mar'26)</v>
      </c>
      <c r="T157" s="84" t="str">
        <f t="shared" si="30"/>
        <v>Please find the attached Draft audit report of Singh Repossession Agency_Repossession_Lucknow_April '26_ (Audit Period Jan'26 to Mar'26)</v>
      </c>
      <c r="U157" s="84" t="s">
        <v>2253</v>
      </c>
      <c r="V157" s="84"/>
    </row>
    <row r="158" spans="1:22" x14ac:dyDescent="0.3">
      <c r="A158" s="1">
        <v>181</v>
      </c>
      <c r="B158" s="1" t="s">
        <v>60</v>
      </c>
      <c r="C158" s="2">
        <v>312995</v>
      </c>
      <c r="D158" s="3" t="s">
        <v>40</v>
      </c>
      <c r="E158" s="3" t="s">
        <v>61</v>
      </c>
      <c r="F158" s="3" t="s">
        <v>986</v>
      </c>
      <c r="G158" s="88" t="s">
        <v>63</v>
      </c>
      <c r="H158" s="96">
        <v>1</v>
      </c>
      <c r="I158" s="3" t="s">
        <v>1730</v>
      </c>
      <c r="J158" s="7" t="s">
        <v>70</v>
      </c>
      <c r="K158" s="26"/>
      <c r="L158" s="26" t="s">
        <v>988</v>
      </c>
      <c r="M158" s="86" t="s">
        <v>3040</v>
      </c>
      <c r="N158" s="86" t="s">
        <v>3065</v>
      </c>
      <c r="O158" s="86"/>
      <c r="P158" s="86" t="str">
        <f>VLOOKUP(I158,Schedule!H:AR,37,FALSE)</f>
        <v>NA</v>
      </c>
      <c r="Q158" s="86" t="s">
        <v>988</v>
      </c>
      <c r="R158" s="86" t="str">
        <f t="shared" si="29"/>
        <v>dipak.dhandhukiya@yes.bank.in,sanjeev.kumar30@yes.bank.in,vivek.shukla4@yes.bank.in,lonika.kotekar@yes.bank.in,shirajahmed.habib@yes.bank.in,Gaurav@kgac.in,AmanM@kgac.in,hariom@kgac.in</v>
      </c>
      <c r="S158" s="85" t="str">
        <f t="shared" si="34"/>
        <v>Draft audit report of Akhand Motors_Repossession_Varanasi_April '26_ (Audit Period Jan'26 to Mar'26)</v>
      </c>
      <c r="T158" s="84" t="str">
        <f t="shared" si="30"/>
        <v>Please find the attached Draft audit report of Akhand Motors_Repossession_Varanasi_April '26_ (Audit Period Jan'26 to Mar'26)</v>
      </c>
      <c r="U158" s="84" t="s">
        <v>2253</v>
      </c>
      <c r="V158" s="84"/>
    </row>
    <row r="159" spans="1:22" x14ac:dyDescent="0.3">
      <c r="A159" s="1">
        <v>182</v>
      </c>
      <c r="B159" s="1" t="s">
        <v>60</v>
      </c>
      <c r="C159" s="2">
        <v>351086</v>
      </c>
      <c r="D159" s="3" t="s">
        <v>40</v>
      </c>
      <c r="E159" s="3" t="s">
        <v>938</v>
      </c>
      <c r="F159" s="3" t="s">
        <v>939</v>
      </c>
      <c r="G159" s="88" t="s">
        <v>63</v>
      </c>
      <c r="H159" s="96">
        <v>1</v>
      </c>
      <c r="I159" s="3" t="s">
        <v>1720</v>
      </c>
      <c r="J159" s="7" t="s">
        <v>70</v>
      </c>
      <c r="K159" s="26"/>
      <c r="L159" s="26" t="s">
        <v>941</v>
      </c>
      <c r="M159" s="86" t="s">
        <v>3085</v>
      </c>
      <c r="N159" s="86" t="s">
        <v>3066</v>
      </c>
      <c r="O159" s="86"/>
      <c r="P159" s="86" t="str">
        <f>VLOOKUP(I159,Schedule!H:AR,37,FALSE)</f>
        <v>NA</v>
      </c>
      <c r="Q159" s="86" t="s">
        <v>941</v>
      </c>
      <c r="R159" s="86" t="str">
        <f t="shared" si="29"/>
        <v>sameer.dhar@yes.bank.in,abhinav.lal2@yes.bank.in,manpreet.singh29@yes.bank.in,vivek.shukla4@yes.bank.in,lonika.kotekar@yes.bank.in,shirajahmed.habib@yes.bank.in,Gaurav@kgac.in,AmanM@kgac.in,hariom@kgac.in</v>
      </c>
      <c r="S159" s="85" t="str">
        <f t="shared" si="34"/>
        <v>Draft audit report of Sai Associates_Repossession_Haridwar_April '26_ (Audit Period Jan'26 to Mar'26)</v>
      </c>
      <c r="T159" s="84" t="str">
        <f t="shared" si="30"/>
        <v>Please find the attached Draft audit report of Sai Associates_Repossession_Haridwar_April '26_ (Audit Period Jan'26 to Mar'26)</v>
      </c>
      <c r="U159" s="84" t="s">
        <v>1994</v>
      </c>
      <c r="V159" s="84" t="s">
        <v>3693</v>
      </c>
    </row>
    <row r="160" spans="1:22" x14ac:dyDescent="0.3">
      <c r="A160" s="1">
        <v>183</v>
      </c>
      <c r="B160" s="1" t="s">
        <v>116</v>
      </c>
      <c r="C160" s="2">
        <v>25788</v>
      </c>
      <c r="D160" s="3" t="s">
        <v>103</v>
      </c>
      <c r="E160" s="3" t="s">
        <v>104</v>
      </c>
      <c r="F160" s="3" t="s">
        <v>105</v>
      </c>
      <c r="G160" s="88" t="s">
        <v>63</v>
      </c>
      <c r="H160" s="96">
        <v>1</v>
      </c>
      <c r="I160" s="3" t="s">
        <v>117</v>
      </c>
      <c r="J160" s="7" t="s">
        <v>70</v>
      </c>
      <c r="K160" s="26"/>
      <c r="L160" s="26" t="s">
        <v>123</v>
      </c>
      <c r="M160" s="86" t="s">
        <v>3086</v>
      </c>
      <c r="N160" s="86" t="s">
        <v>3052</v>
      </c>
      <c r="O160" s="86"/>
      <c r="P160" s="86" t="str">
        <f>VLOOKUP(I160,Schedule!H:AR,37,FALSE)</f>
        <v>NA</v>
      </c>
      <c r="Q160" s="86" t="s">
        <v>123</v>
      </c>
      <c r="R160" s="86" t="str">
        <f t="shared" si="29"/>
        <v>subhasis.banerjee@yes.bank.in,biswarup.ghosh@yes.bank.in,arindam.sarkar2@yes.bank.in,priyanka.mondal@yes.bank.in,deepak.singh39@yes.bank.in,imran.elahi@yes.bank.in,sachin.bharti@yes.bank.in,sudip.manna@yes.bank.in,amit.singh69@yes.bank.in,suryakanta.jena1@yes.bank.in,lonika.kotekar@yes.bank.in,shirajahmed.habib@yes.bank.in,Gaurav@kgac.in,AmanM@kgac.in,hariom@kgac.in</v>
      </c>
      <c r="S160" s="85" t="str">
        <f t="shared" si="34"/>
        <v>Draft audit report of Bharat Repossession Unit_Repossession_Kolkata_April '26_ (Audit Period Jan'26 to Mar'26)</v>
      </c>
      <c r="T160" s="84" t="str">
        <f t="shared" si="30"/>
        <v>Please find the attached Draft audit report of Bharat Repossession Unit_Repossession_Kolkata_April '26_ (Audit Period Jan'26 to Mar'26)</v>
      </c>
      <c r="U160" s="84" t="s">
        <v>3425</v>
      </c>
      <c r="V160" s="84"/>
    </row>
    <row r="161" spans="1:22" x14ac:dyDescent="0.3">
      <c r="A161" s="1">
        <v>184</v>
      </c>
      <c r="B161" s="1" t="s">
        <v>144</v>
      </c>
      <c r="C161" s="2">
        <v>26367</v>
      </c>
      <c r="D161" s="3" t="s">
        <v>103</v>
      </c>
      <c r="E161" s="3" t="s">
        <v>104</v>
      </c>
      <c r="F161" s="3" t="s">
        <v>105</v>
      </c>
      <c r="G161" s="88" t="s">
        <v>63</v>
      </c>
      <c r="H161" s="96">
        <v>1</v>
      </c>
      <c r="I161" s="3" t="s">
        <v>145</v>
      </c>
      <c r="J161" s="7" t="s">
        <v>70</v>
      </c>
      <c r="K161" s="26"/>
      <c r="L161" s="26" t="s">
        <v>150</v>
      </c>
      <c r="M161" s="86" t="s">
        <v>3067</v>
      </c>
      <c r="N161" s="86" t="s">
        <v>3053</v>
      </c>
      <c r="O161" s="86"/>
      <c r="P161" s="86" t="str">
        <f>VLOOKUP(I161,Schedule!H:AR,37,FALSE)</f>
        <v>NA</v>
      </c>
      <c r="Q161" s="86" t="s">
        <v>150</v>
      </c>
      <c r="R161" s="86" t="str">
        <f t="shared" si="29"/>
        <v>biswarup.ghosh@yes.bank.in,SAGAR.CHOUDHARI@yes.bank.in,subhasis.banerjee@yes.bank.in,deepak.singh39@yes.bank.in,tarkeshwar.singh@yes.bank.in,priyanka.mondal@yes.bank.in,suryanarayan.nayak@yes.bank.in,lonika.kotekar@yes.bank.in,shirajahmed.habib@yes.bank.in,Gaurav@kgac.in,AmanM@kgac.in,hariom@kgac.in</v>
      </c>
      <c r="S161" s="85" t="str">
        <f t="shared" si="34"/>
        <v>Draft audit report of Relief_Repossession_Kolkata_April '26_ (Audit Period Jan'26 to Mar'26)</v>
      </c>
      <c r="T161" s="84" t="str">
        <f>_xlfn.CONCAT("Please find the attached ",S161)</f>
        <v>Please find the attached Draft audit report of Relief_Repossession_Kolkata_April '26_ (Audit Period Jan'26 to Mar'26)</v>
      </c>
      <c r="U161" s="84" t="s">
        <v>3425</v>
      </c>
      <c r="V161" s="84"/>
    </row>
    <row r="162" spans="1:22" x14ac:dyDescent="0.3">
      <c r="A162" s="1">
        <v>185</v>
      </c>
      <c r="B162" s="1" t="s">
        <v>60</v>
      </c>
      <c r="C162" s="2" t="s">
        <v>60</v>
      </c>
      <c r="D162" s="3" t="s">
        <v>103</v>
      </c>
      <c r="E162" s="3" t="s">
        <v>767</v>
      </c>
      <c r="F162" s="3" t="s">
        <v>1583</v>
      </c>
      <c r="G162" s="88" t="s">
        <v>1417</v>
      </c>
      <c r="H162" s="96">
        <v>1</v>
      </c>
      <c r="I162" s="3" t="s">
        <v>1340</v>
      </c>
      <c r="J162" s="7" t="s">
        <v>1904</v>
      </c>
      <c r="K162" s="4"/>
      <c r="L162" s="4" t="s">
        <v>3167</v>
      </c>
      <c r="M162" s="86" t="s">
        <v>3087</v>
      </c>
      <c r="N162" s="86" t="s">
        <v>3089</v>
      </c>
      <c r="O162" s="86"/>
      <c r="P162" s="86"/>
      <c r="Q162" s="86" t="s">
        <v>3167</v>
      </c>
      <c r="R162" s="86" t="str">
        <f t="shared" si="29"/>
        <v>subhasis.banerjee@yes.bank.in, biswarup.ghosh@yes.bank.in,joy.saha@yes.bank.in,lonika.kotekar@yes.bank.in,shirajahmed.habib@yes.bank.in,Gaurav@kgac.in,AmanM@kgac.in,hariom@kgac.in</v>
      </c>
      <c r="S162" s="85" t="s">
        <v>3422</v>
      </c>
      <c r="T162" s="84" t="s">
        <v>3426</v>
      </c>
      <c r="U162" s="84" t="s">
        <v>1994</v>
      </c>
      <c r="V162" s="84" t="s">
        <v>3693</v>
      </c>
    </row>
    <row r="163" spans="1:22" x14ac:dyDescent="0.3">
      <c r="A163" s="1">
        <v>186</v>
      </c>
      <c r="B163" s="1" t="s">
        <v>60</v>
      </c>
      <c r="C163" s="2" t="s">
        <v>60</v>
      </c>
      <c r="D163" s="3" t="s">
        <v>103</v>
      </c>
      <c r="E163" s="3" t="s">
        <v>767</v>
      </c>
      <c r="F163" s="3" t="s">
        <v>768</v>
      </c>
      <c r="G163" s="88" t="s">
        <v>1417</v>
      </c>
      <c r="H163" s="96">
        <v>1</v>
      </c>
      <c r="I163" s="3" t="s">
        <v>1343</v>
      </c>
      <c r="J163" s="7" t="s">
        <v>1904</v>
      </c>
      <c r="K163" s="4"/>
      <c r="L163" s="4" t="s">
        <v>3167</v>
      </c>
      <c r="M163" s="86" t="s">
        <v>3088</v>
      </c>
      <c r="N163" s="90" t="s">
        <v>3043</v>
      </c>
      <c r="O163" s="86"/>
      <c r="P163" s="86"/>
      <c r="Q163" s="86" t="s">
        <v>3167</v>
      </c>
      <c r="R163" s="86" t="str">
        <f t="shared" si="29"/>
        <v>biswarup.ghosh@yes.bank.in,sudip.manna@yes.bank.in, abhishek.kumar84@yes.bank.in,lonika.kotekar@yes.bank.in,shirajahmed.habib@yes.bank.in,Gaurav@kgac.in,AmanM@kgac.in,hariom@kgac.in</v>
      </c>
      <c r="S163" s="85" t="s">
        <v>3427</v>
      </c>
      <c r="T163" s="84" t="s">
        <v>3428</v>
      </c>
      <c r="U163" s="84" t="s">
        <v>3425</v>
      </c>
      <c r="V163" s="84"/>
    </row>
    <row r="164" spans="1:22" x14ac:dyDescent="0.3">
      <c r="A164" s="1">
        <v>187</v>
      </c>
      <c r="B164" s="1" t="s">
        <v>60</v>
      </c>
      <c r="C164" s="2" t="s">
        <v>60</v>
      </c>
      <c r="D164" s="3" t="s">
        <v>103</v>
      </c>
      <c r="E164" s="3" t="s">
        <v>767</v>
      </c>
      <c r="F164" s="3" t="s">
        <v>768</v>
      </c>
      <c r="G164" s="88" t="s">
        <v>1417</v>
      </c>
      <c r="H164" s="96">
        <v>1</v>
      </c>
      <c r="I164" s="3" t="s">
        <v>1342</v>
      </c>
      <c r="J164" s="7" t="s">
        <v>1904</v>
      </c>
      <c r="K164" s="4"/>
      <c r="L164" s="4" t="s">
        <v>3167</v>
      </c>
      <c r="M164" s="86" t="s">
        <v>3088</v>
      </c>
      <c r="N164" s="90" t="s">
        <v>3043</v>
      </c>
      <c r="O164" s="86"/>
      <c r="P164" s="86"/>
      <c r="Q164" s="86" t="s">
        <v>3167</v>
      </c>
      <c r="R164" s="86" t="str">
        <f t="shared" si="29"/>
        <v>biswarup.ghosh@yes.bank.in,sudip.manna@yes.bank.in, abhishek.kumar84@yes.bank.in,lonika.kotekar@yes.bank.in,shirajahmed.habib@yes.bank.in,Gaurav@kgac.in,AmanM@kgac.in,hariom@kgac.in</v>
      </c>
      <c r="S164" s="85" t="s">
        <v>3429</v>
      </c>
      <c r="T164" s="84" t="s">
        <v>3430</v>
      </c>
      <c r="U164" s="84" t="s">
        <v>3425</v>
      </c>
      <c r="V164" s="84"/>
    </row>
    <row r="165" spans="1:22" x14ac:dyDescent="0.3">
      <c r="A165" s="1">
        <v>188</v>
      </c>
      <c r="B165" s="1" t="s">
        <v>60</v>
      </c>
      <c r="C165" s="2" t="s">
        <v>60</v>
      </c>
      <c r="D165" s="3" t="s">
        <v>103</v>
      </c>
      <c r="E165" s="3" t="s">
        <v>767</v>
      </c>
      <c r="F165" s="3" t="s">
        <v>1604</v>
      </c>
      <c r="G165" s="88" t="s">
        <v>1417</v>
      </c>
      <c r="H165" s="96">
        <v>1</v>
      </c>
      <c r="I165" s="3" t="s">
        <v>1387</v>
      </c>
      <c r="J165" s="7" t="s">
        <v>1904</v>
      </c>
      <c r="K165" s="4"/>
      <c r="L165" s="4" t="s">
        <v>3168</v>
      </c>
      <c r="M165" s="86" t="s">
        <v>3051</v>
      </c>
      <c r="N165" s="86" t="s">
        <v>3089</v>
      </c>
      <c r="O165" s="86"/>
      <c r="P165" s="86"/>
      <c r="Q165" s="86" t="s">
        <v>3168</v>
      </c>
      <c r="R165" s="86" t="str">
        <f t="shared" si="29"/>
        <v>subhasis.banerjee@yes.bank.in, biswarup.ghosh@yes.bank.in,priyanka.mondal@yes.bank.in,lonika.kotekar@yes.bank.in,shirajahmed.habib@yes.bank.in,Gaurav@kgac.in,AmanM@kgac.in,hariom@kgac.in</v>
      </c>
      <c r="S165" s="85" t="s">
        <v>3431</v>
      </c>
      <c r="T165" s="84" t="s">
        <v>3432</v>
      </c>
      <c r="U165" s="84" t="s">
        <v>3425</v>
      </c>
      <c r="V165" s="84"/>
    </row>
    <row r="166" spans="1:22" x14ac:dyDescent="0.3">
      <c r="A166" s="1">
        <v>189</v>
      </c>
      <c r="B166" s="1" t="s">
        <v>60</v>
      </c>
      <c r="C166" s="2" t="s">
        <v>60</v>
      </c>
      <c r="D166" s="3" t="s">
        <v>103</v>
      </c>
      <c r="E166" s="3" t="s">
        <v>968</v>
      </c>
      <c r="F166" s="3" t="s">
        <v>1567</v>
      </c>
      <c r="G166" s="88" t="s">
        <v>1417</v>
      </c>
      <c r="H166" s="96">
        <v>1</v>
      </c>
      <c r="I166" s="3" t="s">
        <v>1310</v>
      </c>
      <c r="J166" s="7" t="s">
        <v>1904</v>
      </c>
      <c r="K166" s="4"/>
      <c r="L166" s="4" t="s">
        <v>3169</v>
      </c>
      <c r="M166" s="86" t="s">
        <v>3090</v>
      </c>
      <c r="N166" s="86" t="s">
        <v>3089</v>
      </c>
      <c r="O166" s="86"/>
      <c r="P166" s="86"/>
      <c r="Q166" s="86" t="s">
        <v>3169</v>
      </c>
      <c r="R166" s="86" t="str">
        <f t="shared" si="29"/>
        <v>subhasis.banerjee@yes.bank.in, biswarup.ghosh@yes.bank.in,manibhushan.kumar@yes.bank.in, nishant.kumar16@yes.bank.in, abhishek.kumar84@yes.bank.in,lonika.kotekar@yes.bank.in,shirajahmed.habib@yes.bank.in,Gaurav@kgac.in,AmanM@kgac.in,hariom@kgac.in</v>
      </c>
      <c r="S166" s="85" t="s">
        <v>3433</v>
      </c>
      <c r="T166" s="84" t="s">
        <v>3434</v>
      </c>
      <c r="U166" s="84" t="s">
        <v>3425</v>
      </c>
      <c r="V166" s="84"/>
    </row>
    <row r="167" spans="1:22" x14ac:dyDescent="0.3">
      <c r="A167" s="1">
        <v>190</v>
      </c>
      <c r="B167" s="1" t="s">
        <v>60</v>
      </c>
      <c r="C167" s="2" t="s">
        <v>60</v>
      </c>
      <c r="D167" s="3" t="s">
        <v>40</v>
      </c>
      <c r="E167" s="3" t="s">
        <v>42</v>
      </c>
      <c r="F167" s="3" t="s">
        <v>42</v>
      </c>
      <c r="G167" s="88" t="s">
        <v>1417</v>
      </c>
      <c r="H167" s="96">
        <v>1</v>
      </c>
      <c r="I167" s="3" t="s">
        <v>1317</v>
      </c>
      <c r="J167" s="7" t="s">
        <v>1904</v>
      </c>
      <c r="K167" s="4"/>
      <c r="L167" s="4" t="s">
        <v>3170</v>
      </c>
      <c r="M167" s="86" t="s">
        <v>3070</v>
      </c>
      <c r="N167" s="86" t="s">
        <v>3092</v>
      </c>
      <c r="O167" s="86"/>
      <c r="P167" s="86"/>
      <c r="Q167" s="86" t="s">
        <v>3170</v>
      </c>
      <c r="R167" s="86" t="str">
        <f t="shared" si="29"/>
        <v>sanjeev.kumar30@yes.bank.in, rajnish.dwivedi@yes.bank.in, chetram.chahal@yes.bank.in,shyam.parkash@yes.bank.in,lonika.kotekar@yes.bank.in,shirajahmed.habib@yes.bank.in,Gaurav@kgac.in,AmanM@kgac.in,hariom@kgac.in</v>
      </c>
      <c r="S167" s="85" t="s">
        <v>3435</v>
      </c>
      <c r="T167" s="84" t="s">
        <v>3436</v>
      </c>
      <c r="U167" s="84" t="s">
        <v>2240</v>
      </c>
      <c r="V167" s="84"/>
    </row>
    <row r="168" spans="1:22" x14ac:dyDescent="0.3">
      <c r="A168" s="1">
        <v>191</v>
      </c>
      <c r="B168" s="1" t="s">
        <v>60</v>
      </c>
      <c r="C168" s="2" t="s">
        <v>60</v>
      </c>
      <c r="D168" s="3" t="s">
        <v>40</v>
      </c>
      <c r="E168" s="3" t="s">
        <v>42</v>
      </c>
      <c r="F168" s="3" t="s">
        <v>42</v>
      </c>
      <c r="G168" s="88" t="s">
        <v>1417</v>
      </c>
      <c r="H168" s="96">
        <v>1</v>
      </c>
      <c r="I168" s="3" t="s">
        <v>1318</v>
      </c>
      <c r="J168" s="7" t="s">
        <v>1904</v>
      </c>
      <c r="K168" s="4"/>
      <c r="L168" s="4" t="s">
        <v>3170</v>
      </c>
      <c r="M168" s="86" t="s">
        <v>3091</v>
      </c>
      <c r="N168" s="86" t="s">
        <v>3092</v>
      </c>
      <c r="O168" s="86"/>
      <c r="P168" s="86"/>
      <c r="Q168" s="86" t="s">
        <v>3170</v>
      </c>
      <c r="R168" s="86" t="str">
        <f t="shared" si="29"/>
        <v>sanjeev.kumar30@yes.bank.in, rajnish.dwivedi@yes.bank.in, chetram.chahal@yes.bank.in,vikram.singh26@yes.bank.in, narinder.singh3@yes.bank.in, sachin.chauhan3@yes.bank.in, parveen.kumar16@yes.bank.in, pravin.pawar2@yes.bank.in, sukhwinder.singh18@yes.bank.in, neeraj.kumar36@yes.bank.in,lonika.kotekar@yes.bank.in,shirajahmed.habib@yes.bank.in,Gaurav@kgac.in,AmanM@kgac.in,hariom@kgac.in</v>
      </c>
      <c r="S168" s="85" t="s">
        <v>3437</v>
      </c>
      <c r="T168" s="84" t="s">
        <v>3438</v>
      </c>
      <c r="U168" s="84" t="s">
        <v>2240</v>
      </c>
      <c r="V168" s="84"/>
    </row>
    <row r="169" spans="1:22" x14ac:dyDescent="0.3">
      <c r="A169" s="1">
        <v>192</v>
      </c>
      <c r="B169" s="1" t="s">
        <v>60</v>
      </c>
      <c r="C169" s="2" t="s">
        <v>60</v>
      </c>
      <c r="D169" s="3" t="s">
        <v>40</v>
      </c>
      <c r="E169" s="3" t="s">
        <v>42</v>
      </c>
      <c r="F169" s="3" t="s">
        <v>42</v>
      </c>
      <c r="G169" s="88" t="s">
        <v>1417</v>
      </c>
      <c r="H169" s="96">
        <v>1</v>
      </c>
      <c r="I169" s="3" t="s">
        <v>1319</v>
      </c>
      <c r="J169" s="7" t="s">
        <v>1904</v>
      </c>
      <c r="K169" s="4"/>
      <c r="L169" s="4" t="s">
        <v>3171</v>
      </c>
      <c r="M169" s="86" t="s">
        <v>3091</v>
      </c>
      <c r="N169" s="86" t="s">
        <v>3092</v>
      </c>
      <c r="O169" s="86"/>
      <c r="P169" s="86"/>
      <c r="Q169" s="86" t="s">
        <v>3171</v>
      </c>
      <c r="R169" s="86" t="str">
        <f t="shared" si="29"/>
        <v>sanjeev.kumar30@yes.bank.in, rajnish.dwivedi@yes.bank.in, chetram.chahal@yes.bank.in,vikram.singh26@yes.bank.in, narinder.singh3@yes.bank.in, sachin.chauhan3@yes.bank.in, parveen.kumar16@yes.bank.in, pravin.pawar2@yes.bank.in, sukhwinder.singh18@yes.bank.in, neeraj.kumar36@yes.bank.in,lonika.kotekar@yes.bank.in,shirajahmed.habib@yes.bank.in,Gaurav@kgac.in,AmanM@kgac.in,hariom@kgac.in</v>
      </c>
      <c r="S169" s="85" t="s">
        <v>3439</v>
      </c>
      <c r="T169" s="84" t="s">
        <v>3440</v>
      </c>
      <c r="U169" s="84" t="s">
        <v>2240</v>
      </c>
      <c r="V169" s="84"/>
    </row>
    <row r="170" spans="1:22" x14ac:dyDescent="0.3">
      <c r="A170" s="1">
        <v>193</v>
      </c>
      <c r="B170" s="1" t="s">
        <v>60</v>
      </c>
      <c r="C170" s="2" t="s">
        <v>60</v>
      </c>
      <c r="D170" s="3" t="s">
        <v>103</v>
      </c>
      <c r="E170" s="3" t="s">
        <v>1621</v>
      </c>
      <c r="F170" s="3" t="s">
        <v>1568</v>
      </c>
      <c r="G170" s="88" t="s">
        <v>1417</v>
      </c>
      <c r="H170" s="96">
        <v>1</v>
      </c>
      <c r="I170" s="3" t="s">
        <v>1313</v>
      </c>
      <c r="J170" s="7" t="s">
        <v>1904</v>
      </c>
      <c r="K170" s="4"/>
      <c r="L170" s="4" t="s">
        <v>3172</v>
      </c>
      <c r="M170" s="86" t="s">
        <v>2823</v>
      </c>
      <c r="N170" s="86" t="s">
        <v>3043</v>
      </c>
      <c r="O170" s="86"/>
      <c r="P170" s="86"/>
      <c r="Q170" s="86" t="s">
        <v>3172</v>
      </c>
      <c r="R170" s="86" t="str">
        <f t="shared" si="29"/>
        <v>biswarup.ghosh@yes.bank.in,abhishek.kumar84@yes.bank.in,lonika.kotekar@yes.bank.in,shirajahmed.habib@yes.bank.in,Gaurav@kgac.in,AmanM@kgac.in,hariom@kgac.in</v>
      </c>
      <c r="S170" s="85" t="s">
        <v>3441</v>
      </c>
      <c r="T170" s="84" t="s">
        <v>3442</v>
      </c>
      <c r="U170" s="84" t="s">
        <v>3425</v>
      </c>
      <c r="V170" s="84"/>
    </row>
    <row r="171" spans="1:22" x14ac:dyDescent="0.3">
      <c r="A171" s="1">
        <v>194</v>
      </c>
      <c r="B171" s="1" t="s">
        <v>60</v>
      </c>
      <c r="C171" s="2" t="s">
        <v>60</v>
      </c>
      <c r="D171" s="3" t="s">
        <v>103</v>
      </c>
      <c r="E171" s="3" t="s">
        <v>1621</v>
      </c>
      <c r="F171" s="3" t="s">
        <v>1568</v>
      </c>
      <c r="G171" s="88" t="s">
        <v>1417</v>
      </c>
      <c r="H171" s="96">
        <v>1</v>
      </c>
      <c r="I171" s="3" t="s">
        <v>1312</v>
      </c>
      <c r="J171" s="7" t="s">
        <v>1904</v>
      </c>
      <c r="K171" s="4"/>
      <c r="L171" s="4" t="s">
        <v>3172</v>
      </c>
      <c r="M171" s="86" t="s">
        <v>2823</v>
      </c>
      <c r="N171" s="86" t="s">
        <v>3043</v>
      </c>
      <c r="O171" s="86"/>
      <c r="P171" s="86"/>
      <c r="Q171" s="86" t="s">
        <v>3172</v>
      </c>
      <c r="R171" s="86" t="str">
        <f t="shared" si="29"/>
        <v>biswarup.ghosh@yes.bank.in,abhishek.kumar84@yes.bank.in,lonika.kotekar@yes.bank.in,shirajahmed.habib@yes.bank.in,Gaurav@kgac.in,AmanM@kgac.in,hariom@kgac.in</v>
      </c>
      <c r="S171" s="85" t="s">
        <v>3443</v>
      </c>
      <c r="T171" s="84" t="s">
        <v>3444</v>
      </c>
      <c r="U171" s="84" t="s">
        <v>3425</v>
      </c>
      <c r="V171" s="84"/>
    </row>
    <row r="172" spans="1:22" x14ac:dyDescent="0.3">
      <c r="A172" s="1">
        <v>195</v>
      </c>
      <c r="B172" s="1" t="s">
        <v>60</v>
      </c>
      <c r="C172" s="2" t="s">
        <v>60</v>
      </c>
      <c r="D172" s="3" t="s">
        <v>103</v>
      </c>
      <c r="E172" s="3" t="s">
        <v>1621</v>
      </c>
      <c r="F172" s="3" t="s">
        <v>1577</v>
      </c>
      <c r="G172" s="88" t="s">
        <v>1417</v>
      </c>
      <c r="H172" s="96">
        <v>1</v>
      </c>
      <c r="I172" s="3" t="s">
        <v>1331</v>
      </c>
      <c r="J172" s="7" t="s">
        <v>1904</v>
      </c>
      <c r="K172" s="4"/>
      <c r="L172" s="4" t="s">
        <v>3173</v>
      </c>
      <c r="M172" s="86" t="s">
        <v>3093</v>
      </c>
      <c r="N172" s="86" t="s">
        <v>3094</v>
      </c>
      <c r="O172" s="86"/>
      <c r="P172" s="86"/>
      <c r="Q172" s="86" t="s">
        <v>3173</v>
      </c>
      <c r="R172" s="86" t="str">
        <f t="shared" si="29"/>
        <v>biswarup.ghosh@yes.bank.in, SAGAR.CHOUDHARI@yes.bank.in, subhasis.banerjee@yes.bank.in,nitesh.madhavi@yes.bank.in, rizwan.quraishi@yes.bank.in, sourabh.parihar@yes.bank.in, kravi.kumar@yes.bank.in, sudip.manna@yes.bank.in, abhishek.kumar84@yes.bank.in,lonika.kotekar@yes.bank.in,shirajahmed.habib@yes.bank.in,Gaurav@kgac.in,AmanM@kgac.in,hariom@kgac.in</v>
      </c>
      <c r="S172" s="85" t="s">
        <v>3445</v>
      </c>
      <c r="T172" s="84" t="s">
        <v>3446</v>
      </c>
      <c r="U172" s="84" t="s">
        <v>3425</v>
      </c>
      <c r="V172" s="84"/>
    </row>
    <row r="173" spans="1:22" x14ac:dyDescent="0.3">
      <c r="A173" s="1">
        <v>196</v>
      </c>
      <c r="B173" s="1" t="s">
        <v>60</v>
      </c>
      <c r="C173" s="2" t="s">
        <v>60</v>
      </c>
      <c r="D173" s="3" t="s">
        <v>103</v>
      </c>
      <c r="E173" s="3" t="s">
        <v>1621</v>
      </c>
      <c r="F173" s="3" t="s">
        <v>342</v>
      </c>
      <c r="G173" s="88" t="s">
        <v>1417</v>
      </c>
      <c r="H173" s="96">
        <v>1</v>
      </c>
      <c r="I173" s="3" t="s">
        <v>1398</v>
      </c>
      <c r="J173" s="7" t="s">
        <v>1904</v>
      </c>
      <c r="K173" s="4"/>
      <c r="L173" s="4" t="s">
        <v>3174</v>
      </c>
      <c r="M173" s="86" t="s">
        <v>3093</v>
      </c>
      <c r="N173" s="86" t="s">
        <v>3094</v>
      </c>
      <c r="O173" s="86"/>
      <c r="P173" s="86"/>
      <c r="Q173" s="86" t="s">
        <v>3174</v>
      </c>
      <c r="R173" s="86" t="str">
        <f t="shared" si="29"/>
        <v>biswarup.ghosh@yes.bank.in, SAGAR.CHOUDHARI@yes.bank.in, subhasis.banerjee@yes.bank.in,nitesh.madhavi@yes.bank.in, rizwan.quraishi@yes.bank.in, sourabh.parihar@yes.bank.in, kravi.kumar@yes.bank.in, sudip.manna@yes.bank.in, abhishek.kumar84@yes.bank.in,lonika.kotekar@yes.bank.in,shirajahmed.habib@yes.bank.in,Gaurav@kgac.in,AmanM@kgac.in,hariom@kgac.in</v>
      </c>
      <c r="S173" s="85" t="s">
        <v>3447</v>
      </c>
      <c r="T173" s="84" t="s">
        <v>3448</v>
      </c>
      <c r="U173" s="84" t="s">
        <v>3425</v>
      </c>
      <c r="V173" s="84"/>
    </row>
    <row r="174" spans="1:22" x14ac:dyDescent="0.3">
      <c r="A174" s="1">
        <v>197</v>
      </c>
      <c r="B174" s="1" t="s">
        <v>60</v>
      </c>
      <c r="C174" s="2" t="s">
        <v>60</v>
      </c>
      <c r="D174" s="3" t="s">
        <v>103</v>
      </c>
      <c r="E174" s="3" t="s">
        <v>1621</v>
      </c>
      <c r="F174" s="3" t="s">
        <v>342</v>
      </c>
      <c r="G174" s="88" t="s">
        <v>1417</v>
      </c>
      <c r="H174" s="96">
        <v>1</v>
      </c>
      <c r="I174" s="3" t="s">
        <v>1399</v>
      </c>
      <c r="J174" s="7" t="s">
        <v>1904</v>
      </c>
      <c r="K174" s="4"/>
      <c r="L174" s="4" t="s">
        <v>3172</v>
      </c>
      <c r="M174" s="86" t="s">
        <v>3093</v>
      </c>
      <c r="N174" s="86" t="s">
        <v>3094</v>
      </c>
      <c r="O174" s="86"/>
      <c r="P174" s="86"/>
      <c r="Q174" s="86" t="s">
        <v>3172</v>
      </c>
      <c r="R174" s="86" t="str">
        <f t="shared" si="29"/>
        <v>biswarup.ghosh@yes.bank.in, SAGAR.CHOUDHARI@yes.bank.in, subhasis.banerjee@yes.bank.in,nitesh.madhavi@yes.bank.in, rizwan.quraishi@yes.bank.in, sourabh.parihar@yes.bank.in, kravi.kumar@yes.bank.in, sudip.manna@yes.bank.in, abhishek.kumar84@yes.bank.in,lonika.kotekar@yes.bank.in,shirajahmed.habib@yes.bank.in,Gaurav@kgac.in,AmanM@kgac.in,hariom@kgac.in</v>
      </c>
      <c r="S174" s="85" t="s">
        <v>3449</v>
      </c>
      <c r="T174" s="84" t="s">
        <v>3450</v>
      </c>
      <c r="U174" s="84" t="s">
        <v>3425</v>
      </c>
      <c r="V174" s="84"/>
    </row>
    <row r="175" spans="1:22" x14ac:dyDescent="0.3">
      <c r="A175" s="1">
        <v>198</v>
      </c>
      <c r="B175" s="1" t="s">
        <v>60</v>
      </c>
      <c r="C175" s="2" t="s">
        <v>60</v>
      </c>
      <c r="D175" s="3" t="s">
        <v>40</v>
      </c>
      <c r="E175" s="3" t="s">
        <v>129</v>
      </c>
      <c r="F175" s="3" t="s">
        <v>129</v>
      </c>
      <c r="G175" s="88" t="s">
        <v>1417</v>
      </c>
      <c r="H175" s="96">
        <v>1</v>
      </c>
      <c r="I175" s="3" t="s">
        <v>1327</v>
      </c>
      <c r="J175" s="7" t="s">
        <v>1904</v>
      </c>
      <c r="K175" s="4"/>
      <c r="L175" s="4" t="s">
        <v>3175</v>
      </c>
      <c r="M175" s="86" t="s">
        <v>3095</v>
      </c>
      <c r="N175" s="86" t="s">
        <v>2944</v>
      </c>
      <c r="O175" s="86"/>
      <c r="P175" s="86"/>
      <c r="Q175" s="86" t="s">
        <v>3175</v>
      </c>
      <c r="R175" s="86" t="str">
        <f t="shared" si="29"/>
        <v>abhinav.lal2@yes.bank.in,abhinav.lal2@yes.bank.in, gopal.khatri@yes.bank.in,lonika.kotekar@yes.bank.in,shirajahmed.habib@yes.bank.in,Gaurav@kgac.in,AmanM@kgac.in,hariom@kgac.in</v>
      </c>
      <c r="S175" s="85" t="s">
        <v>3451</v>
      </c>
      <c r="T175" s="84" t="s">
        <v>3452</v>
      </c>
      <c r="U175" s="84" t="s">
        <v>2253</v>
      </c>
      <c r="V175" s="84"/>
    </row>
    <row r="176" spans="1:22" x14ac:dyDescent="0.3">
      <c r="A176" s="1">
        <v>199</v>
      </c>
      <c r="B176" s="1" t="s">
        <v>60</v>
      </c>
      <c r="C176" s="2" t="s">
        <v>60</v>
      </c>
      <c r="D176" s="3" t="s">
        <v>40</v>
      </c>
      <c r="E176" s="3" t="s">
        <v>129</v>
      </c>
      <c r="F176" s="3" t="s">
        <v>129</v>
      </c>
      <c r="G176" s="88" t="s">
        <v>1417</v>
      </c>
      <c r="H176" s="96">
        <v>1</v>
      </c>
      <c r="I176" s="3" t="s">
        <v>1852</v>
      </c>
      <c r="J176" s="7" t="s">
        <v>1904</v>
      </c>
      <c r="K176" s="4"/>
      <c r="L176" s="4" t="s">
        <v>3175</v>
      </c>
      <c r="M176" s="86" t="s">
        <v>3096</v>
      </c>
      <c r="N176" s="86" t="s">
        <v>3097</v>
      </c>
      <c r="O176" s="86"/>
      <c r="P176" s="86"/>
      <c r="Q176" s="86" t="s">
        <v>3175</v>
      </c>
      <c r="R176" s="86" t="str">
        <f t="shared" si="29"/>
        <v>sanjeev.kumar30@yes.bank.in, sameer.dhar@yes.bank.in, subhasis.banerjee@yes.bank.in,sushim.kumar@yes.bank.in, narinder.singh3@yes.bank.in, rittin.arya@yes.bank.in, manpreet.singh35@yes.bank.in,lonika.kotekar@yes.bank.in,shirajahmed.habib@yes.bank.in,Gaurav@kgac.in,AmanM@kgac.in,hariom@kgac.in</v>
      </c>
      <c r="S176" s="85" t="s">
        <v>3453</v>
      </c>
      <c r="T176" s="84" t="s">
        <v>3454</v>
      </c>
      <c r="U176" s="84" t="s">
        <v>2253</v>
      </c>
      <c r="V176" s="84"/>
    </row>
    <row r="177" spans="1:22" x14ac:dyDescent="0.3">
      <c r="A177" s="1">
        <v>200</v>
      </c>
      <c r="B177" s="1" t="s">
        <v>60</v>
      </c>
      <c r="C177" s="2" t="s">
        <v>60</v>
      </c>
      <c r="D177" s="3" t="s">
        <v>40</v>
      </c>
      <c r="E177" s="3" t="s">
        <v>129</v>
      </c>
      <c r="F177" s="3" t="s">
        <v>129</v>
      </c>
      <c r="G177" s="88" t="s">
        <v>1417</v>
      </c>
      <c r="H177" s="96">
        <v>1</v>
      </c>
      <c r="I177" s="3" t="s">
        <v>1328</v>
      </c>
      <c r="J177" s="7" t="s">
        <v>1904</v>
      </c>
      <c r="K177" s="4"/>
      <c r="L177" s="4" t="s">
        <v>3175</v>
      </c>
      <c r="M177" s="86" t="s">
        <v>3070</v>
      </c>
      <c r="N177" s="86" t="s">
        <v>2944</v>
      </c>
      <c r="O177" s="86"/>
      <c r="P177" s="86"/>
      <c r="Q177" s="86" t="s">
        <v>3175</v>
      </c>
      <c r="R177" s="86" t="str">
        <f t="shared" si="29"/>
        <v>abhinav.lal2@yes.bank.in,shyam.parkash@yes.bank.in,lonika.kotekar@yes.bank.in,shirajahmed.habib@yes.bank.in,Gaurav@kgac.in,AmanM@kgac.in,hariom@kgac.in</v>
      </c>
      <c r="S177" s="85" t="s">
        <v>3455</v>
      </c>
      <c r="T177" s="84" t="s">
        <v>3456</v>
      </c>
      <c r="U177" s="84" t="s">
        <v>2253</v>
      </c>
      <c r="V177" s="84"/>
    </row>
    <row r="178" spans="1:22" x14ac:dyDescent="0.3">
      <c r="A178" s="1">
        <v>201</v>
      </c>
      <c r="B178" s="1" t="s">
        <v>60</v>
      </c>
      <c r="C178" s="2" t="s">
        <v>60</v>
      </c>
      <c r="D178" s="3" t="s">
        <v>40</v>
      </c>
      <c r="E178" s="3" t="s">
        <v>129</v>
      </c>
      <c r="F178" s="3" t="s">
        <v>129</v>
      </c>
      <c r="G178" s="88" t="s">
        <v>1417</v>
      </c>
      <c r="H178" s="96">
        <v>1</v>
      </c>
      <c r="I178" s="3" t="s">
        <v>1389</v>
      </c>
      <c r="J178" s="7" t="s">
        <v>1904</v>
      </c>
      <c r="K178" s="4"/>
      <c r="L178" s="4" t="s">
        <v>3176</v>
      </c>
      <c r="M178" s="86" t="s">
        <v>3096</v>
      </c>
      <c r="N178" s="86" t="s">
        <v>3097</v>
      </c>
      <c r="O178" s="86"/>
      <c r="P178" s="86"/>
      <c r="Q178" s="86" t="s">
        <v>3176</v>
      </c>
      <c r="R178" s="86" t="str">
        <f t="shared" si="29"/>
        <v>sanjeev.kumar30@yes.bank.in, sameer.dhar@yes.bank.in, subhasis.banerjee@yes.bank.in,sushim.kumar@yes.bank.in, narinder.singh3@yes.bank.in, rittin.arya@yes.bank.in, manpreet.singh35@yes.bank.in,lonika.kotekar@yes.bank.in,shirajahmed.habib@yes.bank.in,Gaurav@kgac.in,AmanM@kgac.in,hariom@kgac.in</v>
      </c>
      <c r="S178" s="85" t="s">
        <v>3457</v>
      </c>
      <c r="T178" s="84" t="s">
        <v>3458</v>
      </c>
      <c r="U178" s="84" t="s">
        <v>2253</v>
      </c>
      <c r="V178" s="84"/>
    </row>
    <row r="179" spans="1:22" x14ac:dyDescent="0.3">
      <c r="A179" s="1">
        <v>202</v>
      </c>
      <c r="B179" s="1" t="s">
        <v>60</v>
      </c>
      <c r="C179" s="2" t="s">
        <v>60</v>
      </c>
      <c r="D179" s="3" t="s">
        <v>40</v>
      </c>
      <c r="E179" s="3" t="s">
        <v>129</v>
      </c>
      <c r="F179" s="3" t="s">
        <v>129</v>
      </c>
      <c r="G179" s="88" t="s">
        <v>1417</v>
      </c>
      <c r="H179" s="96">
        <v>1</v>
      </c>
      <c r="I179" s="3" t="s">
        <v>1393</v>
      </c>
      <c r="J179" s="7" t="s">
        <v>1904</v>
      </c>
      <c r="K179" s="4"/>
      <c r="L179" s="4" t="s">
        <v>3175</v>
      </c>
      <c r="M179" s="86" t="s">
        <v>3096</v>
      </c>
      <c r="N179" s="86" t="s">
        <v>3097</v>
      </c>
      <c r="O179" s="86"/>
      <c r="P179" s="86"/>
      <c r="Q179" s="86" t="s">
        <v>3175</v>
      </c>
      <c r="R179" s="86" t="str">
        <f t="shared" si="29"/>
        <v>sanjeev.kumar30@yes.bank.in, sameer.dhar@yes.bank.in, subhasis.banerjee@yes.bank.in,sushim.kumar@yes.bank.in, narinder.singh3@yes.bank.in, rittin.arya@yes.bank.in, manpreet.singh35@yes.bank.in,lonika.kotekar@yes.bank.in,shirajahmed.habib@yes.bank.in,Gaurav@kgac.in,AmanM@kgac.in,hariom@kgac.in</v>
      </c>
      <c r="S179" s="85" t="s">
        <v>3459</v>
      </c>
      <c r="T179" s="84" t="s">
        <v>3460</v>
      </c>
      <c r="U179" s="84" t="s">
        <v>2253</v>
      </c>
      <c r="V179" s="84"/>
    </row>
    <row r="180" spans="1:22" x14ac:dyDescent="0.3">
      <c r="A180" s="1">
        <v>203</v>
      </c>
      <c r="B180" s="1" t="s">
        <v>60</v>
      </c>
      <c r="C180" s="2" t="s">
        <v>60</v>
      </c>
      <c r="D180" s="3" t="s">
        <v>40</v>
      </c>
      <c r="E180" s="3" t="s">
        <v>129</v>
      </c>
      <c r="F180" s="3" t="s">
        <v>129</v>
      </c>
      <c r="G180" s="88" t="s">
        <v>1417</v>
      </c>
      <c r="H180" s="96">
        <v>1</v>
      </c>
      <c r="I180" s="3" t="s">
        <v>1392</v>
      </c>
      <c r="J180" s="7" t="s">
        <v>1904</v>
      </c>
      <c r="K180" s="4"/>
      <c r="L180" s="4" t="s">
        <v>3175</v>
      </c>
      <c r="M180" s="86" t="s">
        <v>3098</v>
      </c>
      <c r="N180" s="86" t="s">
        <v>2944</v>
      </c>
      <c r="O180" s="86"/>
      <c r="P180" s="86"/>
      <c r="Q180" s="86" t="s">
        <v>3175</v>
      </c>
      <c r="R180" s="86" t="str">
        <f t="shared" si="29"/>
        <v>abhinav.lal2@yes.bank.in,ravi.parkash1@yes.bank.in, shyam.parkash@yes.bank.in,lonika.kotekar@yes.bank.in,shirajahmed.habib@yes.bank.in,Gaurav@kgac.in,AmanM@kgac.in,hariom@kgac.in</v>
      </c>
      <c r="S180" s="85" t="s">
        <v>3461</v>
      </c>
      <c r="T180" s="84" t="s">
        <v>3462</v>
      </c>
      <c r="U180" s="84" t="s">
        <v>2253</v>
      </c>
      <c r="V180" s="84"/>
    </row>
    <row r="181" spans="1:22" x14ac:dyDescent="0.3">
      <c r="A181" s="1">
        <v>204</v>
      </c>
      <c r="B181" s="1" t="s">
        <v>60</v>
      </c>
      <c r="C181" s="2" t="s">
        <v>60</v>
      </c>
      <c r="D181" s="3" t="s">
        <v>40</v>
      </c>
      <c r="E181" s="3" t="s">
        <v>96</v>
      </c>
      <c r="F181" s="3" t="s">
        <v>1553</v>
      </c>
      <c r="G181" s="88" t="s">
        <v>1417</v>
      </c>
      <c r="H181" s="96">
        <v>1</v>
      </c>
      <c r="I181" s="3" t="s">
        <v>1294</v>
      </c>
      <c r="J181" s="7" t="s">
        <v>1904</v>
      </c>
      <c r="K181" s="4"/>
      <c r="L181" s="4" t="s">
        <v>3177</v>
      </c>
      <c r="M181" s="86" t="s">
        <v>3099</v>
      </c>
      <c r="N181" s="86" t="s">
        <v>3100</v>
      </c>
      <c r="O181" s="86"/>
      <c r="P181" s="86"/>
      <c r="Q181" s="86" t="s">
        <v>3177</v>
      </c>
      <c r="R181" s="86" t="str">
        <f t="shared" si="29"/>
        <v>abhinav.lal2@yes.bank.in, sanjeev.kumar30@yes.bank.in, sameer.dhar@yes.bank.in,shyam.parkash@yes.bank.in, maninder.kumar@yes.bank.in,lonika.kotekar@yes.bank.in,shirajahmed.habib@yes.bank.in,Gaurav@kgac.in,AmanM@kgac.in,hariom@kgac.in</v>
      </c>
      <c r="S181" s="85" t="s">
        <v>3463</v>
      </c>
      <c r="T181" s="84" t="s">
        <v>3464</v>
      </c>
      <c r="U181" s="84" t="s">
        <v>2253</v>
      </c>
      <c r="V181" s="84"/>
    </row>
    <row r="182" spans="1:22" x14ac:dyDescent="0.3">
      <c r="A182" s="1">
        <v>205</v>
      </c>
      <c r="B182" s="1" t="s">
        <v>60</v>
      </c>
      <c r="C182" s="2" t="s">
        <v>60</v>
      </c>
      <c r="D182" s="3" t="s">
        <v>40</v>
      </c>
      <c r="E182" s="3" t="s">
        <v>96</v>
      </c>
      <c r="F182" s="3" t="s">
        <v>1580</v>
      </c>
      <c r="G182" s="88" t="s">
        <v>1417</v>
      </c>
      <c r="H182" s="96">
        <v>1</v>
      </c>
      <c r="I182" s="3" t="s">
        <v>1334</v>
      </c>
      <c r="J182" s="7" t="s">
        <v>1904</v>
      </c>
      <c r="K182" s="4"/>
      <c r="L182" s="4" t="s">
        <v>3175</v>
      </c>
      <c r="M182" s="86" t="s">
        <v>3096</v>
      </c>
      <c r="N182" s="86" t="s">
        <v>3097</v>
      </c>
      <c r="O182" s="86"/>
      <c r="P182" s="86"/>
      <c r="Q182" s="86" t="s">
        <v>3175</v>
      </c>
      <c r="R182" s="86" t="str">
        <f t="shared" si="29"/>
        <v>sanjeev.kumar30@yes.bank.in, sameer.dhar@yes.bank.in, subhasis.banerjee@yes.bank.in,sushim.kumar@yes.bank.in, narinder.singh3@yes.bank.in, rittin.arya@yes.bank.in, manpreet.singh35@yes.bank.in,lonika.kotekar@yes.bank.in,shirajahmed.habib@yes.bank.in,Gaurav@kgac.in,AmanM@kgac.in,hariom@kgac.in</v>
      </c>
      <c r="S182" s="85" t="s">
        <v>3465</v>
      </c>
      <c r="T182" s="84" t="s">
        <v>3466</v>
      </c>
      <c r="U182" s="84" t="s">
        <v>2253</v>
      </c>
      <c r="V182" s="84"/>
    </row>
    <row r="183" spans="1:22" x14ac:dyDescent="0.3">
      <c r="A183" s="1">
        <v>206</v>
      </c>
      <c r="B183" s="1" t="s">
        <v>60</v>
      </c>
      <c r="C183" s="2" t="s">
        <v>60</v>
      </c>
      <c r="D183" s="3" t="s">
        <v>40</v>
      </c>
      <c r="E183" s="3" t="s">
        <v>96</v>
      </c>
      <c r="F183" s="3" t="s">
        <v>1591</v>
      </c>
      <c r="G183" s="88" t="s">
        <v>1417</v>
      </c>
      <c r="H183" s="96">
        <v>1</v>
      </c>
      <c r="I183" s="3" t="s">
        <v>1361</v>
      </c>
      <c r="J183" s="7" t="s">
        <v>1904</v>
      </c>
      <c r="K183" s="4"/>
      <c r="L183" s="4" t="s">
        <v>3178</v>
      </c>
      <c r="M183" s="86" t="s">
        <v>3101</v>
      </c>
      <c r="N183" s="86" t="s">
        <v>3102</v>
      </c>
      <c r="O183" s="86"/>
      <c r="P183" s="86"/>
      <c r="Q183" s="86" t="s">
        <v>3178</v>
      </c>
      <c r="R183" s="86" t="str">
        <f t="shared" si="29"/>
        <v>abhinav.lal2@yes.bank.in, sanjeev.kumar30@yes.bank.in,shyam.parkash@yes.bank.in, rittin.arya@yes.bank.in, narinder.singh3@yes.bank.in,lonika.kotekar@yes.bank.in,shirajahmed.habib@yes.bank.in,Gaurav@kgac.in,AmanM@kgac.in,hariom@kgac.in</v>
      </c>
      <c r="S183" s="85" t="s">
        <v>3467</v>
      </c>
      <c r="T183" s="84" t="s">
        <v>3468</v>
      </c>
      <c r="U183" s="84" t="s">
        <v>2253</v>
      </c>
      <c r="V183" s="84"/>
    </row>
    <row r="184" spans="1:22" x14ac:dyDescent="0.3">
      <c r="A184" s="1">
        <v>207</v>
      </c>
      <c r="B184" s="1" t="s">
        <v>60</v>
      </c>
      <c r="C184" s="2" t="s">
        <v>60</v>
      </c>
      <c r="D184" s="3" t="s">
        <v>40</v>
      </c>
      <c r="E184" s="3" t="s">
        <v>96</v>
      </c>
      <c r="F184" s="3" t="s">
        <v>1593</v>
      </c>
      <c r="G184" s="88" t="s">
        <v>1417</v>
      </c>
      <c r="H184" s="96">
        <v>1</v>
      </c>
      <c r="I184" s="3" t="s">
        <v>1363</v>
      </c>
      <c r="J184" s="7" t="s">
        <v>1904</v>
      </c>
      <c r="K184" s="4"/>
      <c r="L184" s="4" t="s">
        <v>3171</v>
      </c>
      <c r="M184" s="86" t="s">
        <v>3070</v>
      </c>
      <c r="N184" s="86" t="s">
        <v>3104</v>
      </c>
      <c r="O184" s="86"/>
      <c r="P184" s="86"/>
      <c r="Q184" s="86" t="s">
        <v>3171</v>
      </c>
      <c r="R184" s="86" t="str">
        <f t="shared" si="29"/>
        <v>rajnish.dwivedi@yes.bank.in,shyam.parkash@yes.bank.in,lonika.kotekar@yes.bank.in,shirajahmed.habib@yes.bank.in,Gaurav@kgac.in,AmanM@kgac.in,hariom@kgac.in</v>
      </c>
      <c r="S184" s="85" t="s">
        <v>3469</v>
      </c>
      <c r="T184" s="84" t="s">
        <v>3470</v>
      </c>
      <c r="U184" s="84" t="s">
        <v>2253</v>
      </c>
      <c r="V184" s="84"/>
    </row>
    <row r="185" spans="1:22" x14ac:dyDescent="0.3">
      <c r="A185" s="1">
        <v>208</v>
      </c>
      <c r="B185" s="1" t="s">
        <v>60</v>
      </c>
      <c r="C185" s="2" t="s">
        <v>60</v>
      </c>
      <c r="D185" s="3" t="s">
        <v>40</v>
      </c>
      <c r="E185" s="3" t="s">
        <v>96</v>
      </c>
      <c r="F185" s="3" t="s">
        <v>1593</v>
      </c>
      <c r="G185" s="88" t="s">
        <v>1417</v>
      </c>
      <c r="H185" s="96">
        <v>1</v>
      </c>
      <c r="I185" s="3" t="s">
        <v>44</v>
      </c>
      <c r="J185" s="7" t="s">
        <v>1904</v>
      </c>
      <c r="K185" s="4"/>
      <c r="L185" s="4" t="s">
        <v>3171</v>
      </c>
      <c r="M185" s="86" t="s">
        <v>3103</v>
      </c>
      <c r="N185" s="86" t="s">
        <v>3104</v>
      </c>
      <c r="O185" s="86"/>
      <c r="P185" s="86"/>
      <c r="Q185" s="86" t="s">
        <v>3405</v>
      </c>
      <c r="R185" s="86" t="str">
        <f t="shared" si="29"/>
        <v>rajnish.dwivedi@yes.bank.in,nitesh.madhavi@yes.bank.in, kushpal.singh@yes.bank.in,lonika.kotekar@yes.bank.in,shirajahmed.habib@yes.bank.in,Gaurav@kgac.in,AmanM@kgac.in,hariom@kgac.in</v>
      </c>
      <c r="S185" s="85" t="s">
        <v>3471</v>
      </c>
      <c r="T185" s="84" t="s">
        <v>3472</v>
      </c>
      <c r="U185" s="84" t="s">
        <v>2253</v>
      </c>
      <c r="V185" s="84"/>
    </row>
    <row r="186" spans="1:22" x14ac:dyDescent="0.3">
      <c r="A186" s="1">
        <v>209</v>
      </c>
      <c r="B186" s="1" t="s">
        <v>60</v>
      </c>
      <c r="C186" s="2" t="s">
        <v>60</v>
      </c>
      <c r="D186" s="3" t="s">
        <v>40</v>
      </c>
      <c r="E186" s="3" t="s">
        <v>96</v>
      </c>
      <c r="F186" s="3" t="s">
        <v>1595</v>
      </c>
      <c r="G186" s="88" t="s">
        <v>1417</v>
      </c>
      <c r="H186" s="96">
        <v>1</v>
      </c>
      <c r="I186" s="3" t="s">
        <v>1371</v>
      </c>
      <c r="J186" s="7" t="s">
        <v>1904</v>
      </c>
      <c r="K186" s="4"/>
      <c r="L186" s="4" t="s">
        <v>3179</v>
      </c>
      <c r="M186" s="86" t="s">
        <v>3105</v>
      </c>
      <c r="N186" s="86" t="s">
        <v>3106</v>
      </c>
      <c r="O186" s="86"/>
      <c r="P186" s="86"/>
      <c r="Q186" s="86" t="s">
        <v>3179</v>
      </c>
      <c r="R186" s="86" t="str">
        <f t="shared" si="29"/>
        <v>sameer.dhar@yes.bank.in, sanjeev.kumar30@yes.bank.in, abhinav.lal2@yes.bank.in,kushpal.singh@yes.bank.in, pawan.kumar47@yes.bank.in,lonika.kotekar@yes.bank.in,shirajahmed.habib@yes.bank.in,Gaurav@kgac.in,AmanM@kgac.in,hariom@kgac.in</v>
      </c>
      <c r="S186" s="85" t="s">
        <v>3473</v>
      </c>
      <c r="T186" s="84" t="s">
        <v>3474</v>
      </c>
      <c r="U186" s="84" t="s">
        <v>2253</v>
      </c>
      <c r="V186" s="84"/>
    </row>
    <row r="187" spans="1:22" x14ac:dyDescent="0.3">
      <c r="A187" s="1">
        <v>210</v>
      </c>
      <c r="B187" s="1" t="s">
        <v>60</v>
      </c>
      <c r="C187" s="2" t="s">
        <v>60</v>
      </c>
      <c r="D187" s="3" t="s">
        <v>40</v>
      </c>
      <c r="E187" s="3" t="s">
        <v>96</v>
      </c>
      <c r="F187" s="3" t="s">
        <v>1595</v>
      </c>
      <c r="G187" s="88" t="s">
        <v>1417</v>
      </c>
      <c r="H187" s="96">
        <v>1</v>
      </c>
      <c r="I187" s="3" t="s">
        <v>1370</v>
      </c>
      <c r="J187" s="7" t="s">
        <v>1904</v>
      </c>
      <c r="K187" s="4"/>
      <c r="L187" s="4" t="s">
        <v>3177</v>
      </c>
      <c r="M187" s="86" t="s">
        <v>3070</v>
      </c>
      <c r="N187" s="86" t="s">
        <v>3106</v>
      </c>
      <c r="O187" s="86"/>
      <c r="P187" s="86"/>
      <c r="Q187" s="86" t="s">
        <v>3177</v>
      </c>
      <c r="R187" s="86" t="str">
        <f t="shared" si="29"/>
        <v>sameer.dhar@yes.bank.in, sanjeev.kumar30@yes.bank.in, abhinav.lal2@yes.bank.in,shyam.parkash@yes.bank.in,lonika.kotekar@yes.bank.in,shirajahmed.habib@yes.bank.in,Gaurav@kgac.in,AmanM@kgac.in,hariom@kgac.in</v>
      </c>
      <c r="S187" s="85" t="s">
        <v>3475</v>
      </c>
      <c r="T187" s="84" t="s">
        <v>3476</v>
      </c>
      <c r="U187" s="84" t="s">
        <v>2253</v>
      </c>
      <c r="V187" s="84"/>
    </row>
    <row r="188" spans="1:22" x14ac:dyDescent="0.3">
      <c r="A188" s="1">
        <v>211</v>
      </c>
      <c r="B188" s="1" t="s">
        <v>60</v>
      </c>
      <c r="C188" s="2" t="s">
        <v>60</v>
      </c>
      <c r="D188" s="3" t="s">
        <v>40</v>
      </c>
      <c r="E188" s="3" t="s">
        <v>96</v>
      </c>
      <c r="F188" s="3" t="s">
        <v>1616</v>
      </c>
      <c r="G188" s="88" t="s">
        <v>1417</v>
      </c>
      <c r="H188" s="96">
        <v>1</v>
      </c>
      <c r="I188" s="3" t="s">
        <v>1409</v>
      </c>
      <c r="J188" s="7" t="s">
        <v>1904</v>
      </c>
      <c r="K188" s="4"/>
      <c r="L188" s="4" t="s">
        <v>3178</v>
      </c>
      <c r="M188" s="86" t="s">
        <v>3070</v>
      </c>
      <c r="N188" s="86" t="s">
        <v>2944</v>
      </c>
      <c r="O188" s="86"/>
      <c r="P188" s="86"/>
      <c r="Q188" s="86" t="s">
        <v>3178</v>
      </c>
      <c r="R188" s="86" t="str">
        <f t="shared" si="29"/>
        <v>abhinav.lal2@yes.bank.in,shyam.parkash@yes.bank.in,lonika.kotekar@yes.bank.in,shirajahmed.habib@yes.bank.in,Gaurav@kgac.in,AmanM@kgac.in,hariom@kgac.in</v>
      </c>
      <c r="S188" s="85" t="s">
        <v>3477</v>
      </c>
      <c r="T188" s="84" t="s">
        <v>3478</v>
      </c>
      <c r="U188" s="84" t="s">
        <v>2253</v>
      </c>
      <c r="V188" s="84"/>
    </row>
    <row r="189" spans="1:22" x14ac:dyDescent="0.3">
      <c r="A189" s="1">
        <v>212</v>
      </c>
      <c r="B189" s="1" t="s">
        <v>60</v>
      </c>
      <c r="C189" s="2" t="s">
        <v>60</v>
      </c>
      <c r="D189" s="3" t="s">
        <v>40</v>
      </c>
      <c r="E189" s="3" t="s">
        <v>351</v>
      </c>
      <c r="F189" s="3" t="s">
        <v>351</v>
      </c>
      <c r="G189" s="88" t="s">
        <v>1417</v>
      </c>
      <c r="H189" s="96">
        <v>1</v>
      </c>
      <c r="I189" s="3" t="s">
        <v>1357</v>
      </c>
      <c r="J189" s="7" t="s">
        <v>1904</v>
      </c>
      <c r="K189" s="4"/>
      <c r="L189" s="4" t="s">
        <v>3180</v>
      </c>
      <c r="M189" s="86" t="s">
        <v>3046</v>
      </c>
      <c r="N189" s="86" t="s">
        <v>3121</v>
      </c>
      <c r="O189" s="86"/>
      <c r="P189" s="86"/>
      <c r="Q189" s="86" t="s">
        <v>3180</v>
      </c>
      <c r="R189" s="86" t="str">
        <f t="shared" si="29"/>
        <v>sanjeev.kumar30@yes.bank.in, sameer.dhar@yes.bank.in,kushpal.singh@yes.bank.in,lonika.kotekar@yes.bank.in,shirajahmed.habib@yes.bank.in,Gaurav@kgac.in,AmanM@kgac.in,hariom@kgac.in</v>
      </c>
      <c r="S189" s="85" t="s">
        <v>3479</v>
      </c>
      <c r="T189" s="84" t="s">
        <v>3480</v>
      </c>
      <c r="U189" s="84" t="s">
        <v>2240</v>
      </c>
      <c r="V189" s="84"/>
    </row>
    <row r="190" spans="1:22" x14ac:dyDescent="0.3">
      <c r="A190" s="1">
        <v>213</v>
      </c>
      <c r="B190" s="1" t="s">
        <v>60</v>
      </c>
      <c r="C190" s="2" t="s">
        <v>60</v>
      </c>
      <c r="D190" s="3" t="s">
        <v>40</v>
      </c>
      <c r="E190" s="3" t="s">
        <v>351</v>
      </c>
      <c r="F190" s="3" t="s">
        <v>1618</v>
      </c>
      <c r="G190" s="88" t="s">
        <v>1417</v>
      </c>
      <c r="H190" s="96">
        <v>1</v>
      </c>
      <c r="I190" s="3" t="s">
        <v>1412</v>
      </c>
      <c r="J190" s="7" t="s">
        <v>1904</v>
      </c>
      <c r="K190" s="4"/>
      <c r="L190" s="4" t="s">
        <v>3180</v>
      </c>
      <c r="M190" s="86" t="s">
        <v>3046</v>
      </c>
      <c r="N190" s="86" t="s">
        <v>3121</v>
      </c>
      <c r="O190" s="86"/>
      <c r="P190" s="86"/>
      <c r="Q190" s="86" t="s">
        <v>3180</v>
      </c>
      <c r="R190" s="86" t="str">
        <f t="shared" si="29"/>
        <v>sanjeev.kumar30@yes.bank.in, sameer.dhar@yes.bank.in,kushpal.singh@yes.bank.in,lonika.kotekar@yes.bank.in,shirajahmed.habib@yes.bank.in,Gaurav@kgac.in,AmanM@kgac.in,hariom@kgac.in</v>
      </c>
      <c r="S190" s="85" t="s">
        <v>3481</v>
      </c>
      <c r="T190" s="84" t="s">
        <v>3482</v>
      </c>
      <c r="U190" s="84" t="s">
        <v>2240</v>
      </c>
      <c r="V190" s="84"/>
    </row>
    <row r="191" spans="1:22" x14ac:dyDescent="0.3">
      <c r="A191" s="1">
        <v>214</v>
      </c>
      <c r="B191" s="1" t="s">
        <v>60</v>
      </c>
      <c r="C191" s="2" t="s">
        <v>60</v>
      </c>
      <c r="D191" s="3" t="s">
        <v>40</v>
      </c>
      <c r="E191" s="3" t="s">
        <v>465</v>
      </c>
      <c r="F191" s="3" t="s">
        <v>1576</v>
      </c>
      <c r="G191" s="88" t="s">
        <v>1417</v>
      </c>
      <c r="H191" s="96">
        <v>1</v>
      </c>
      <c r="I191" s="3" t="s">
        <v>1330</v>
      </c>
      <c r="J191" s="7" t="s">
        <v>1904</v>
      </c>
      <c r="K191" s="4"/>
      <c r="L191" s="4" t="s">
        <v>3181</v>
      </c>
      <c r="M191" s="86" t="s">
        <v>3107</v>
      </c>
      <c r="N191" s="86" t="s">
        <v>3043</v>
      </c>
      <c r="O191" s="86"/>
      <c r="P191" s="86"/>
      <c r="Q191" s="86" t="s">
        <v>3181</v>
      </c>
      <c r="R191" s="86" t="str">
        <f t="shared" si="29"/>
        <v>biswarup.ghosh@yes.bank.in,santosh.thakur@yes.bank.in, nishant.kumar16@yes.bank.in, shyam.parkash@yes.bank.in,lonika.kotekar@yes.bank.in,shirajahmed.habib@yes.bank.in,Gaurav@kgac.in,AmanM@kgac.in,hariom@kgac.in</v>
      </c>
      <c r="S191" s="85" t="s">
        <v>3483</v>
      </c>
      <c r="T191" s="84" t="s">
        <v>3484</v>
      </c>
      <c r="U191" s="84" t="s">
        <v>2240</v>
      </c>
      <c r="V191" s="84"/>
    </row>
    <row r="192" spans="1:22" x14ac:dyDescent="0.3">
      <c r="A192" s="1">
        <v>215</v>
      </c>
      <c r="B192" s="1" t="s">
        <v>60</v>
      </c>
      <c r="C192" s="2" t="s">
        <v>60</v>
      </c>
      <c r="D192" s="3" t="s">
        <v>40</v>
      </c>
      <c r="E192" s="3" t="s">
        <v>465</v>
      </c>
      <c r="F192" s="3" t="s">
        <v>1587</v>
      </c>
      <c r="G192" s="88" t="s">
        <v>1417</v>
      </c>
      <c r="H192" s="96">
        <v>1</v>
      </c>
      <c r="I192" s="3" t="s">
        <v>1347</v>
      </c>
      <c r="J192" s="7" t="s">
        <v>1904</v>
      </c>
      <c r="K192" s="4"/>
      <c r="L192" s="4" t="s">
        <v>3181</v>
      </c>
      <c r="M192" s="86" t="s">
        <v>3108</v>
      </c>
      <c r="N192" s="86" t="s">
        <v>3043</v>
      </c>
      <c r="O192" s="86"/>
      <c r="P192" s="86"/>
      <c r="Q192" s="86" t="s">
        <v>3181</v>
      </c>
      <c r="R192" s="86" t="str">
        <f t="shared" si="29"/>
        <v>biswarup.ghosh@yes.bank.in,sachin.bharti@yes.bank.in,lonika.kotekar@yes.bank.in,shirajahmed.habib@yes.bank.in,Gaurav@kgac.in,AmanM@kgac.in,hariom@kgac.in</v>
      </c>
      <c r="S192" s="85" t="s">
        <v>3485</v>
      </c>
      <c r="T192" s="84" t="s">
        <v>3486</v>
      </c>
      <c r="U192" s="84" t="s">
        <v>2240</v>
      </c>
      <c r="V192" s="84"/>
    </row>
    <row r="193" spans="1:22" x14ac:dyDescent="0.3">
      <c r="A193" s="1">
        <v>216</v>
      </c>
      <c r="B193" s="1" t="s">
        <v>60</v>
      </c>
      <c r="C193" s="2" t="s">
        <v>60</v>
      </c>
      <c r="D193" s="3" t="s">
        <v>40</v>
      </c>
      <c r="E193" s="3" t="s">
        <v>465</v>
      </c>
      <c r="F193" s="3" t="s">
        <v>801</v>
      </c>
      <c r="G193" s="88" t="s">
        <v>1417</v>
      </c>
      <c r="H193" s="96">
        <v>1</v>
      </c>
      <c r="I193" s="3" t="s">
        <v>1359</v>
      </c>
      <c r="J193" s="7" t="s">
        <v>1904</v>
      </c>
      <c r="K193" s="4"/>
      <c r="L193" s="4" t="s">
        <v>3181</v>
      </c>
      <c r="M193" s="86" t="s">
        <v>3109</v>
      </c>
      <c r="N193" s="86" t="s">
        <v>3110</v>
      </c>
      <c r="O193" s="86"/>
      <c r="P193" s="86"/>
      <c r="Q193" s="86" t="s">
        <v>3181</v>
      </c>
      <c r="R193" s="86" t="str">
        <f t="shared" si="29"/>
        <v>subhasis.banerjee@yes.bank.in, abhinav.lal2@yes.bank.in,amit.singh69@yes.bank.in, sankerbalaji.n@yes.bank.in, shyam.parkash@yes.bank.in,lonika.kotekar@yes.bank.in,shirajahmed.habib@yes.bank.in,Gaurav@kgac.in,AmanM@kgac.in,hariom@kgac.in</v>
      </c>
      <c r="S193" s="85" t="s">
        <v>3487</v>
      </c>
      <c r="T193" s="84" t="s">
        <v>3488</v>
      </c>
      <c r="U193" s="84" t="s">
        <v>2240</v>
      </c>
      <c r="V193" s="84"/>
    </row>
    <row r="194" spans="1:22" x14ac:dyDescent="0.3">
      <c r="A194" s="1">
        <v>217</v>
      </c>
      <c r="B194" s="1" t="s">
        <v>60</v>
      </c>
      <c r="C194" s="2" t="s">
        <v>60</v>
      </c>
      <c r="D194" s="3" t="s">
        <v>40</v>
      </c>
      <c r="E194" s="3" t="s">
        <v>465</v>
      </c>
      <c r="F194" s="3" t="s">
        <v>801</v>
      </c>
      <c r="G194" s="88" t="s">
        <v>1417</v>
      </c>
      <c r="H194" s="96">
        <v>1</v>
      </c>
      <c r="I194" s="3" t="s">
        <v>1360</v>
      </c>
      <c r="J194" s="7" t="s">
        <v>1904</v>
      </c>
      <c r="K194" s="4"/>
      <c r="L194" s="4" t="s">
        <v>3182</v>
      </c>
      <c r="M194" s="86" t="s">
        <v>3111</v>
      </c>
      <c r="N194" s="86" t="s">
        <v>2882</v>
      </c>
      <c r="O194" s="86"/>
      <c r="P194" s="86"/>
      <c r="Q194" s="86" t="s">
        <v>3182</v>
      </c>
      <c r="R194" s="86" t="str">
        <f t="shared" si="29"/>
        <v>subhasis.banerjee@yes.bank.in,amit.singh69@yes.bank.in,lonika.kotekar@yes.bank.in,shirajahmed.habib@yes.bank.in,Gaurav@kgac.in,AmanM@kgac.in,hariom@kgac.in</v>
      </c>
      <c r="S194" s="85" t="s">
        <v>3489</v>
      </c>
      <c r="T194" s="84" t="s">
        <v>3490</v>
      </c>
      <c r="U194" s="84" t="s">
        <v>2240</v>
      </c>
      <c r="V194" s="84"/>
    </row>
    <row r="195" spans="1:22" x14ac:dyDescent="0.3">
      <c r="A195" s="1">
        <v>218</v>
      </c>
      <c r="B195" s="1" t="s">
        <v>60</v>
      </c>
      <c r="C195" s="2" t="s">
        <v>60</v>
      </c>
      <c r="D195" s="3" t="s">
        <v>40</v>
      </c>
      <c r="E195" s="3" t="s">
        <v>465</v>
      </c>
      <c r="F195" s="3" t="s">
        <v>801</v>
      </c>
      <c r="G195" s="88" t="s">
        <v>1417</v>
      </c>
      <c r="H195" s="96">
        <v>1</v>
      </c>
      <c r="I195" s="3" t="s">
        <v>1358</v>
      </c>
      <c r="J195" s="7" t="s">
        <v>1904</v>
      </c>
      <c r="K195" s="4"/>
      <c r="L195" s="4" t="s">
        <v>3183</v>
      </c>
      <c r="M195" s="86" t="s">
        <v>3108</v>
      </c>
      <c r="N195" s="86" t="s">
        <v>3043</v>
      </c>
      <c r="O195" s="86"/>
      <c r="P195" s="86"/>
      <c r="Q195" s="86" t="s">
        <v>3183</v>
      </c>
      <c r="R195" s="86" t="str">
        <f t="shared" ref="R195:R258" si="35">_xlfn.TEXTJOIN(",",TRUE,O195,N195,M195,"lonika.kotekar@yes.bank.in,shirajahmed.habib@yes.bank.in,Gaurav@kgac.in,AmanM@kgac.in,hariom@kgac.in")</f>
        <v>biswarup.ghosh@yes.bank.in,sachin.bharti@yes.bank.in,lonika.kotekar@yes.bank.in,shirajahmed.habib@yes.bank.in,Gaurav@kgac.in,AmanM@kgac.in,hariom@kgac.in</v>
      </c>
      <c r="S195" s="85" t="s">
        <v>3491</v>
      </c>
      <c r="T195" s="84" t="s">
        <v>3492</v>
      </c>
      <c r="U195" s="84" t="s">
        <v>2240</v>
      </c>
      <c r="V195" s="84"/>
    </row>
    <row r="196" spans="1:22" x14ac:dyDescent="0.3">
      <c r="A196" s="1">
        <v>219</v>
      </c>
      <c r="B196" s="1" t="s">
        <v>60</v>
      </c>
      <c r="C196" s="2" t="s">
        <v>60</v>
      </c>
      <c r="D196" s="3" t="s">
        <v>40</v>
      </c>
      <c r="E196" s="3" t="s">
        <v>465</v>
      </c>
      <c r="F196" s="3" t="s">
        <v>1600</v>
      </c>
      <c r="G196" s="88" t="s">
        <v>1417</v>
      </c>
      <c r="H196" s="96">
        <v>1</v>
      </c>
      <c r="I196" s="3" t="s">
        <v>1377</v>
      </c>
      <c r="J196" s="7" t="s">
        <v>1904</v>
      </c>
      <c r="K196" s="4"/>
      <c r="L196" s="4" t="s">
        <v>3181</v>
      </c>
      <c r="M196" s="86" t="s">
        <v>3108</v>
      </c>
      <c r="N196" s="86" t="s">
        <v>3043</v>
      </c>
      <c r="O196" s="86"/>
      <c r="P196" s="86"/>
      <c r="Q196" s="86" t="s">
        <v>3181</v>
      </c>
      <c r="R196" s="86" t="str">
        <f t="shared" si="35"/>
        <v>biswarup.ghosh@yes.bank.in,sachin.bharti@yes.bank.in,lonika.kotekar@yes.bank.in,shirajahmed.habib@yes.bank.in,Gaurav@kgac.in,AmanM@kgac.in,hariom@kgac.in</v>
      </c>
      <c r="S196" s="85" t="s">
        <v>3493</v>
      </c>
      <c r="T196" s="84" t="s">
        <v>3494</v>
      </c>
      <c r="U196" s="84" t="s">
        <v>2240</v>
      </c>
      <c r="V196" s="84"/>
    </row>
    <row r="197" spans="1:22" x14ac:dyDescent="0.3">
      <c r="A197" s="1">
        <v>220</v>
      </c>
      <c r="B197" s="1" t="s">
        <v>60</v>
      </c>
      <c r="C197" s="2" t="s">
        <v>60</v>
      </c>
      <c r="D197" s="3" t="s">
        <v>40</v>
      </c>
      <c r="E197" s="3" t="s">
        <v>465</v>
      </c>
      <c r="F197" s="3" t="s">
        <v>466</v>
      </c>
      <c r="G197" s="88" t="s">
        <v>1417</v>
      </c>
      <c r="H197" s="96">
        <v>1</v>
      </c>
      <c r="I197" s="3" t="s">
        <v>1400</v>
      </c>
      <c r="J197" s="7" t="s">
        <v>1904</v>
      </c>
      <c r="K197" s="4"/>
      <c r="L197" s="4" t="s">
        <v>3181</v>
      </c>
      <c r="M197" s="86" t="s">
        <v>3111</v>
      </c>
      <c r="N197" s="86" t="s">
        <v>2882</v>
      </c>
      <c r="O197" s="86"/>
      <c r="P197" s="86"/>
      <c r="Q197" s="86" t="s">
        <v>3181</v>
      </c>
      <c r="R197" s="86" t="str">
        <f t="shared" si="35"/>
        <v>subhasis.banerjee@yes.bank.in,amit.singh69@yes.bank.in,lonika.kotekar@yes.bank.in,shirajahmed.habib@yes.bank.in,Gaurav@kgac.in,AmanM@kgac.in,hariom@kgac.in</v>
      </c>
      <c r="S197" s="85" t="s">
        <v>3495</v>
      </c>
      <c r="T197" s="84" t="s">
        <v>3496</v>
      </c>
      <c r="U197" s="84" t="s">
        <v>2240</v>
      </c>
      <c r="V197" s="84"/>
    </row>
    <row r="198" spans="1:22" x14ac:dyDescent="0.3">
      <c r="A198" s="1">
        <v>221</v>
      </c>
      <c r="B198" s="1" t="s">
        <v>60</v>
      </c>
      <c r="C198" s="2" t="s">
        <v>60</v>
      </c>
      <c r="D198" s="3" t="s">
        <v>103</v>
      </c>
      <c r="E198" s="3" t="s">
        <v>1622</v>
      </c>
      <c r="F198" s="3" t="s">
        <v>1589</v>
      </c>
      <c r="G198" s="88" t="s">
        <v>1417</v>
      </c>
      <c r="H198" s="96">
        <v>1</v>
      </c>
      <c r="I198" s="3" t="s">
        <v>1350</v>
      </c>
      <c r="J198" s="7" t="s">
        <v>1904</v>
      </c>
      <c r="K198" s="4"/>
      <c r="L198" s="4" t="s">
        <v>3168</v>
      </c>
      <c r="M198" s="86" t="s">
        <v>3087</v>
      </c>
      <c r="N198" s="86" t="s">
        <v>3089</v>
      </c>
      <c r="O198" s="86"/>
      <c r="P198" s="86"/>
      <c r="Q198" s="86" t="s">
        <v>3168</v>
      </c>
      <c r="R198" s="86" t="str">
        <f t="shared" si="35"/>
        <v>subhasis.banerjee@yes.bank.in, biswarup.ghosh@yes.bank.in,joy.saha@yes.bank.in,lonika.kotekar@yes.bank.in,shirajahmed.habib@yes.bank.in,Gaurav@kgac.in,AmanM@kgac.in,hariom@kgac.in</v>
      </c>
      <c r="S198" s="85" t="s">
        <v>3497</v>
      </c>
      <c r="T198" s="84" t="s">
        <v>3498</v>
      </c>
      <c r="U198" s="84" t="s">
        <v>3425</v>
      </c>
      <c r="V198" s="84"/>
    </row>
    <row r="199" spans="1:22" x14ac:dyDescent="0.3">
      <c r="A199" s="1">
        <v>222</v>
      </c>
      <c r="B199" s="1" t="s">
        <v>60</v>
      </c>
      <c r="C199" s="2" t="s">
        <v>60</v>
      </c>
      <c r="D199" s="3" t="s">
        <v>103</v>
      </c>
      <c r="E199" s="3" t="s">
        <v>237</v>
      </c>
      <c r="F199" s="3" t="s">
        <v>1554</v>
      </c>
      <c r="G199" s="88" t="s">
        <v>1417</v>
      </c>
      <c r="H199" s="96">
        <v>1</v>
      </c>
      <c r="I199" s="3" t="s">
        <v>1296</v>
      </c>
      <c r="J199" s="7" t="s">
        <v>1904</v>
      </c>
      <c r="K199" s="4"/>
      <c r="L199" s="4" t="s">
        <v>3184</v>
      </c>
      <c r="M199" s="86" t="s">
        <v>3112</v>
      </c>
      <c r="N199" s="86" t="s">
        <v>3113</v>
      </c>
      <c r="O199" s="86"/>
      <c r="P199" s="86"/>
      <c r="Q199" s="86" t="s">
        <v>3184</v>
      </c>
      <c r="R199" s="86" t="str">
        <f t="shared" si="35"/>
        <v>SAGAR.CHOUDHARI@yes.bank.in,nitesh.madhavi@yes.bank.in, manikandan.g4@yes.bank.in,lonika.kotekar@yes.bank.in,shirajahmed.habib@yes.bank.in,Gaurav@kgac.in,AmanM@kgac.in,hariom@kgac.in</v>
      </c>
      <c r="S199" s="85" t="s">
        <v>3499</v>
      </c>
      <c r="T199" s="84" t="s">
        <v>3500</v>
      </c>
      <c r="U199" s="84" t="s">
        <v>3425</v>
      </c>
      <c r="V199" s="84"/>
    </row>
    <row r="200" spans="1:22" x14ac:dyDescent="0.3">
      <c r="A200" s="1">
        <v>223</v>
      </c>
      <c r="B200" s="1" t="s">
        <v>60</v>
      </c>
      <c r="C200" s="2" t="s">
        <v>60</v>
      </c>
      <c r="D200" s="3" t="s">
        <v>103</v>
      </c>
      <c r="E200" s="3" t="s">
        <v>237</v>
      </c>
      <c r="F200" s="3" t="s">
        <v>1557</v>
      </c>
      <c r="G200" s="88" t="s">
        <v>1417</v>
      </c>
      <c r="H200" s="96">
        <v>1</v>
      </c>
      <c r="I200" s="3" t="s">
        <v>1299</v>
      </c>
      <c r="J200" s="7" t="s">
        <v>1904</v>
      </c>
      <c r="K200" s="4"/>
      <c r="L200" s="4" t="s">
        <v>3184</v>
      </c>
      <c r="M200" s="86" t="s">
        <v>3410</v>
      </c>
      <c r="N200" s="86" t="s">
        <v>2882</v>
      </c>
      <c r="O200" s="86"/>
      <c r="P200" s="86"/>
      <c r="Q200" s="86" t="s">
        <v>3184</v>
      </c>
      <c r="R200" s="86" t="str">
        <f t="shared" si="35"/>
        <v>subhasis.banerjee@yes.bank.in,arindam.sarkar2@yes.bank.in,lonika.kotekar@yes.bank.in,shirajahmed.habib@yes.bank.in,Gaurav@kgac.in,AmanM@kgac.in,hariom@kgac.in</v>
      </c>
      <c r="S200" s="85" t="s">
        <v>3501</v>
      </c>
      <c r="T200" s="84" t="s">
        <v>3502</v>
      </c>
      <c r="U200" s="84" t="s">
        <v>3425</v>
      </c>
      <c r="V200" s="84"/>
    </row>
    <row r="201" spans="1:22" x14ac:dyDescent="0.3">
      <c r="A201" s="1">
        <v>224</v>
      </c>
      <c r="B201" s="1" t="s">
        <v>60</v>
      </c>
      <c r="C201" s="2" t="s">
        <v>60</v>
      </c>
      <c r="D201" s="3" t="s">
        <v>103</v>
      </c>
      <c r="E201" s="3" t="s">
        <v>237</v>
      </c>
      <c r="F201" s="3" t="s">
        <v>1566</v>
      </c>
      <c r="G201" s="88" t="s">
        <v>1417</v>
      </c>
      <c r="H201" s="96">
        <v>1</v>
      </c>
      <c r="I201" s="3" t="s">
        <v>1309</v>
      </c>
      <c r="J201" s="7" t="s">
        <v>1904</v>
      </c>
      <c r="K201" s="4"/>
      <c r="L201" s="4" t="s">
        <v>3184</v>
      </c>
      <c r="M201" s="86" t="s">
        <v>3114</v>
      </c>
      <c r="N201" s="86" t="s">
        <v>3104</v>
      </c>
      <c r="O201" s="86"/>
      <c r="P201" s="86"/>
      <c r="Q201" s="86" t="s">
        <v>3184</v>
      </c>
      <c r="R201" s="86" t="str">
        <f t="shared" si="35"/>
        <v>rajnish.dwivedi@yes.bank.in,abhishek.kumar84@yes.bank.in, nitesh.madhavi@yes.bank.in,lonika.kotekar@yes.bank.in,shirajahmed.habib@yes.bank.in,Gaurav@kgac.in,AmanM@kgac.in,hariom@kgac.in</v>
      </c>
      <c r="S201" s="85" t="s">
        <v>3503</v>
      </c>
      <c r="T201" s="84" t="s">
        <v>3504</v>
      </c>
      <c r="U201" s="84" t="s">
        <v>3425</v>
      </c>
      <c r="V201" s="84"/>
    </row>
    <row r="202" spans="1:22" x14ac:dyDescent="0.3">
      <c r="A202" s="1">
        <v>225</v>
      </c>
      <c r="B202" s="1" t="s">
        <v>60</v>
      </c>
      <c r="C202" s="2" t="s">
        <v>60</v>
      </c>
      <c r="D202" s="3" t="s">
        <v>103</v>
      </c>
      <c r="E202" s="3" t="s">
        <v>237</v>
      </c>
      <c r="F202" s="3" t="s">
        <v>238</v>
      </c>
      <c r="G202" s="88" t="s">
        <v>1417</v>
      </c>
      <c r="H202" s="96">
        <v>1</v>
      </c>
      <c r="I202" s="3" t="s">
        <v>1323</v>
      </c>
      <c r="J202" s="7" t="s">
        <v>1904</v>
      </c>
      <c r="K202" s="4"/>
      <c r="L202" s="4" t="s">
        <v>3185</v>
      </c>
      <c r="M202" s="86" t="s">
        <v>3042</v>
      </c>
      <c r="N202" s="86" t="s">
        <v>3043</v>
      </c>
      <c r="O202" s="86"/>
      <c r="P202" s="86"/>
      <c r="Q202" s="86" t="s">
        <v>3185</v>
      </c>
      <c r="R202" s="86" t="str">
        <f t="shared" si="35"/>
        <v>biswarup.ghosh@yes.bank.in,suryanarayan.nayak@yes.bank.in,lonika.kotekar@yes.bank.in,shirajahmed.habib@yes.bank.in,Gaurav@kgac.in,AmanM@kgac.in,hariom@kgac.in</v>
      </c>
      <c r="S202" s="85" t="s">
        <v>3505</v>
      </c>
      <c r="T202" s="84" t="s">
        <v>3506</v>
      </c>
      <c r="U202" s="84" t="s">
        <v>3425</v>
      </c>
      <c r="V202" s="84"/>
    </row>
    <row r="203" spans="1:22" x14ac:dyDescent="0.3">
      <c r="A203" s="1">
        <v>226</v>
      </c>
      <c r="B203" s="1" t="s">
        <v>60</v>
      </c>
      <c r="C203" s="2" t="s">
        <v>60</v>
      </c>
      <c r="D203" s="3" t="s">
        <v>103</v>
      </c>
      <c r="E203" s="3" t="s">
        <v>237</v>
      </c>
      <c r="F203" s="3" t="s">
        <v>238</v>
      </c>
      <c r="G203" s="88" t="s">
        <v>1417</v>
      </c>
      <c r="H203" s="96">
        <v>1</v>
      </c>
      <c r="I203" s="3" t="s">
        <v>1324</v>
      </c>
      <c r="J203" s="7" t="s">
        <v>1904</v>
      </c>
      <c r="K203" s="4"/>
      <c r="L203" s="4" t="s">
        <v>3185</v>
      </c>
      <c r="M203" s="86" t="s">
        <v>3042</v>
      </c>
      <c r="N203" s="86" t="s">
        <v>3043</v>
      </c>
      <c r="O203" s="86"/>
      <c r="P203" s="86"/>
      <c r="Q203" s="86" t="s">
        <v>3185</v>
      </c>
      <c r="R203" s="86" t="str">
        <f t="shared" si="35"/>
        <v>biswarup.ghosh@yes.bank.in,suryanarayan.nayak@yes.bank.in,lonika.kotekar@yes.bank.in,shirajahmed.habib@yes.bank.in,Gaurav@kgac.in,AmanM@kgac.in,hariom@kgac.in</v>
      </c>
      <c r="S203" s="85" t="s">
        <v>3507</v>
      </c>
      <c r="T203" s="84" t="s">
        <v>3508</v>
      </c>
      <c r="U203" s="84" t="s">
        <v>3425</v>
      </c>
      <c r="V203" s="84"/>
    </row>
    <row r="204" spans="1:22" x14ac:dyDescent="0.3">
      <c r="A204" s="1">
        <v>227</v>
      </c>
      <c r="B204" s="1" t="s">
        <v>60</v>
      </c>
      <c r="C204" s="2" t="s">
        <v>60</v>
      </c>
      <c r="D204" s="3" t="s">
        <v>103</v>
      </c>
      <c r="E204" s="3" t="s">
        <v>237</v>
      </c>
      <c r="F204" s="3" t="s">
        <v>1590</v>
      </c>
      <c r="G204" s="88" t="s">
        <v>1417</v>
      </c>
      <c r="H204" s="96">
        <v>1</v>
      </c>
      <c r="I204" s="3" t="s">
        <v>1354</v>
      </c>
      <c r="J204" s="7" t="s">
        <v>1904</v>
      </c>
      <c r="K204" s="4"/>
      <c r="L204" s="4" t="s">
        <v>3184</v>
      </c>
      <c r="M204" s="86" t="s">
        <v>3115</v>
      </c>
      <c r="N204" s="86" t="s">
        <v>3043</v>
      </c>
      <c r="O204" s="86"/>
      <c r="P204" s="86"/>
      <c r="Q204" s="86" t="s">
        <v>3184</v>
      </c>
      <c r="R204" s="86" t="str">
        <f t="shared" si="35"/>
        <v>biswarup.ghosh@yes.bank.in,santosh.sharma9@yes.bank.in,lonika.kotekar@yes.bank.in,shirajahmed.habib@yes.bank.in,Gaurav@kgac.in,AmanM@kgac.in,hariom@kgac.in</v>
      </c>
      <c r="S204" s="85" t="s">
        <v>3509</v>
      </c>
      <c r="T204" s="84" t="s">
        <v>3510</v>
      </c>
      <c r="U204" s="84" t="s">
        <v>3425</v>
      </c>
      <c r="V204" s="84"/>
    </row>
    <row r="205" spans="1:22" x14ac:dyDescent="0.3">
      <c r="A205" s="1">
        <v>228</v>
      </c>
      <c r="B205" s="1" t="s">
        <v>60</v>
      </c>
      <c r="C205" s="2" t="s">
        <v>60</v>
      </c>
      <c r="D205" s="3" t="s">
        <v>103</v>
      </c>
      <c r="E205" s="3" t="s">
        <v>237</v>
      </c>
      <c r="F205" s="3" t="s">
        <v>1606</v>
      </c>
      <c r="G205" s="88" t="s">
        <v>1417</v>
      </c>
      <c r="H205" s="96">
        <v>1</v>
      </c>
      <c r="I205" s="3" t="s">
        <v>1390</v>
      </c>
      <c r="J205" s="7" t="s">
        <v>1904</v>
      </c>
      <c r="K205" s="4"/>
      <c r="L205" s="4" t="s">
        <v>3184</v>
      </c>
      <c r="M205" s="86" t="s">
        <v>3042</v>
      </c>
      <c r="N205" s="86" t="s">
        <v>3116</v>
      </c>
      <c r="O205" s="86"/>
      <c r="P205" s="86"/>
      <c r="Q205" s="86" t="s">
        <v>3184</v>
      </c>
      <c r="R205" s="86" t="str">
        <f t="shared" si="35"/>
        <v>biswarup.ghosh@yes.bank.in, SAGAR.CHOUDHARI@yes.bank.in,suryanarayan.nayak@yes.bank.in,lonika.kotekar@yes.bank.in,shirajahmed.habib@yes.bank.in,Gaurav@kgac.in,AmanM@kgac.in,hariom@kgac.in</v>
      </c>
      <c r="S205" s="85" t="s">
        <v>3511</v>
      </c>
      <c r="T205" s="84" t="s">
        <v>3512</v>
      </c>
      <c r="U205" s="84" t="s">
        <v>3425</v>
      </c>
      <c r="V205" s="84"/>
    </row>
    <row r="206" spans="1:22" x14ac:dyDescent="0.3">
      <c r="A206" s="1">
        <v>229</v>
      </c>
      <c r="B206" s="1" t="s">
        <v>60</v>
      </c>
      <c r="C206" s="2" t="s">
        <v>60</v>
      </c>
      <c r="D206" s="3" t="s">
        <v>103</v>
      </c>
      <c r="E206" s="3" t="s">
        <v>237</v>
      </c>
      <c r="F206" s="3" t="s">
        <v>1611</v>
      </c>
      <c r="G206" s="88" t="s">
        <v>1417</v>
      </c>
      <c r="H206" s="96">
        <v>1</v>
      </c>
      <c r="I206" s="3" t="s">
        <v>1401</v>
      </c>
      <c r="J206" s="7" t="s">
        <v>1904</v>
      </c>
      <c r="K206" s="4"/>
      <c r="L206" s="4" t="s">
        <v>3185</v>
      </c>
      <c r="M206" s="86" t="s">
        <v>3115</v>
      </c>
      <c r="N206" s="86" t="s">
        <v>3043</v>
      </c>
      <c r="O206" s="86"/>
      <c r="P206" s="86"/>
      <c r="Q206" s="86" t="s">
        <v>3185</v>
      </c>
      <c r="R206" s="86" t="str">
        <f t="shared" si="35"/>
        <v>biswarup.ghosh@yes.bank.in,santosh.sharma9@yes.bank.in,lonika.kotekar@yes.bank.in,shirajahmed.habib@yes.bank.in,Gaurav@kgac.in,AmanM@kgac.in,hariom@kgac.in</v>
      </c>
      <c r="S206" s="85" t="s">
        <v>3513</v>
      </c>
      <c r="T206" s="84" t="s">
        <v>3514</v>
      </c>
      <c r="U206" s="84" t="s">
        <v>3425</v>
      </c>
      <c r="V206" s="84"/>
    </row>
    <row r="207" spans="1:22" x14ac:dyDescent="0.3">
      <c r="A207" s="1">
        <v>230</v>
      </c>
      <c r="B207" s="1" t="s">
        <v>60</v>
      </c>
      <c r="C207" s="2" t="s">
        <v>60</v>
      </c>
      <c r="D207" s="3" t="s">
        <v>103</v>
      </c>
      <c r="E207" s="3" t="s">
        <v>237</v>
      </c>
      <c r="F207" s="3" t="s">
        <v>1612</v>
      </c>
      <c r="G207" s="88" t="s">
        <v>1417</v>
      </c>
      <c r="H207" s="96">
        <v>1</v>
      </c>
      <c r="I207" s="3" t="s">
        <v>1403</v>
      </c>
      <c r="J207" s="7" t="s">
        <v>1904</v>
      </c>
      <c r="K207" s="4"/>
      <c r="L207" s="4" t="s">
        <v>3184</v>
      </c>
      <c r="M207" s="86" t="s">
        <v>3042</v>
      </c>
      <c r="N207" s="86" t="s">
        <v>3116</v>
      </c>
      <c r="O207" s="86"/>
      <c r="P207" s="86"/>
      <c r="Q207" s="86" t="s">
        <v>3184</v>
      </c>
      <c r="R207" s="86" t="str">
        <f t="shared" si="35"/>
        <v>biswarup.ghosh@yes.bank.in, SAGAR.CHOUDHARI@yes.bank.in,suryanarayan.nayak@yes.bank.in,lonika.kotekar@yes.bank.in,shirajahmed.habib@yes.bank.in,Gaurav@kgac.in,AmanM@kgac.in,hariom@kgac.in</v>
      </c>
      <c r="S207" s="85" t="s">
        <v>3515</v>
      </c>
      <c r="T207" s="84" t="s">
        <v>3516</v>
      </c>
      <c r="U207" s="84" t="s">
        <v>3425</v>
      </c>
      <c r="V207" s="84"/>
    </row>
    <row r="208" spans="1:22" x14ac:dyDescent="0.3">
      <c r="A208" s="1">
        <v>231</v>
      </c>
      <c r="B208" s="1" t="s">
        <v>60</v>
      </c>
      <c r="C208" s="2" t="s">
        <v>60</v>
      </c>
      <c r="D208" s="3" t="s">
        <v>40</v>
      </c>
      <c r="E208" s="3" t="s">
        <v>41</v>
      </c>
      <c r="F208" s="3" t="s">
        <v>992</v>
      </c>
      <c r="G208" s="88" t="s">
        <v>1417</v>
      </c>
      <c r="H208" s="96">
        <v>1</v>
      </c>
      <c r="I208" s="3" t="s">
        <v>1295</v>
      </c>
      <c r="J208" s="7" t="s">
        <v>1904</v>
      </c>
      <c r="K208" s="4"/>
      <c r="L208" s="4" t="s">
        <v>3170</v>
      </c>
      <c r="M208" s="86" t="s">
        <v>3117</v>
      </c>
      <c r="N208" s="86" t="s">
        <v>3118</v>
      </c>
      <c r="O208" s="86"/>
      <c r="P208" s="86"/>
      <c r="Q208" s="86" t="s">
        <v>3170</v>
      </c>
      <c r="R208" s="86" t="str">
        <f t="shared" si="35"/>
        <v>sekhar.gundala1@yes.bank.in, sanjeev.kumar30@yes.bank.in, sameer.dhar@yes.bank.in,navajakhan.p@yes.bank.in, gur.singh@yes.bank.in,lonika.kotekar@yes.bank.in,shirajahmed.habib@yes.bank.in,Gaurav@kgac.in,AmanM@kgac.in,hariom@kgac.in</v>
      </c>
      <c r="S208" s="85" t="s">
        <v>3517</v>
      </c>
      <c r="T208" s="84" t="s">
        <v>3518</v>
      </c>
      <c r="U208" s="84" t="s">
        <v>2253</v>
      </c>
      <c r="V208" s="84"/>
    </row>
    <row r="209" spans="1:22" x14ac:dyDescent="0.3">
      <c r="A209" s="1">
        <v>232</v>
      </c>
      <c r="B209" s="1" t="s">
        <v>60</v>
      </c>
      <c r="C209" s="2" t="s">
        <v>60</v>
      </c>
      <c r="D209" s="3" t="s">
        <v>40</v>
      </c>
      <c r="E209" s="3" t="s">
        <v>41</v>
      </c>
      <c r="F209" s="3" t="s">
        <v>631</v>
      </c>
      <c r="G209" s="88" t="s">
        <v>1417</v>
      </c>
      <c r="H209" s="96">
        <v>1</v>
      </c>
      <c r="I209" s="3" t="s">
        <v>1356</v>
      </c>
      <c r="J209" s="7" t="s">
        <v>1904</v>
      </c>
      <c r="K209" s="4"/>
      <c r="L209" s="4" t="s">
        <v>3170</v>
      </c>
      <c r="M209" s="86" t="s">
        <v>3411</v>
      </c>
      <c r="N209" s="86" t="s">
        <v>2944</v>
      </c>
      <c r="O209" s="86"/>
      <c r="P209" s="86"/>
      <c r="Q209" s="86" t="s">
        <v>3170</v>
      </c>
      <c r="R209" s="86" t="str">
        <f t="shared" si="35"/>
        <v>abhinav.lal2@yes.bank.in,lokesh.kumar8@yes.bank.in,lonika.kotekar@yes.bank.in,shirajahmed.habib@yes.bank.in,Gaurav@kgac.in,AmanM@kgac.in,hariom@kgac.in</v>
      </c>
      <c r="S209" s="85" t="s">
        <v>3519</v>
      </c>
      <c r="T209" s="84" t="s">
        <v>3520</v>
      </c>
      <c r="U209" s="84" t="s">
        <v>2253</v>
      </c>
      <c r="V209" s="84"/>
    </row>
    <row r="210" spans="1:22" x14ac:dyDescent="0.3">
      <c r="A210" s="1">
        <v>233</v>
      </c>
      <c r="B210" s="1" t="s">
        <v>60</v>
      </c>
      <c r="C210" s="2" t="s">
        <v>60</v>
      </c>
      <c r="D210" s="3" t="s">
        <v>40</v>
      </c>
      <c r="E210" s="3" t="s">
        <v>41</v>
      </c>
      <c r="F210" s="3" t="s">
        <v>156</v>
      </c>
      <c r="G210" s="88" t="s">
        <v>1417</v>
      </c>
      <c r="H210" s="96">
        <v>1</v>
      </c>
      <c r="I210" s="3" t="s">
        <v>1381</v>
      </c>
      <c r="J210" s="7" t="s">
        <v>1904</v>
      </c>
      <c r="K210" s="4"/>
      <c r="L210" s="4" t="s">
        <v>3186</v>
      </c>
      <c r="M210" s="86" t="s">
        <v>3411</v>
      </c>
      <c r="N210" s="86" t="s">
        <v>2944</v>
      </c>
      <c r="O210" s="86"/>
      <c r="P210" s="86"/>
      <c r="Q210" s="86" t="s">
        <v>3186</v>
      </c>
      <c r="R210" s="86" t="str">
        <f t="shared" si="35"/>
        <v>abhinav.lal2@yes.bank.in,lokesh.kumar8@yes.bank.in,lonika.kotekar@yes.bank.in,shirajahmed.habib@yes.bank.in,Gaurav@kgac.in,AmanM@kgac.in,hariom@kgac.in</v>
      </c>
      <c r="S210" s="85" t="s">
        <v>3521</v>
      </c>
      <c r="T210" s="84" t="s">
        <v>3522</v>
      </c>
      <c r="U210" s="84" t="s">
        <v>2253</v>
      </c>
      <c r="V210" s="84"/>
    </row>
    <row r="211" spans="1:22" x14ac:dyDescent="0.3">
      <c r="A211" s="1">
        <v>234</v>
      </c>
      <c r="B211" s="1" t="s">
        <v>60</v>
      </c>
      <c r="C211" s="2" t="s">
        <v>60</v>
      </c>
      <c r="D211" s="3" t="s">
        <v>40</v>
      </c>
      <c r="E211" s="3" t="s">
        <v>41</v>
      </c>
      <c r="F211" s="3" t="s">
        <v>156</v>
      </c>
      <c r="G211" s="88" t="s">
        <v>1417</v>
      </c>
      <c r="H211" s="96">
        <v>1</v>
      </c>
      <c r="I211" s="3" t="s">
        <v>1382</v>
      </c>
      <c r="J211" s="7" t="s">
        <v>1904</v>
      </c>
      <c r="K211" s="4"/>
      <c r="L211" s="4" t="s">
        <v>3171</v>
      </c>
      <c r="M211" s="86" t="s">
        <v>3119</v>
      </c>
      <c r="N211" s="86" t="s">
        <v>3102</v>
      </c>
      <c r="O211" s="86"/>
      <c r="P211" s="86"/>
      <c r="Q211" s="86" t="s">
        <v>3171</v>
      </c>
      <c r="R211" s="86" t="str">
        <f t="shared" si="35"/>
        <v>abhinav.lal2@yes.bank.in, sanjeev.kumar30@yes.bank.in,shyam.parkash@yes.bank.in, kushpal.singh@yes.bank.in, sukhwinder.singh18@yes.bank.in, gagandeep.malhotra1@yes.bank.in,lonika.kotekar@yes.bank.in,shirajahmed.habib@yes.bank.in,Gaurav@kgac.in,AmanM@kgac.in,hariom@kgac.in</v>
      </c>
      <c r="S211" s="85" t="s">
        <v>3523</v>
      </c>
      <c r="T211" s="84" t="s">
        <v>3524</v>
      </c>
      <c r="U211" s="84" t="s">
        <v>2253</v>
      </c>
      <c r="V211" s="84"/>
    </row>
    <row r="212" spans="1:22" x14ac:dyDescent="0.3">
      <c r="A212" s="1">
        <v>235</v>
      </c>
      <c r="B212" s="1" t="s">
        <v>60</v>
      </c>
      <c r="C212" s="2" t="s">
        <v>60</v>
      </c>
      <c r="D212" s="3" t="s">
        <v>40</v>
      </c>
      <c r="E212" s="3" t="s">
        <v>41</v>
      </c>
      <c r="F212" s="3" t="s">
        <v>1603</v>
      </c>
      <c r="G212" s="88" t="s">
        <v>1417</v>
      </c>
      <c r="H212" s="96">
        <v>1</v>
      </c>
      <c r="I212" s="3" t="s">
        <v>1385</v>
      </c>
      <c r="J212" s="7" t="s">
        <v>1904</v>
      </c>
      <c r="K212" s="4"/>
      <c r="L212" s="4" t="s">
        <v>3187</v>
      </c>
      <c r="M212" s="86" t="s">
        <v>3120</v>
      </c>
      <c r="N212" s="86" t="s">
        <v>3121</v>
      </c>
      <c r="O212" s="86"/>
      <c r="P212" s="86"/>
      <c r="Q212" s="86" t="s">
        <v>3187</v>
      </c>
      <c r="R212" s="86" t="str">
        <f t="shared" si="35"/>
        <v>sanjeev.kumar30@yes.bank.in, sameer.dhar@yes.bank.in,maninder.kumar@yes.bank.in, parveen.kumar16@yes.bank.in,lonika.kotekar@yes.bank.in,shirajahmed.habib@yes.bank.in,Gaurav@kgac.in,AmanM@kgac.in,hariom@kgac.in</v>
      </c>
      <c r="S212" s="85" t="s">
        <v>3525</v>
      </c>
      <c r="T212" s="84" t="s">
        <v>3526</v>
      </c>
      <c r="U212" s="84" t="s">
        <v>2253</v>
      </c>
      <c r="V212" s="84"/>
    </row>
    <row r="213" spans="1:22" x14ac:dyDescent="0.3">
      <c r="A213" s="1">
        <v>236</v>
      </c>
      <c r="B213" s="1" t="s">
        <v>60</v>
      </c>
      <c r="C213" s="2" t="s">
        <v>60</v>
      </c>
      <c r="D213" s="3" t="s">
        <v>40</v>
      </c>
      <c r="E213" s="3" t="s">
        <v>41</v>
      </c>
      <c r="F213" s="3" t="s">
        <v>1603</v>
      </c>
      <c r="G213" s="88" t="s">
        <v>1417</v>
      </c>
      <c r="H213" s="96">
        <v>1</v>
      </c>
      <c r="I213" s="3" t="s">
        <v>1386</v>
      </c>
      <c r="J213" s="7" t="s">
        <v>1904</v>
      </c>
      <c r="K213" s="4"/>
      <c r="L213" s="4" t="s">
        <v>3177</v>
      </c>
      <c r="M213" s="86" t="s">
        <v>3122</v>
      </c>
      <c r="N213" s="86" t="s">
        <v>3121</v>
      </c>
      <c r="O213" s="86"/>
      <c r="P213" s="86"/>
      <c r="Q213" s="86" t="s">
        <v>3177</v>
      </c>
      <c r="R213" s="86" t="str">
        <f t="shared" si="35"/>
        <v>sanjeev.kumar30@yes.bank.in, sameer.dhar@yes.bank.in,kushpal.singh@yes.bank.in, maninder.kumar@yes.bank.in,lonika.kotekar@yes.bank.in,shirajahmed.habib@yes.bank.in,Gaurav@kgac.in,AmanM@kgac.in,hariom@kgac.in</v>
      </c>
      <c r="S213" s="85" t="s">
        <v>3527</v>
      </c>
      <c r="T213" s="84" t="s">
        <v>3528</v>
      </c>
      <c r="U213" s="84" t="s">
        <v>2253</v>
      </c>
      <c r="V213" s="84"/>
    </row>
    <row r="214" spans="1:22" x14ac:dyDescent="0.3">
      <c r="A214" s="1">
        <v>237</v>
      </c>
      <c r="B214" s="1" t="s">
        <v>60</v>
      </c>
      <c r="C214" s="2" t="s">
        <v>60</v>
      </c>
      <c r="D214" s="3" t="s">
        <v>40</v>
      </c>
      <c r="E214" s="3" t="s">
        <v>41</v>
      </c>
      <c r="F214" s="3" t="s">
        <v>1609</v>
      </c>
      <c r="G214" s="88" t="s">
        <v>1417</v>
      </c>
      <c r="H214" s="96">
        <v>1</v>
      </c>
      <c r="I214" s="3" t="s">
        <v>1395</v>
      </c>
      <c r="J214" s="7" t="s">
        <v>1904</v>
      </c>
      <c r="K214" s="4"/>
      <c r="L214" s="4" t="s">
        <v>3171</v>
      </c>
      <c r="M214" s="86" t="s">
        <v>3122</v>
      </c>
      <c r="N214" s="86" t="s">
        <v>3121</v>
      </c>
      <c r="O214" s="86"/>
      <c r="P214" s="86"/>
      <c r="Q214" s="86" t="s">
        <v>3171</v>
      </c>
      <c r="R214" s="86" t="str">
        <f t="shared" si="35"/>
        <v>sanjeev.kumar30@yes.bank.in, sameer.dhar@yes.bank.in,kushpal.singh@yes.bank.in, maninder.kumar@yes.bank.in,lonika.kotekar@yes.bank.in,shirajahmed.habib@yes.bank.in,Gaurav@kgac.in,AmanM@kgac.in,hariom@kgac.in</v>
      </c>
      <c r="S214" s="85" t="s">
        <v>3529</v>
      </c>
      <c r="T214" s="84" t="s">
        <v>3530</v>
      </c>
      <c r="U214" s="84" t="s">
        <v>2253</v>
      </c>
      <c r="V214" s="84"/>
    </row>
    <row r="215" spans="1:22" x14ac:dyDescent="0.3">
      <c r="A215" s="1">
        <v>238</v>
      </c>
      <c r="B215" s="1" t="s">
        <v>60</v>
      </c>
      <c r="C215" s="2" t="s">
        <v>60</v>
      </c>
      <c r="D215" s="3" t="s">
        <v>40</v>
      </c>
      <c r="E215" s="3" t="s">
        <v>41</v>
      </c>
      <c r="F215" s="3" t="s">
        <v>1609</v>
      </c>
      <c r="G215" s="88" t="s">
        <v>1417</v>
      </c>
      <c r="H215" s="96">
        <v>1</v>
      </c>
      <c r="I215" s="3" t="s">
        <v>1396</v>
      </c>
      <c r="J215" s="7" t="s">
        <v>1904</v>
      </c>
      <c r="K215" s="4"/>
      <c r="L215" s="4" t="s">
        <v>3171</v>
      </c>
      <c r="M215" s="86" t="s">
        <v>3123</v>
      </c>
      <c r="N215" s="86" t="s">
        <v>2944</v>
      </c>
      <c r="O215" s="86"/>
      <c r="P215" s="86"/>
      <c r="Q215" s="86" t="s">
        <v>3171</v>
      </c>
      <c r="R215" s="86" t="str">
        <f t="shared" si="35"/>
        <v>abhinav.lal2@yes.bank.in,gopal.khatri@yes.bank.in, kushpal.singh@yes.bank.in,lonika.kotekar@yes.bank.in,shirajahmed.habib@yes.bank.in,Gaurav@kgac.in,AmanM@kgac.in,hariom@kgac.in</v>
      </c>
      <c r="S215" s="85" t="s">
        <v>3531</v>
      </c>
      <c r="T215" s="84" t="s">
        <v>3532</v>
      </c>
      <c r="U215" s="84" t="s">
        <v>2253</v>
      </c>
      <c r="V215" s="84"/>
    </row>
    <row r="216" spans="1:22" x14ac:dyDescent="0.3">
      <c r="A216" s="1">
        <v>239</v>
      </c>
      <c r="B216" s="1" t="s">
        <v>60</v>
      </c>
      <c r="C216" s="2" t="s">
        <v>60</v>
      </c>
      <c r="D216" s="3" t="s">
        <v>40</v>
      </c>
      <c r="E216" s="3" t="s">
        <v>199</v>
      </c>
      <c r="F216" s="3" t="s">
        <v>452</v>
      </c>
      <c r="G216" s="88" t="s">
        <v>1417</v>
      </c>
      <c r="H216" s="96">
        <v>1</v>
      </c>
      <c r="I216" s="3" t="s">
        <v>1287</v>
      </c>
      <c r="J216" s="7" t="s">
        <v>1904</v>
      </c>
      <c r="K216" s="4"/>
      <c r="L216" s="4" t="s">
        <v>3188</v>
      </c>
      <c r="M216" s="86" t="s">
        <v>3124</v>
      </c>
      <c r="N216" s="86" t="s">
        <v>2914</v>
      </c>
      <c r="O216" s="86"/>
      <c r="P216" s="86"/>
      <c r="Q216" s="86" t="s">
        <v>3188</v>
      </c>
      <c r="R216" s="86" t="str">
        <f t="shared" si="35"/>
        <v>vivek.joshi4@yes.bank.in,kishore.singh2@yes.bank.in,lonika.kotekar@yes.bank.in,shirajahmed.habib@yes.bank.in,Gaurav@kgac.in,AmanM@kgac.in,hariom@kgac.in</v>
      </c>
      <c r="S216" s="85" t="s">
        <v>3533</v>
      </c>
      <c r="T216" s="84" t="s">
        <v>3534</v>
      </c>
      <c r="U216" s="84" t="s">
        <v>2243</v>
      </c>
      <c r="V216" s="84"/>
    </row>
    <row r="217" spans="1:22" x14ac:dyDescent="0.3">
      <c r="A217" s="1">
        <v>240</v>
      </c>
      <c r="B217" s="1" t="s">
        <v>60</v>
      </c>
      <c r="C217" s="2" t="s">
        <v>60</v>
      </c>
      <c r="D217" s="3" t="s">
        <v>40</v>
      </c>
      <c r="E217" s="3" t="s">
        <v>199</v>
      </c>
      <c r="F217" s="3" t="s">
        <v>452</v>
      </c>
      <c r="G217" s="88" t="s">
        <v>1417</v>
      </c>
      <c r="H217" s="96">
        <v>1</v>
      </c>
      <c r="I217" s="3" t="s">
        <v>1289</v>
      </c>
      <c r="J217" s="7" t="s">
        <v>1904</v>
      </c>
      <c r="K217" s="4"/>
      <c r="L217" s="4" t="s">
        <v>3188</v>
      </c>
      <c r="M217" s="86" t="s">
        <v>2913</v>
      </c>
      <c r="N217" s="86" t="s">
        <v>2914</v>
      </c>
      <c r="O217" s="86"/>
      <c r="P217" s="86"/>
      <c r="Q217" s="86" t="s">
        <v>3188</v>
      </c>
      <c r="R217" s="86" t="str">
        <f t="shared" si="35"/>
        <v>vivek.joshi4@yes.bank.in,ashish.tiwari10@yes.bank.in,lonika.kotekar@yes.bank.in,shirajahmed.habib@yes.bank.in,Gaurav@kgac.in,AmanM@kgac.in,hariom@kgac.in</v>
      </c>
      <c r="S217" s="85" t="s">
        <v>3535</v>
      </c>
      <c r="T217" s="84" t="s">
        <v>3536</v>
      </c>
      <c r="U217" s="84" t="s">
        <v>2243</v>
      </c>
      <c r="V217" s="84"/>
    </row>
    <row r="218" spans="1:22" x14ac:dyDescent="0.3">
      <c r="A218" s="1">
        <v>241</v>
      </c>
      <c r="B218" s="1" t="s">
        <v>60</v>
      </c>
      <c r="C218" s="2" t="s">
        <v>60</v>
      </c>
      <c r="D218" s="3" t="s">
        <v>40</v>
      </c>
      <c r="E218" s="3" t="s">
        <v>199</v>
      </c>
      <c r="F218" s="3" t="s">
        <v>452</v>
      </c>
      <c r="G218" s="88" t="s">
        <v>1417</v>
      </c>
      <c r="H218" s="96">
        <v>1</v>
      </c>
      <c r="I218" s="3" t="s">
        <v>1288</v>
      </c>
      <c r="J218" s="7" t="s">
        <v>1904</v>
      </c>
      <c r="K218" s="4"/>
      <c r="L218" s="4" t="s">
        <v>3188</v>
      </c>
      <c r="M218" s="86" t="s">
        <v>3125</v>
      </c>
      <c r="N218" s="86" t="s">
        <v>3126</v>
      </c>
      <c r="O218" s="86"/>
      <c r="P218" s="86"/>
      <c r="Q218" s="86" t="s">
        <v>3188</v>
      </c>
      <c r="R218" s="86" t="str">
        <f t="shared" si="35"/>
        <v>abhinav.lal2@yes.bank.in, dipak.dhandhukiya@yes.bank.in, vivek.joshi4@yes.bank.in,shyam.parkash@yes.bank.in, punit.sharma1@yes.bank.in, ashish.tiwari10@yes.bank.in,lonika.kotekar@yes.bank.in,shirajahmed.habib@yes.bank.in,Gaurav@kgac.in,AmanM@kgac.in,hariom@kgac.in</v>
      </c>
      <c r="S218" s="85" t="s">
        <v>3537</v>
      </c>
      <c r="T218" s="84" t="s">
        <v>3538</v>
      </c>
      <c r="U218" s="84" t="s">
        <v>2243</v>
      </c>
      <c r="V218" s="84"/>
    </row>
    <row r="219" spans="1:22" x14ac:dyDescent="0.3">
      <c r="A219" s="1">
        <v>242</v>
      </c>
      <c r="B219" s="1" t="s">
        <v>60</v>
      </c>
      <c r="C219" s="2" t="s">
        <v>60</v>
      </c>
      <c r="D219" s="3" t="s">
        <v>40</v>
      </c>
      <c r="E219" s="3" t="s">
        <v>199</v>
      </c>
      <c r="F219" s="3" t="s">
        <v>1552</v>
      </c>
      <c r="G219" s="88" t="s">
        <v>1417</v>
      </c>
      <c r="H219" s="96">
        <v>1</v>
      </c>
      <c r="I219" s="3" t="s">
        <v>1293</v>
      </c>
      <c r="J219" s="7" t="s">
        <v>1904</v>
      </c>
      <c r="K219" s="4"/>
      <c r="L219" s="4" t="s">
        <v>3189</v>
      </c>
      <c r="M219" s="86" t="s">
        <v>2913</v>
      </c>
      <c r="N219" s="86" t="s">
        <v>2914</v>
      </c>
      <c r="O219" s="86"/>
      <c r="P219" s="86"/>
      <c r="Q219" s="86" t="s">
        <v>3189</v>
      </c>
      <c r="R219" s="86" t="str">
        <f t="shared" si="35"/>
        <v>vivek.joshi4@yes.bank.in,ashish.tiwari10@yes.bank.in,lonika.kotekar@yes.bank.in,shirajahmed.habib@yes.bank.in,Gaurav@kgac.in,AmanM@kgac.in,hariom@kgac.in</v>
      </c>
      <c r="S219" s="85" t="s">
        <v>3539</v>
      </c>
      <c r="T219" s="84" t="s">
        <v>3540</v>
      </c>
      <c r="U219" s="84" t="s">
        <v>2243</v>
      </c>
      <c r="V219" s="84"/>
    </row>
    <row r="220" spans="1:22" x14ac:dyDescent="0.3">
      <c r="A220" s="1">
        <v>243</v>
      </c>
      <c r="B220" s="1" t="s">
        <v>60</v>
      </c>
      <c r="C220" s="2" t="s">
        <v>60</v>
      </c>
      <c r="D220" s="3" t="s">
        <v>40</v>
      </c>
      <c r="E220" s="3" t="s">
        <v>199</v>
      </c>
      <c r="F220" s="3" t="s">
        <v>1552</v>
      </c>
      <c r="G220" s="88" t="s">
        <v>1417</v>
      </c>
      <c r="H220" s="96">
        <v>1</v>
      </c>
      <c r="I220" s="3" t="s">
        <v>1292</v>
      </c>
      <c r="J220" s="7" t="s">
        <v>1904</v>
      </c>
      <c r="K220" s="4"/>
      <c r="L220" s="4" t="s">
        <v>3189</v>
      </c>
      <c r="M220" s="86" t="s">
        <v>2913</v>
      </c>
      <c r="N220" s="86" t="s">
        <v>2914</v>
      </c>
      <c r="O220" s="86"/>
      <c r="P220" s="86"/>
      <c r="Q220" s="86" t="s">
        <v>3189</v>
      </c>
      <c r="R220" s="86" t="str">
        <f t="shared" si="35"/>
        <v>vivek.joshi4@yes.bank.in,ashish.tiwari10@yes.bank.in,lonika.kotekar@yes.bank.in,shirajahmed.habib@yes.bank.in,Gaurav@kgac.in,AmanM@kgac.in,hariom@kgac.in</v>
      </c>
      <c r="S220" s="85" t="s">
        <v>3541</v>
      </c>
      <c r="T220" s="84" t="s">
        <v>3542</v>
      </c>
      <c r="U220" s="84" t="s">
        <v>2243</v>
      </c>
      <c r="V220" s="84"/>
    </row>
    <row r="221" spans="1:22" x14ac:dyDescent="0.3">
      <c r="A221" s="1">
        <v>244</v>
      </c>
      <c r="B221" s="1" t="s">
        <v>60</v>
      </c>
      <c r="C221" s="2" t="s">
        <v>60</v>
      </c>
      <c r="D221" s="3" t="s">
        <v>40</v>
      </c>
      <c r="E221" s="3" t="s">
        <v>199</v>
      </c>
      <c r="F221" s="3" t="s">
        <v>1555</v>
      </c>
      <c r="G221" s="88" t="s">
        <v>1417</v>
      </c>
      <c r="H221" s="96">
        <v>1</v>
      </c>
      <c r="I221" s="3" t="s">
        <v>1297</v>
      </c>
      <c r="J221" s="7" t="s">
        <v>1904</v>
      </c>
      <c r="K221" s="4"/>
      <c r="L221" s="4" t="s">
        <v>3190</v>
      </c>
      <c r="M221" s="86" t="s">
        <v>3124</v>
      </c>
      <c r="N221" s="86" t="s">
        <v>2914</v>
      </c>
      <c r="O221" s="86"/>
      <c r="P221" s="86"/>
      <c r="Q221" s="86" t="s">
        <v>3190</v>
      </c>
      <c r="R221" s="86" t="str">
        <f t="shared" si="35"/>
        <v>vivek.joshi4@yes.bank.in,kishore.singh2@yes.bank.in,lonika.kotekar@yes.bank.in,shirajahmed.habib@yes.bank.in,Gaurav@kgac.in,AmanM@kgac.in,hariom@kgac.in</v>
      </c>
      <c r="S221" s="85" t="s">
        <v>3543</v>
      </c>
      <c r="T221" s="84" t="s">
        <v>3544</v>
      </c>
      <c r="U221" s="84" t="s">
        <v>2243</v>
      </c>
      <c r="V221" s="84"/>
    </row>
    <row r="222" spans="1:22" x14ac:dyDescent="0.3">
      <c r="A222" s="1">
        <v>245</v>
      </c>
      <c r="B222" s="1" t="s">
        <v>60</v>
      </c>
      <c r="C222" s="2" t="s">
        <v>60</v>
      </c>
      <c r="D222" s="3" t="s">
        <v>40</v>
      </c>
      <c r="E222" s="3" t="s">
        <v>199</v>
      </c>
      <c r="F222" s="3" t="s">
        <v>1559</v>
      </c>
      <c r="G222" s="88" t="s">
        <v>1417</v>
      </c>
      <c r="H222" s="96">
        <v>1</v>
      </c>
      <c r="I222" s="3" t="s">
        <v>1301</v>
      </c>
      <c r="J222" s="7" t="s">
        <v>1904</v>
      </c>
      <c r="K222" s="4"/>
      <c r="L222" s="4" t="s">
        <v>3188</v>
      </c>
      <c r="M222" s="86" t="s">
        <v>3124</v>
      </c>
      <c r="N222" s="86" t="s">
        <v>2914</v>
      </c>
      <c r="O222" s="86"/>
      <c r="P222" s="86"/>
      <c r="Q222" s="86" t="s">
        <v>3188</v>
      </c>
      <c r="R222" s="86" t="str">
        <f t="shared" si="35"/>
        <v>vivek.joshi4@yes.bank.in,kishore.singh2@yes.bank.in,lonika.kotekar@yes.bank.in,shirajahmed.habib@yes.bank.in,Gaurav@kgac.in,AmanM@kgac.in,hariom@kgac.in</v>
      </c>
      <c r="S222" s="85" t="s">
        <v>3545</v>
      </c>
      <c r="T222" s="84" t="s">
        <v>3546</v>
      </c>
      <c r="U222" s="84" t="s">
        <v>2243</v>
      </c>
      <c r="V222" s="84"/>
    </row>
    <row r="223" spans="1:22" x14ac:dyDescent="0.3">
      <c r="A223" s="1">
        <v>246</v>
      </c>
      <c r="B223" s="1" t="s">
        <v>60</v>
      </c>
      <c r="C223" s="2" t="s">
        <v>60</v>
      </c>
      <c r="D223" s="3" t="s">
        <v>40</v>
      </c>
      <c r="E223" s="3" t="s">
        <v>199</v>
      </c>
      <c r="F223" s="3" t="s">
        <v>1559</v>
      </c>
      <c r="G223" s="88" t="s">
        <v>1417</v>
      </c>
      <c r="H223" s="96">
        <v>1</v>
      </c>
      <c r="I223" s="3" t="s">
        <v>1302</v>
      </c>
      <c r="J223" s="7" t="s">
        <v>1904</v>
      </c>
      <c r="K223" s="4"/>
      <c r="L223" s="4" t="s">
        <v>3188</v>
      </c>
      <c r="M223" s="86" t="s">
        <v>3124</v>
      </c>
      <c r="N223" s="86" t="s">
        <v>2914</v>
      </c>
      <c r="O223" s="86"/>
      <c r="P223" s="86"/>
      <c r="Q223" s="86" t="s">
        <v>3188</v>
      </c>
      <c r="R223" s="86" t="str">
        <f t="shared" si="35"/>
        <v>vivek.joshi4@yes.bank.in,kishore.singh2@yes.bank.in,lonika.kotekar@yes.bank.in,shirajahmed.habib@yes.bank.in,Gaurav@kgac.in,AmanM@kgac.in,hariom@kgac.in</v>
      </c>
      <c r="S223" s="85" t="s">
        <v>3547</v>
      </c>
      <c r="T223" s="84" t="s">
        <v>3548</v>
      </c>
      <c r="U223" s="84" t="s">
        <v>2243</v>
      </c>
      <c r="V223" s="84"/>
    </row>
    <row r="224" spans="1:22" x14ac:dyDescent="0.3">
      <c r="A224" s="1">
        <v>247</v>
      </c>
      <c r="B224" s="1" t="s">
        <v>60</v>
      </c>
      <c r="C224" s="2" t="s">
        <v>60</v>
      </c>
      <c r="D224" s="3" t="s">
        <v>40</v>
      </c>
      <c r="E224" s="3" t="s">
        <v>199</v>
      </c>
      <c r="F224" s="3" t="s">
        <v>1561</v>
      </c>
      <c r="G224" s="88" t="s">
        <v>1417</v>
      </c>
      <c r="H224" s="96">
        <v>1</v>
      </c>
      <c r="I224" s="3" t="s">
        <v>1304</v>
      </c>
      <c r="J224" s="7" t="s">
        <v>1904</v>
      </c>
      <c r="K224" s="4"/>
      <c r="L224" s="4" t="s">
        <v>3189</v>
      </c>
      <c r="M224" s="86" t="s">
        <v>3124</v>
      </c>
      <c r="N224" s="86" t="s">
        <v>2914</v>
      </c>
      <c r="O224" s="86"/>
      <c r="P224" s="86"/>
      <c r="Q224" s="86" t="s">
        <v>3189</v>
      </c>
      <c r="R224" s="86" t="str">
        <f t="shared" si="35"/>
        <v>vivek.joshi4@yes.bank.in,kishore.singh2@yes.bank.in,lonika.kotekar@yes.bank.in,shirajahmed.habib@yes.bank.in,Gaurav@kgac.in,AmanM@kgac.in,hariom@kgac.in</v>
      </c>
      <c r="S224" s="85" t="s">
        <v>3549</v>
      </c>
      <c r="T224" s="84" t="s">
        <v>3550</v>
      </c>
      <c r="U224" s="84" t="s">
        <v>2243</v>
      </c>
      <c r="V224" s="84"/>
    </row>
    <row r="225" spans="1:22" x14ac:dyDescent="0.3">
      <c r="A225" s="1">
        <v>248</v>
      </c>
      <c r="B225" s="1" t="s">
        <v>60</v>
      </c>
      <c r="C225" s="2" t="s">
        <v>60</v>
      </c>
      <c r="D225" s="3" t="s">
        <v>40</v>
      </c>
      <c r="E225" s="3" t="s">
        <v>199</v>
      </c>
      <c r="F225" s="3" t="s">
        <v>1564</v>
      </c>
      <c r="G225" s="88" t="s">
        <v>1417</v>
      </c>
      <c r="H225" s="96">
        <v>1</v>
      </c>
      <c r="I225" s="3" t="s">
        <v>1307</v>
      </c>
      <c r="J225" s="7" t="s">
        <v>1904</v>
      </c>
      <c r="K225" s="4"/>
      <c r="L225" s="4" t="s">
        <v>3189</v>
      </c>
      <c r="M225" s="86" t="s">
        <v>3127</v>
      </c>
      <c r="N225" s="86" t="s">
        <v>3102</v>
      </c>
      <c r="O225" s="86"/>
      <c r="P225" s="86"/>
      <c r="Q225" s="86" t="s">
        <v>3189</v>
      </c>
      <c r="R225" s="86" t="str">
        <f t="shared" si="35"/>
        <v>abhinav.lal2@yes.bank.in, sanjeev.kumar30@yes.bank.in,shyam.parkash@yes.bank.in, amit.pandey12@yes.bank.in, parveen.kumar16@yes.bank.in,lonika.kotekar@yes.bank.in,shirajahmed.habib@yes.bank.in,Gaurav@kgac.in,AmanM@kgac.in,hariom@kgac.in</v>
      </c>
      <c r="S225" s="85" t="s">
        <v>3551</v>
      </c>
      <c r="T225" s="84" t="s">
        <v>3552</v>
      </c>
      <c r="U225" s="84" t="s">
        <v>2243</v>
      </c>
      <c r="V225" s="84"/>
    </row>
    <row r="226" spans="1:22" x14ac:dyDescent="0.3">
      <c r="A226" s="1">
        <v>249</v>
      </c>
      <c r="B226" s="1" t="s">
        <v>60</v>
      </c>
      <c r="C226" s="2" t="s">
        <v>60</v>
      </c>
      <c r="D226" s="3" t="s">
        <v>40</v>
      </c>
      <c r="E226" s="3" t="s">
        <v>199</v>
      </c>
      <c r="F226" s="3" t="s">
        <v>1565</v>
      </c>
      <c r="G226" s="88" t="s">
        <v>1417</v>
      </c>
      <c r="H226" s="96">
        <v>1</v>
      </c>
      <c r="I226" s="3" t="s">
        <v>1308</v>
      </c>
      <c r="J226" s="7" t="s">
        <v>1904</v>
      </c>
      <c r="K226" s="4"/>
      <c r="L226" s="4" t="s">
        <v>3188</v>
      </c>
      <c r="M226" s="86" t="s">
        <v>3128</v>
      </c>
      <c r="N226" s="86" t="s">
        <v>2944</v>
      </c>
      <c r="O226" s="86"/>
      <c r="P226" s="86"/>
      <c r="Q226" s="86" t="s">
        <v>3188</v>
      </c>
      <c r="R226" s="86" t="str">
        <f t="shared" si="35"/>
        <v>abhinav.lal2@yes.bank.in,shyam.parkash@yes.bank.in, kuldeep.rathore1@yes.bank.in,lonika.kotekar@yes.bank.in,shirajahmed.habib@yes.bank.in,Gaurav@kgac.in,AmanM@kgac.in,hariom@kgac.in</v>
      </c>
      <c r="S226" s="85" t="s">
        <v>3553</v>
      </c>
      <c r="T226" s="84" t="s">
        <v>3554</v>
      </c>
      <c r="U226" s="84" t="s">
        <v>2243</v>
      </c>
      <c r="V226" s="84"/>
    </row>
    <row r="227" spans="1:22" x14ac:dyDescent="0.3">
      <c r="A227" s="1">
        <v>250</v>
      </c>
      <c r="B227" s="1" t="s">
        <v>60</v>
      </c>
      <c r="C227" s="2" t="s">
        <v>60</v>
      </c>
      <c r="D227" s="3" t="s">
        <v>40</v>
      </c>
      <c r="E227" s="3" t="s">
        <v>199</v>
      </c>
      <c r="F227" s="3" t="s">
        <v>200</v>
      </c>
      <c r="G227" s="88" t="s">
        <v>1417</v>
      </c>
      <c r="H227" s="96">
        <v>1</v>
      </c>
      <c r="I227" s="3" t="s">
        <v>1311</v>
      </c>
      <c r="J227" s="7" t="s">
        <v>1904</v>
      </c>
      <c r="K227" s="4"/>
      <c r="L227" s="4" t="s">
        <v>3191</v>
      </c>
      <c r="M227" s="86" t="s">
        <v>2913</v>
      </c>
      <c r="N227" s="86" t="s">
        <v>2914</v>
      </c>
      <c r="O227" s="86"/>
      <c r="P227" s="86"/>
      <c r="Q227" s="86" t="s">
        <v>3191</v>
      </c>
      <c r="R227" s="86" t="str">
        <f t="shared" si="35"/>
        <v>vivek.joshi4@yes.bank.in,ashish.tiwari10@yes.bank.in,lonika.kotekar@yes.bank.in,shirajahmed.habib@yes.bank.in,Gaurav@kgac.in,AmanM@kgac.in,hariom@kgac.in</v>
      </c>
      <c r="S227" s="85" t="s">
        <v>3555</v>
      </c>
      <c r="T227" s="84" t="s">
        <v>3556</v>
      </c>
      <c r="U227" s="84" t="s">
        <v>2243</v>
      </c>
      <c r="V227" s="84"/>
    </row>
    <row r="228" spans="1:22" x14ac:dyDescent="0.3">
      <c r="A228" s="1">
        <v>251</v>
      </c>
      <c r="B228" s="1" t="s">
        <v>60</v>
      </c>
      <c r="C228" s="2" t="s">
        <v>60</v>
      </c>
      <c r="D228" s="3" t="s">
        <v>40</v>
      </c>
      <c r="E228" s="3" t="s">
        <v>199</v>
      </c>
      <c r="F228" s="3" t="s">
        <v>1571</v>
      </c>
      <c r="G228" s="88" t="s">
        <v>1417</v>
      </c>
      <c r="H228" s="96">
        <v>1</v>
      </c>
      <c r="I228" s="3" t="s">
        <v>1320</v>
      </c>
      <c r="J228" s="7" t="s">
        <v>1904</v>
      </c>
      <c r="K228" s="4"/>
      <c r="L228" s="4" t="s">
        <v>3188</v>
      </c>
      <c r="M228" s="86" t="s">
        <v>3129</v>
      </c>
      <c r="N228" s="86" t="s">
        <v>3045</v>
      </c>
      <c r="O228" s="86"/>
      <c r="P228" s="86"/>
      <c r="Q228" s="86" t="s">
        <v>3188</v>
      </c>
      <c r="R228" s="86" t="str">
        <f t="shared" si="35"/>
        <v>sanjeev.kumar30@yes.bank.in,shyam.parkash@yes.bank.in, lokeshkumar.sharma@yes.bank.in,lonika.kotekar@yes.bank.in,shirajahmed.habib@yes.bank.in,Gaurav@kgac.in,AmanM@kgac.in,hariom@kgac.in</v>
      </c>
      <c r="S228" s="85" t="s">
        <v>3557</v>
      </c>
      <c r="T228" s="84" t="s">
        <v>3558</v>
      </c>
      <c r="U228" s="84" t="s">
        <v>2243</v>
      </c>
      <c r="V228" s="84"/>
    </row>
    <row r="229" spans="1:22" x14ac:dyDescent="0.3">
      <c r="A229" s="1">
        <v>252</v>
      </c>
      <c r="B229" s="1" t="s">
        <v>60</v>
      </c>
      <c r="C229" s="2" t="s">
        <v>60</v>
      </c>
      <c r="D229" s="3" t="s">
        <v>40</v>
      </c>
      <c r="E229" s="3" t="s">
        <v>199</v>
      </c>
      <c r="F229" s="3" t="s">
        <v>1574</v>
      </c>
      <c r="G229" s="88" t="s">
        <v>1417</v>
      </c>
      <c r="H229" s="96">
        <v>1</v>
      </c>
      <c r="I229" s="3" t="s">
        <v>1325</v>
      </c>
      <c r="J229" s="7" t="s">
        <v>1904</v>
      </c>
      <c r="K229" s="4"/>
      <c r="L229" s="4" t="s">
        <v>3189</v>
      </c>
      <c r="M229" s="86" t="s">
        <v>3130</v>
      </c>
      <c r="N229" s="86" t="s">
        <v>3045</v>
      </c>
      <c r="O229" s="86"/>
      <c r="P229" s="86"/>
      <c r="Q229" s="86" t="s">
        <v>3406</v>
      </c>
      <c r="R229" s="86" t="str">
        <f t="shared" si="35"/>
        <v>sanjeev.kumar30@yes.bank.in,shyam.parkash@yes.bank.in, kushpal.singh@yes.bank.in, lokeshkumar.sharma@yes.bank.in,lonika.kotekar@yes.bank.in,shirajahmed.habib@yes.bank.in,Gaurav@kgac.in,AmanM@kgac.in,hariom@kgac.in</v>
      </c>
      <c r="S229" s="85" t="s">
        <v>3559</v>
      </c>
      <c r="T229" s="84" t="s">
        <v>3560</v>
      </c>
      <c r="U229" s="84" t="s">
        <v>2243</v>
      </c>
      <c r="V229" s="84"/>
    </row>
    <row r="230" spans="1:22" x14ac:dyDescent="0.3">
      <c r="A230" s="1">
        <v>253</v>
      </c>
      <c r="B230" s="1" t="s">
        <v>60</v>
      </c>
      <c r="C230" s="2" t="s">
        <v>60</v>
      </c>
      <c r="D230" s="3" t="s">
        <v>40</v>
      </c>
      <c r="E230" s="3" t="s">
        <v>199</v>
      </c>
      <c r="F230" s="3" t="s">
        <v>1574</v>
      </c>
      <c r="G230" s="88" t="s">
        <v>1417</v>
      </c>
      <c r="H230" s="96">
        <v>1</v>
      </c>
      <c r="I230" s="3" t="s">
        <v>1326</v>
      </c>
      <c r="J230" s="7" t="s">
        <v>1904</v>
      </c>
      <c r="K230" s="4"/>
      <c r="L230" s="4" t="s">
        <v>3192</v>
      </c>
      <c r="M230" s="86" t="s">
        <v>3131</v>
      </c>
      <c r="N230" s="86" t="s">
        <v>2936</v>
      </c>
      <c r="O230" s="86"/>
      <c r="P230" s="86"/>
      <c r="Q230" s="86" t="s">
        <v>3192</v>
      </c>
      <c r="R230" s="86" t="str">
        <f t="shared" si="35"/>
        <v>sameer.dhar@yes.bank.in,manpreet.singh29@yes.bank.in, rittin.arya@yes.bank.in, vivek.shukla4@yes.bank.in,lonika.kotekar@yes.bank.in,shirajahmed.habib@yes.bank.in,Gaurav@kgac.in,AmanM@kgac.in,hariom@kgac.in</v>
      </c>
      <c r="S230" s="85" t="s">
        <v>3561</v>
      </c>
      <c r="T230" s="84" t="s">
        <v>3562</v>
      </c>
      <c r="U230" s="84" t="s">
        <v>2243</v>
      </c>
      <c r="V230" s="84"/>
    </row>
    <row r="231" spans="1:22" x14ac:dyDescent="0.3">
      <c r="A231" s="1">
        <v>254</v>
      </c>
      <c r="B231" s="1" t="s">
        <v>60</v>
      </c>
      <c r="C231" s="2" t="s">
        <v>60</v>
      </c>
      <c r="D231" s="3" t="s">
        <v>40</v>
      </c>
      <c r="E231" s="3" t="s">
        <v>199</v>
      </c>
      <c r="F231" s="3" t="s">
        <v>1585</v>
      </c>
      <c r="G231" s="88" t="s">
        <v>1417</v>
      </c>
      <c r="H231" s="96">
        <v>1</v>
      </c>
      <c r="I231" s="3" t="s">
        <v>1344</v>
      </c>
      <c r="J231" s="7" t="s">
        <v>1904</v>
      </c>
      <c r="K231" s="4"/>
      <c r="L231" s="4" t="s">
        <v>3190</v>
      </c>
      <c r="M231" s="86" t="s">
        <v>3132</v>
      </c>
      <c r="N231" s="86" t="s">
        <v>2914</v>
      </c>
      <c r="O231" s="86"/>
      <c r="P231" s="86"/>
      <c r="Q231" s="86" t="s">
        <v>3190</v>
      </c>
      <c r="R231" s="86" t="str">
        <f t="shared" si="35"/>
        <v>vivek.joshi4@yes.bank.in,dinesh.kumar44@yes.bank.in,lonika.kotekar@yes.bank.in,shirajahmed.habib@yes.bank.in,Gaurav@kgac.in,AmanM@kgac.in,hariom@kgac.in</v>
      </c>
      <c r="S231" s="85" t="s">
        <v>3563</v>
      </c>
      <c r="T231" s="84" t="s">
        <v>3564</v>
      </c>
      <c r="U231" s="84" t="s">
        <v>2243</v>
      </c>
      <c r="V231" s="84"/>
    </row>
    <row r="232" spans="1:22" x14ac:dyDescent="0.3">
      <c r="A232" s="1">
        <v>255</v>
      </c>
      <c r="B232" s="1" t="s">
        <v>60</v>
      </c>
      <c r="C232" s="2" t="s">
        <v>60</v>
      </c>
      <c r="D232" s="3" t="s">
        <v>40</v>
      </c>
      <c r="E232" s="3" t="s">
        <v>199</v>
      </c>
      <c r="F232" s="3" t="s">
        <v>214</v>
      </c>
      <c r="G232" s="88" t="s">
        <v>1417</v>
      </c>
      <c r="H232" s="96">
        <v>1</v>
      </c>
      <c r="I232" s="3" t="s">
        <v>1352</v>
      </c>
      <c r="J232" s="7" t="s">
        <v>1904</v>
      </c>
      <c r="K232" s="4"/>
      <c r="L232" s="4" t="s">
        <v>3190</v>
      </c>
      <c r="M232" s="86" t="s">
        <v>3070</v>
      </c>
      <c r="N232" s="86" t="s">
        <v>3102</v>
      </c>
      <c r="O232" s="86"/>
      <c r="P232" s="86"/>
      <c r="Q232" s="86" t="s">
        <v>3190</v>
      </c>
      <c r="R232" s="86" t="str">
        <f t="shared" si="35"/>
        <v>abhinav.lal2@yes.bank.in, sanjeev.kumar30@yes.bank.in,shyam.parkash@yes.bank.in,lonika.kotekar@yes.bank.in,shirajahmed.habib@yes.bank.in,Gaurav@kgac.in,AmanM@kgac.in,hariom@kgac.in</v>
      </c>
      <c r="S232" s="85" t="s">
        <v>3565</v>
      </c>
      <c r="T232" s="84" t="s">
        <v>3566</v>
      </c>
      <c r="U232" s="84" t="s">
        <v>2243</v>
      </c>
      <c r="V232" s="84"/>
    </row>
    <row r="233" spans="1:22" x14ac:dyDescent="0.3">
      <c r="A233" s="1">
        <v>256</v>
      </c>
      <c r="B233" s="1" t="s">
        <v>60</v>
      </c>
      <c r="C233" s="2" t="s">
        <v>60</v>
      </c>
      <c r="D233" s="3" t="s">
        <v>40</v>
      </c>
      <c r="E233" s="3" t="s">
        <v>199</v>
      </c>
      <c r="F233" s="3" t="s">
        <v>214</v>
      </c>
      <c r="G233" s="88" t="s">
        <v>1417</v>
      </c>
      <c r="H233" s="96">
        <v>1</v>
      </c>
      <c r="I233" s="3" t="s">
        <v>1351</v>
      </c>
      <c r="J233" s="7" t="s">
        <v>1904</v>
      </c>
      <c r="K233" s="4"/>
      <c r="L233" s="4" t="s">
        <v>3193</v>
      </c>
      <c r="M233" s="86" t="s">
        <v>2921</v>
      </c>
      <c r="N233" s="86" t="s">
        <v>3102</v>
      </c>
      <c r="O233" s="86"/>
      <c r="P233" s="86"/>
      <c r="Q233" s="86" t="s">
        <v>3193</v>
      </c>
      <c r="R233" s="86" t="str">
        <f t="shared" si="35"/>
        <v>abhinav.lal2@yes.bank.in, sanjeev.kumar30@yes.bank.in,kuldeep.rathore1@yes.bank.in,lonika.kotekar@yes.bank.in,shirajahmed.habib@yes.bank.in,Gaurav@kgac.in,AmanM@kgac.in,hariom@kgac.in</v>
      </c>
      <c r="S233" s="85" t="s">
        <v>3567</v>
      </c>
      <c r="T233" s="84" t="s">
        <v>3568</v>
      </c>
      <c r="U233" s="84" t="s">
        <v>2243</v>
      </c>
      <c r="V233" s="84"/>
    </row>
    <row r="234" spans="1:22" x14ac:dyDescent="0.3">
      <c r="A234" s="1">
        <v>257</v>
      </c>
      <c r="B234" s="1" t="s">
        <v>60</v>
      </c>
      <c r="C234" s="2" t="s">
        <v>60</v>
      </c>
      <c r="D234" s="3" t="s">
        <v>40</v>
      </c>
      <c r="E234" s="3" t="s">
        <v>199</v>
      </c>
      <c r="F234" s="3" t="s">
        <v>214</v>
      </c>
      <c r="G234" s="88" t="s">
        <v>1417</v>
      </c>
      <c r="H234" s="96">
        <v>1</v>
      </c>
      <c r="I234" s="3" t="s">
        <v>1353</v>
      </c>
      <c r="J234" s="7" t="s">
        <v>1904</v>
      </c>
      <c r="K234" s="4"/>
      <c r="L234" s="4" t="s">
        <v>3189</v>
      </c>
      <c r="M234" s="86" t="s">
        <v>3133</v>
      </c>
      <c r="N234" s="86" t="s">
        <v>3102</v>
      </c>
      <c r="O234" s="86"/>
      <c r="P234" s="86"/>
      <c r="Q234" s="86" t="s">
        <v>3189</v>
      </c>
      <c r="R234" s="86" t="str">
        <f t="shared" si="35"/>
        <v>abhinav.lal2@yes.bank.in, sanjeev.kumar30@yes.bank.in,kuldeep.rathore1@yes.bank.in, vivek.shukla4@yes.bank.in,lonika.kotekar@yes.bank.in,shirajahmed.habib@yes.bank.in,Gaurav@kgac.in,AmanM@kgac.in,hariom@kgac.in</v>
      </c>
      <c r="S234" s="85" t="s">
        <v>3569</v>
      </c>
      <c r="T234" s="84" t="s">
        <v>3570</v>
      </c>
      <c r="U234" s="84" t="s">
        <v>2243</v>
      </c>
      <c r="V234" s="84"/>
    </row>
    <row r="235" spans="1:22" x14ac:dyDescent="0.3">
      <c r="A235" s="1">
        <v>258</v>
      </c>
      <c r="B235" s="1" t="s">
        <v>60</v>
      </c>
      <c r="C235" s="2" t="s">
        <v>60</v>
      </c>
      <c r="D235" s="3" t="s">
        <v>40</v>
      </c>
      <c r="E235" s="3" t="s">
        <v>199</v>
      </c>
      <c r="F235" s="3" t="s">
        <v>1590</v>
      </c>
      <c r="G235" s="88" t="s">
        <v>1417</v>
      </c>
      <c r="H235" s="96">
        <v>1</v>
      </c>
      <c r="I235" s="3" t="s">
        <v>1355</v>
      </c>
      <c r="J235" s="7" t="s">
        <v>1904</v>
      </c>
      <c r="K235" s="4"/>
      <c r="L235" s="4" t="s">
        <v>3185</v>
      </c>
      <c r="M235" s="86" t="s">
        <v>3042</v>
      </c>
      <c r="N235" s="86" t="s">
        <v>3102</v>
      </c>
      <c r="O235" s="86"/>
      <c r="P235" s="86"/>
      <c r="Q235" s="86" t="s">
        <v>3185</v>
      </c>
      <c r="R235" s="86" t="str">
        <f t="shared" si="35"/>
        <v>abhinav.lal2@yes.bank.in, sanjeev.kumar30@yes.bank.in,suryanarayan.nayak@yes.bank.in,lonika.kotekar@yes.bank.in,shirajahmed.habib@yes.bank.in,Gaurav@kgac.in,AmanM@kgac.in,hariom@kgac.in</v>
      </c>
      <c r="S235" s="85" t="s">
        <v>3571</v>
      </c>
      <c r="T235" s="84" t="s">
        <v>3572</v>
      </c>
      <c r="U235" s="84" t="s">
        <v>2243</v>
      </c>
      <c r="V235" s="84"/>
    </row>
    <row r="236" spans="1:22" x14ac:dyDescent="0.3">
      <c r="A236" s="1">
        <v>259</v>
      </c>
      <c r="B236" s="1" t="s">
        <v>60</v>
      </c>
      <c r="C236" s="2" t="s">
        <v>60</v>
      </c>
      <c r="D236" s="3" t="s">
        <v>40</v>
      </c>
      <c r="E236" s="3" t="s">
        <v>199</v>
      </c>
      <c r="F236" s="3" t="s">
        <v>1592</v>
      </c>
      <c r="G236" s="88" t="s">
        <v>1417</v>
      </c>
      <c r="H236" s="96">
        <v>1</v>
      </c>
      <c r="I236" s="3" t="s">
        <v>1362</v>
      </c>
      <c r="J236" s="7" t="s">
        <v>1904</v>
      </c>
      <c r="K236" s="4"/>
      <c r="L236" s="4" t="s">
        <v>3189</v>
      </c>
      <c r="M236" s="86" t="s">
        <v>3040</v>
      </c>
      <c r="N236" s="86" t="s">
        <v>2936</v>
      </c>
      <c r="O236" s="86"/>
      <c r="P236" s="86"/>
      <c r="Q236" s="86" t="s">
        <v>3189</v>
      </c>
      <c r="R236" s="86" t="str">
        <f t="shared" si="35"/>
        <v>sameer.dhar@yes.bank.in,vivek.shukla4@yes.bank.in,lonika.kotekar@yes.bank.in,shirajahmed.habib@yes.bank.in,Gaurav@kgac.in,AmanM@kgac.in,hariom@kgac.in</v>
      </c>
      <c r="S236" s="85" t="s">
        <v>3573</v>
      </c>
      <c r="T236" s="84" t="s">
        <v>3574</v>
      </c>
      <c r="U236" s="84" t="s">
        <v>2243</v>
      </c>
      <c r="V236" s="84"/>
    </row>
    <row r="237" spans="1:22" x14ac:dyDescent="0.3">
      <c r="A237" s="1">
        <v>260</v>
      </c>
      <c r="B237" s="1" t="s">
        <v>60</v>
      </c>
      <c r="C237" s="2" t="s">
        <v>60</v>
      </c>
      <c r="D237" s="3" t="s">
        <v>40</v>
      </c>
      <c r="E237" s="3" t="s">
        <v>199</v>
      </c>
      <c r="F237" s="3" t="s">
        <v>837</v>
      </c>
      <c r="G237" s="88" t="s">
        <v>1417</v>
      </c>
      <c r="H237" s="96">
        <v>1</v>
      </c>
      <c r="I237" s="3" t="s">
        <v>1365</v>
      </c>
      <c r="J237" s="7" t="s">
        <v>1904</v>
      </c>
      <c r="K237" s="4"/>
      <c r="L237" s="4" t="s">
        <v>3188</v>
      </c>
      <c r="M237" s="86" t="s">
        <v>3134</v>
      </c>
      <c r="N237" s="86" t="s">
        <v>3135</v>
      </c>
      <c r="O237" s="86"/>
      <c r="P237" s="86"/>
      <c r="Q237" s="86" t="s">
        <v>3188</v>
      </c>
      <c r="R237" s="86" t="str">
        <f t="shared" si="35"/>
        <v>dipak.dhandhukiya@yes.bank.in, abhinav.lal2@yes.bank.in,punit.sharma1@yes.bank.in, gopal.khatri@yes.bank.in,lonika.kotekar@yes.bank.in,shirajahmed.habib@yes.bank.in,Gaurav@kgac.in,AmanM@kgac.in,hariom@kgac.in</v>
      </c>
      <c r="S237" s="85" t="s">
        <v>3575</v>
      </c>
      <c r="T237" s="84" t="s">
        <v>3576</v>
      </c>
      <c r="U237" s="84" t="s">
        <v>2243</v>
      </c>
      <c r="V237" s="84"/>
    </row>
    <row r="238" spans="1:22" x14ac:dyDescent="0.3">
      <c r="A238" s="1">
        <v>261</v>
      </c>
      <c r="B238" s="1" t="s">
        <v>60</v>
      </c>
      <c r="C238" s="2" t="s">
        <v>60</v>
      </c>
      <c r="D238" s="3" t="s">
        <v>40</v>
      </c>
      <c r="E238" s="3" t="s">
        <v>199</v>
      </c>
      <c r="F238" s="3" t="s">
        <v>837</v>
      </c>
      <c r="G238" s="88" t="s">
        <v>1417</v>
      </c>
      <c r="H238" s="96">
        <v>1</v>
      </c>
      <c r="I238" s="3" t="s">
        <v>1364</v>
      </c>
      <c r="J238" s="7" t="s">
        <v>1904</v>
      </c>
      <c r="K238" s="4"/>
      <c r="L238" s="4" t="s">
        <v>3194</v>
      </c>
      <c r="M238" s="86" t="s">
        <v>3136</v>
      </c>
      <c r="N238" s="86" t="s">
        <v>3104</v>
      </c>
      <c r="O238" s="86"/>
      <c r="P238" s="86"/>
      <c r="Q238" s="86" t="s">
        <v>3194</v>
      </c>
      <c r="R238" s="86" t="str">
        <f t="shared" si="35"/>
        <v>rajnish.dwivedi@yes.bank.in,nitesh.madhavi@yes.bank.in,lonika.kotekar@yes.bank.in,shirajahmed.habib@yes.bank.in,Gaurav@kgac.in,AmanM@kgac.in,hariom@kgac.in</v>
      </c>
      <c r="S238" s="85" t="s">
        <v>3577</v>
      </c>
      <c r="T238" s="84" t="s">
        <v>3578</v>
      </c>
      <c r="U238" s="84" t="s">
        <v>2243</v>
      </c>
      <c r="V238" s="84"/>
    </row>
    <row r="239" spans="1:22" x14ac:dyDescent="0.3">
      <c r="A239" s="1">
        <v>262</v>
      </c>
      <c r="B239" s="1" t="s">
        <v>60</v>
      </c>
      <c r="C239" s="2" t="s">
        <v>60</v>
      </c>
      <c r="D239" s="3" t="s">
        <v>40</v>
      </c>
      <c r="E239" s="3" t="s">
        <v>199</v>
      </c>
      <c r="F239" s="3" t="s">
        <v>1594</v>
      </c>
      <c r="G239" s="88" t="s">
        <v>1417</v>
      </c>
      <c r="H239" s="96">
        <v>1</v>
      </c>
      <c r="I239" s="3" t="s">
        <v>1369</v>
      </c>
      <c r="J239" s="7" t="s">
        <v>1904</v>
      </c>
      <c r="K239" s="4"/>
      <c r="L239" s="4" t="s">
        <v>3189</v>
      </c>
      <c r="M239" s="86" t="s">
        <v>3040</v>
      </c>
      <c r="N239" s="86" t="s">
        <v>2936</v>
      </c>
      <c r="O239" s="86"/>
      <c r="P239" s="86"/>
      <c r="Q239" s="86" t="s">
        <v>3189</v>
      </c>
      <c r="R239" s="86" t="str">
        <f t="shared" si="35"/>
        <v>sameer.dhar@yes.bank.in,vivek.shukla4@yes.bank.in,lonika.kotekar@yes.bank.in,shirajahmed.habib@yes.bank.in,Gaurav@kgac.in,AmanM@kgac.in,hariom@kgac.in</v>
      </c>
      <c r="S239" s="85" t="s">
        <v>3579</v>
      </c>
      <c r="T239" s="84" t="s">
        <v>3580</v>
      </c>
      <c r="U239" s="84" t="s">
        <v>2243</v>
      </c>
      <c r="V239" s="84"/>
    </row>
    <row r="240" spans="1:22" x14ac:dyDescent="0.3">
      <c r="A240" s="1">
        <v>263</v>
      </c>
      <c r="B240" s="1" t="s">
        <v>60</v>
      </c>
      <c r="C240" s="2" t="s">
        <v>60</v>
      </c>
      <c r="D240" s="3" t="s">
        <v>40</v>
      </c>
      <c r="E240" s="3" t="s">
        <v>199</v>
      </c>
      <c r="F240" s="3" t="s">
        <v>1598</v>
      </c>
      <c r="G240" s="88" t="s">
        <v>1417</v>
      </c>
      <c r="H240" s="96">
        <v>1</v>
      </c>
      <c r="I240" s="3" t="s">
        <v>1374</v>
      </c>
      <c r="J240" s="7" t="s">
        <v>1904</v>
      </c>
      <c r="K240" s="4"/>
      <c r="L240" s="4" t="s">
        <v>3195</v>
      </c>
      <c r="M240" s="86" t="s">
        <v>3124</v>
      </c>
      <c r="N240" s="86" t="s">
        <v>2914</v>
      </c>
      <c r="O240" s="86"/>
      <c r="P240" s="86"/>
      <c r="Q240" s="86" t="s">
        <v>3195</v>
      </c>
      <c r="R240" s="86" t="str">
        <f t="shared" si="35"/>
        <v>vivek.joshi4@yes.bank.in,kishore.singh2@yes.bank.in,lonika.kotekar@yes.bank.in,shirajahmed.habib@yes.bank.in,Gaurav@kgac.in,AmanM@kgac.in,hariom@kgac.in</v>
      </c>
      <c r="S240" s="85" t="s">
        <v>3581</v>
      </c>
      <c r="T240" s="84" t="s">
        <v>3582</v>
      </c>
      <c r="U240" s="84" t="s">
        <v>2243</v>
      </c>
      <c r="V240" s="84"/>
    </row>
    <row r="241" spans="1:22" x14ac:dyDescent="0.3">
      <c r="A241" s="1">
        <v>264</v>
      </c>
      <c r="B241" s="1" t="s">
        <v>60</v>
      </c>
      <c r="C241" s="2" t="s">
        <v>60</v>
      </c>
      <c r="D241" s="3" t="s">
        <v>40</v>
      </c>
      <c r="E241" s="3" t="s">
        <v>199</v>
      </c>
      <c r="F241" s="3" t="s">
        <v>1598</v>
      </c>
      <c r="G241" s="88" t="s">
        <v>1417</v>
      </c>
      <c r="H241" s="96">
        <v>1</v>
      </c>
      <c r="I241" s="3" t="s">
        <v>1375</v>
      </c>
      <c r="J241" s="7" t="s">
        <v>1904</v>
      </c>
      <c r="K241" s="4"/>
      <c r="L241" s="4" t="s">
        <v>3189</v>
      </c>
      <c r="M241" s="86" t="s">
        <v>3124</v>
      </c>
      <c r="N241" s="86" t="s">
        <v>2914</v>
      </c>
      <c r="O241" s="86"/>
      <c r="P241" s="86"/>
      <c r="Q241" s="86" t="s">
        <v>3189</v>
      </c>
      <c r="R241" s="86" t="str">
        <f t="shared" si="35"/>
        <v>vivek.joshi4@yes.bank.in,kishore.singh2@yes.bank.in,lonika.kotekar@yes.bank.in,shirajahmed.habib@yes.bank.in,Gaurav@kgac.in,AmanM@kgac.in,hariom@kgac.in</v>
      </c>
      <c r="S241" s="85" t="s">
        <v>3583</v>
      </c>
      <c r="T241" s="84" t="s">
        <v>3584</v>
      </c>
      <c r="U241" s="84" t="s">
        <v>2243</v>
      </c>
      <c r="V241" s="84"/>
    </row>
    <row r="242" spans="1:22" x14ac:dyDescent="0.3">
      <c r="A242" s="1">
        <v>265</v>
      </c>
      <c r="B242" s="1" t="s">
        <v>60</v>
      </c>
      <c r="C242" s="2" t="s">
        <v>60</v>
      </c>
      <c r="D242" s="3" t="s">
        <v>40</v>
      </c>
      <c r="E242" s="3" t="s">
        <v>199</v>
      </c>
      <c r="F242" s="3" t="s">
        <v>1605</v>
      </c>
      <c r="G242" s="88" t="s">
        <v>1417</v>
      </c>
      <c r="H242" s="96">
        <v>1</v>
      </c>
      <c r="I242" s="3" t="s">
        <v>1388</v>
      </c>
      <c r="J242" s="7" t="s">
        <v>1904</v>
      </c>
      <c r="K242" s="4"/>
      <c r="L242" s="89" t="s">
        <v>3420</v>
      </c>
      <c r="M242" s="86" t="s">
        <v>2913</v>
      </c>
      <c r="N242" s="86" t="s">
        <v>2914</v>
      </c>
      <c r="O242" s="86"/>
      <c r="P242" s="86"/>
      <c r="Q242" s="90" t="s">
        <v>3420</v>
      </c>
      <c r="R242" s="86" t="str">
        <f t="shared" si="35"/>
        <v>vivek.joshi4@yes.bank.in,ashish.tiwari10@yes.bank.in,lonika.kotekar@yes.bank.in,shirajahmed.habib@yes.bank.in,Gaurav@kgac.in,AmanM@kgac.in,hariom@kgac.in</v>
      </c>
      <c r="S242" s="85" t="s">
        <v>3585</v>
      </c>
      <c r="T242" s="84" t="s">
        <v>3586</v>
      </c>
      <c r="U242" s="84" t="s">
        <v>2243</v>
      </c>
      <c r="V242" s="84"/>
    </row>
    <row r="243" spans="1:22" x14ac:dyDescent="0.3">
      <c r="A243" s="1">
        <v>266</v>
      </c>
      <c r="B243" s="1" t="s">
        <v>60</v>
      </c>
      <c r="C243" s="2" t="s">
        <v>60</v>
      </c>
      <c r="D243" s="3" t="s">
        <v>40</v>
      </c>
      <c r="E243" s="3" t="s">
        <v>199</v>
      </c>
      <c r="F243" s="3" t="s">
        <v>1607</v>
      </c>
      <c r="G243" s="88" t="s">
        <v>1417</v>
      </c>
      <c r="H243" s="96">
        <v>1</v>
      </c>
      <c r="I243" s="3" t="s">
        <v>1391</v>
      </c>
      <c r="J243" s="7" t="s">
        <v>1904</v>
      </c>
      <c r="K243" s="4"/>
      <c r="L243" s="4" t="s">
        <v>3189</v>
      </c>
      <c r="M243" s="86" t="s">
        <v>3124</v>
      </c>
      <c r="N243" s="86" t="s">
        <v>2914</v>
      </c>
      <c r="O243" s="86"/>
      <c r="P243" s="86"/>
      <c r="Q243" s="86" t="s">
        <v>3189</v>
      </c>
      <c r="R243" s="86" t="str">
        <f t="shared" si="35"/>
        <v>vivek.joshi4@yes.bank.in,kishore.singh2@yes.bank.in,lonika.kotekar@yes.bank.in,shirajahmed.habib@yes.bank.in,Gaurav@kgac.in,AmanM@kgac.in,hariom@kgac.in</v>
      </c>
      <c r="S243" s="85" t="s">
        <v>3587</v>
      </c>
      <c r="T243" s="84" t="s">
        <v>3588</v>
      </c>
      <c r="U243" s="84" t="s">
        <v>2243</v>
      </c>
      <c r="V243" s="84"/>
    </row>
    <row r="244" spans="1:22" x14ac:dyDescent="0.3">
      <c r="A244" s="1">
        <v>267</v>
      </c>
      <c r="B244" s="1" t="s">
        <v>60</v>
      </c>
      <c r="C244" s="2" t="s">
        <v>60</v>
      </c>
      <c r="D244" s="3" t="s">
        <v>40</v>
      </c>
      <c r="E244" s="3" t="s">
        <v>199</v>
      </c>
      <c r="F244" s="3" t="s">
        <v>1613</v>
      </c>
      <c r="G244" s="88" t="s">
        <v>1417</v>
      </c>
      <c r="H244" s="96">
        <v>1</v>
      </c>
      <c r="I244" s="3" t="s">
        <v>1404</v>
      </c>
      <c r="J244" s="7" t="s">
        <v>1904</v>
      </c>
      <c r="K244" s="4"/>
      <c r="L244" s="4" t="s">
        <v>3190</v>
      </c>
      <c r="M244" s="86" t="s">
        <v>3070</v>
      </c>
      <c r="N244" s="86" t="s">
        <v>3045</v>
      </c>
      <c r="O244" s="86"/>
      <c r="P244" s="86"/>
      <c r="Q244" s="86" t="s">
        <v>3190</v>
      </c>
      <c r="R244" s="86" t="str">
        <f t="shared" si="35"/>
        <v>sanjeev.kumar30@yes.bank.in,shyam.parkash@yes.bank.in,lonika.kotekar@yes.bank.in,shirajahmed.habib@yes.bank.in,Gaurav@kgac.in,AmanM@kgac.in,hariom@kgac.in</v>
      </c>
      <c r="S244" s="85" t="s">
        <v>3589</v>
      </c>
      <c r="T244" s="84" t="s">
        <v>3590</v>
      </c>
      <c r="U244" s="84" t="s">
        <v>2243</v>
      </c>
      <c r="V244" s="84"/>
    </row>
    <row r="245" spans="1:22" x14ac:dyDescent="0.3">
      <c r="A245" s="1">
        <v>268</v>
      </c>
      <c r="B245" s="1" t="s">
        <v>60</v>
      </c>
      <c r="C245" s="2" t="s">
        <v>60</v>
      </c>
      <c r="D245" s="3" t="s">
        <v>40</v>
      </c>
      <c r="E245" s="3" t="s">
        <v>199</v>
      </c>
      <c r="F245" s="3" t="s">
        <v>1047</v>
      </c>
      <c r="G245" s="88" t="s">
        <v>1417</v>
      </c>
      <c r="H245" s="96">
        <v>1</v>
      </c>
      <c r="I245" s="3" t="s">
        <v>1406</v>
      </c>
      <c r="J245" s="7" t="s">
        <v>1904</v>
      </c>
      <c r="K245" s="4"/>
      <c r="L245" s="4" t="s">
        <v>3190</v>
      </c>
      <c r="M245" s="86" t="s">
        <v>3040</v>
      </c>
      <c r="N245" s="86" t="s">
        <v>2936</v>
      </c>
      <c r="O245" s="86"/>
      <c r="P245" s="86"/>
      <c r="Q245" s="86" t="s">
        <v>3190</v>
      </c>
      <c r="R245" s="86" t="str">
        <f t="shared" si="35"/>
        <v>sameer.dhar@yes.bank.in,vivek.shukla4@yes.bank.in,lonika.kotekar@yes.bank.in,shirajahmed.habib@yes.bank.in,Gaurav@kgac.in,AmanM@kgac.in,hariom@kgac.in</v>
      </c>
      <c r="S245" s="85" t="s">
        <v>3591</v>
      </c>
      <c r="T245" s="84" t="s">
        <v>3592</v>
      </c>
      <c r="U245" s="84" t="s">
        <v>2243</v>
      </c>
      <c r="V245" s="84"/>
    </row>
    <row r="246" spans="1:22" x14ac:dyDescent="0.3">
      <c r="A246" s="1">
        <v>269</v>
      </c>
      <c r="B246" s="1" t="s">
        <v>60</v>
      </c>
      <c r="C246" s="2" t="s">
        <v>60</v>
      </c>
      <c r="D246" s="3" t="s">
        <v>40</v>
      </c>
      <c r="E246" s="3" t="s">
        <v>199</v>
      </c>
      <c r="F246" s="3" t="s">
        <v>1047</v>
      </c>
      <c r="G246" s="88" t="s">
        <v>1417</v>
      </c>
      <c r="H246" s="96">
        <v>1</v>
      </c>
      <c r="I246" s="3" t="s">
        <v>1405</v>
      </c>
      <c r="J246" s="7" t="s">
        <v>1904</v>
      </c>
      <c r="K246" s="4"/>
      <c r="L246" s="4" t="s">
        <v>3190</v>
      </c>
      <c r="M246" s="86" t="s">
        <v>3047</v>
      </c>
      <c r="N246" s="86" t="s">
        <v>2936</v>
      </c>
      <c r="O246" s="86"/>
      <c r="P246" s="86"/>
      <c r="Q246" s="86" t="s">
        <v>3190</v>
      </c>
      <c r="R246" s="86" t="str">
        <f t="shared" si="35"/>
        <v>sameer.dhar@yes.bank.in,manpreet.singh29@yes.bank.in,lonika.kotekar@yes.bank.in,shirajahmed.habib@yes.bank.in,Gaurav@kgac.in,AmanM@kgac.in,hariom@kgac.in</v>
      </c>
      <c r="S246" s="85" t="s">
        <v>3593</v>
      </c>
      <c r="T246" s="84" t="s">
        <v>3594</v>
      </c>
      <c r="U246" s="84" t="s">
        <v>2243</v>
      </c>
      <c r="V246" s="84"/>
    </row>
    <row r="247" spans="1:22" x14ac:dyDescent="0.3">
      <c r="A247" s="1">
        <v>270</v>
      </c>
      <c r="B247" s="1" t="s">
        <v>60</v>
      </c>
      <c r="C247" s="2" t="s">
        <v>60</v>
      </c>
      <c r="D247" s="3" t="s">
        <v>40</v>
      </c>
      <c r="E247" s="3" t="s">
        <v>199</v>
      </c>
      <c r="F247" s="3" t="s">
        <v>1615</v>
      </c>
      <c r="G247" s="88" t="s">
        <v>1417</v>
      </c>
      <c r="H247" s="96">
        <v>1</v>
      </c>
      <c r="I247" s="3" t="s">
        <v>1408</v>
      </c>
      <c r="J247" s="7" t="s">
        <v>1904</v>
      </c>
      <c r="K247" s="4"/>
      <c r="L247" s="4" t="s">
        <v>3188</v>
      </c>
      <c r="M247" s="86" t="s">
        <v>3070</v>
      </c>
      <c r="N247" s="86" t="s">
        <v>2914</v>
      </c>
      <c r="O247" s="86"/>
      <c r="P247" s="86"/>
      <c r="Q247" s="86" t="s">
        <v>3188</v>
      </c>
      <c r="R247" s="86" t="str">
        <f t="shared" si="35"/>
        <v>vivek.joshi4@yes.bank.in,shyam.parkash@yes.bank.in,lonika.kotekar@yes.bank.in,shirajahmed.habib@yes.bank.in,Gaurav@kgac.in,AmanM@kgac.in,hariom@kgac.in</v>
      </c>
      <c r="S247" s="85" t="s">
        <v>3595</v>
      </c>
      <c r="T247" s="84" t="s">
        <v>3596</v>
      </c>
      <c r="U247" s="84" t="s">
        <v>2243</v>
      </c>
      <c r="V247" s="84"/>
    </row>
    <row r="248" spans="1:22" x14ac:dyDescent="0.3">
      <c r="A248" s="1">
        <v>271</v>
      </c>
      <c r="B248" s="1" t="s">
        <v>60</v>
      </c>
      <c r="C248" s="2" t="s">
        <v>60</v>
      </c>
      <c r="D248" s="3" t="s">
        <v>40</v>
      </c>
      <c r="E248" s="3" t="s">
        <v>199</v>
      </c>
      <c r="F248" s="3" t="s">
        <v>540</v>
      </c>
      <c r="G248" s="88" t="s">
        <v>1417</v>
      </c>
      <c r="H248" s="96">
        <v>1</v>
      </c>
      <c r="I248" s="3" t="s">
        <v>1411</v>
      </c>
      <c r="J248" s="7" t="s">
        <v>1904</v>
      </c>
      <c r="K248" s="4"/>
      <c r="L248" s="4" t="s">
        <v>3188</v>
      </c>
      <c r="M248" s="86" t="s">
        <v>3137</v>
      </c>
      <c r="N248" s="86" t="s">
        <v>2914</v>
      </c>
      <c r="O248" s="86"/>
      <c r="P248" s="86"/>
      <c r="Q248" s="86" t="s">
        <v>3188</v>
      </c>
      <c r="R248" s="86" t="str">
        <f t="shared" si="35"/>
        <v>vivek.joshi4@yes.bank.in,shyam.parkash@yes.bank.in, kishore.singh2@yes.bank.in,lonika.kotekar@yes.bank.in,shirajahmed.habib@yes.bank.in,Gaurav@kgac.in,AmanM@kgac.in,hariom@kgac.in</v>
      </c>
      <c r="S248" s="85" t="s">
        <v>3597</v>
      </c>
      <c r="T248" s="84" t="s">
        <v>3598</v>
      </c>
      <c r="U248" s="84" t="s">
        <v>2243</v>
      </c>
      <c r="V248" s="84"/>
    </row>
    <row r="249" spans="1:22" x14ac:dyDescent="0.3">
      <c r="A249" s="1">
        <v>272</v>
      </c>
      <c r="B249" s="1" t="s">
        <v>60</v>
      </c>
      <c r="C249" s="2" t="s">
        <v>60</v>
      </c>
      <c r="D249" s="3" t="s">
        <v>40</v>
      </c>
      <c r="E249" s="3" t="s">
        <v>61</v>
      </c>
      <c r="F249" s="3" t="s">
        <v>593</v>
      </c>
      <c r="G249" s="88" t="s">
        <v>1417</v>
      </c>
      <c r="H249" s="96">
        <v>1</v>
      </c>
      <c r="I249" s="3" t="s">
        <v>1286</v>
      </c>
      <c r="J249" s="7" t="s">
        <v>1904</v>
      </c>
      <c r="K249" s="4"/>
      <c r="L249" s="4" t="s">
        <v>3196</v>
      </c>
      <c r="M249" s="86" t="s">
        <v>3138</v>
      </c>
      <c r="N249" s="86" t="s">
        <v>3139</v>
      </c>
      <c r="O249" s="86"/>
      <c r="P249" s="86"/>
      <c r="Q249" s="86" t="s">
        <v>3196</v>
      </c>
      <c r="R249" s="86" t="str">
        <f t="shared" si="35"/>
        <v>sameer.dhar@yes.bank.in, abhinav.lal2@yes.bank.in, sanjeev.kumar30@yes.bank.in,vivek.shukla4@yes.bank.in, amit.pandey12@yes.bank.in, sushim.kumar@yes.bank.in, shyam.parkash@yes.bank.in,lonika.kotekar@yes.bank.in,shirajahmed.habib@yes.bank.in,Gaurav@kgac.in,AmanM@kgac.in,hariom@kgac.in</v>
      </c>
      <c r="S249" s="85" t="s">
        <v>3599</v>
      </c>
      <c r="T249" s="84" t="s">
        <v>3600</v>
      </c>
      <c r="U249" s="84" t="s">
        <v>2253</v>
      </c>
      <c r="V249" s="84"/>
    </row>
    <row r="250" spans="1:22" x14ac:dyDescent="0.3">
      <c r="A250" s="1">
        <v>273</v>
      </c>
      <c r="B250" s="1" t="s">
        <v>60</v>
      </c>
      <c r="C250" s="2" t="s">
        <v>60</v>
      </c>
      <c r="D250" s="3" t="s">
        <v>40</v>
      </c>
      <c r="E250" s="3" t="s">
        <v>61</v>
      </c>
      <c r="F250" s="3" t="s">
        <v>593</v>
      </c>
      <c r="G250" s="88" t="s">
        <v>1417</v>
      </c>
      <c r="H250" s="96">
        <v>1</v>
      </c>
      <c r="I250" s="3" t="s">
        <v>1285</v>
      </c>
      <c r="J250" s="7" t="s">
        <v>1904</v>
      </c>
      <c r="K250" s="4"/>
      <c r="L250" s="4" t="s">
        <v>3196</v>
      </c>
      <c r="M250" s="86" t="s">
        <v>3140</v>
      </c>
      <c r="N250" s="86" t="s">
        <v>3141</v>
      </c>
      <c r="O250" s="86"/>
      <c r="P250" s="86"/>
      <c r="Q250" s="86" t="s">
        <v>3196</v>
      </c>
      <c r="R250" s="86" t="str">
        <f t="shared" si="35"/>
        <v>sameer.dhar@yes.bank.in, sanjeev.kumar30@yes.bank.in, abhinav.lal2@yes.bank.in, SAGAR.CHOUDHARI@yes.bank.in,shyam.parkash@yes.bank.in, amit.pandey12@yes.bank.in, sourabh.parihar@yes.bank.in, vivek.shukla4@yes.bank.in,lonika.kotekar@yes.bank.in,shirajahmed.habib@yes.bank.in,Gaurav@kgac.in,AmanM@kgac.in,hariom@kgac.in</v>
      </c>
      <c r="S250" s="85" t="s">
        <v>3601</v>
      </c>
      <c r="T250" s="84" t="s">
        <v>3602</v>
      </c>
      <c r="U250" s="84" t="s">
        <v>2253</v>
      </c>
      <c r="V250" s="84"/>
    </row>
    <row r="251" spans="1:22" x14ac:dyDescent="0.3">
      <c r="A251" s="1">
        <v>274</v>
      </c>
      <c r="B251" s="1" t="s">
        <v>60</v>
      </c>
      <c r="C251" s="2" t="s">
        <v>60</v>
      </c>
      <c r="D251" s="3" t="s">
        <v>40</v>
      </c>
      <c r="E251" s="3" t="s">
        <v>61</v>
      </c>
      <c r="F251" s="3" t="s">
        <v>1551</v>
      </c>
      <c r="G251" s="88" t="s">
        <v>1417</v>
      </c>
      <c r="H251" s="96">
        <v>1</v>
      </c>
      <c r="I251" s="3" t="s">
        <v>1290</v>
      </c>
      <c r="J251" s="7" t="s">
        <v>1904</v>
      </c>
      <c r="K251" s="4"/>
      <c r="L251" s="4" t="s">
        <v>3197</v>
      </c>
      <c r="M251" s="86" t="s">
        <v>3142</v>
      </c>
      <c r="N251" s="86" t="s">
        <v>3143</v>
      </c>
      <c r="O251" s="86"/>
      <c r="P251" s="86"/>
      <c r="Q251" s="86" t="s">
        <v>3197</v>
      </c>
      <c r="R251" s="86" t="str">
        <f t="shared" si="35"/>
        <v>abhinav.lal2@yes.bank.in, sameer.dhar@yes.bank.in, sanjeev.kumar30@yes.bank.in,abhinav.lal2@yes.bank.in, amit.pandey12@yes.bank.in, vivek.shukla4@yes.bank.in,lonika.kotekar@yes.bank.in,shirajahmed.habib@yes.bank.in,Gaurav@kgac.in,AmanM@kgac.in,hariom@kgac.in</v>
      </c>
      <c r="S251" s="85" t="s">
        <v>3603</v>
      </c>
      <c r="T251" s="84" t="s">
        <v>3604</v>
      </c>
      <c r="U251" s="84" t="s">
        <v>2253</v>
      </c>
      <c r="V251" s="84"/>
    </row>
    <row r="252" spans="1:22" x14ac:dyDescent="0.3">
      <c r="A252" s="1">
        <v>275</v>
      </c>
      <c r="B252" s="1" t="s">
        <v>60</v>
      </c>
      <c r="C252" s="2" t="s">
        <v>60</v>
      </c>
      <c r="D252" s="3" t="s">
        <v>40</v>
      </c>
      <c r="E252" s="3" t="s">
        <v>61</v>
      </c>
      <c r="F252" s="3" t="s">
        <v>889</v>
      </c>
      <c r="G252" s="88" t="s">
        <v>1417</v>
      </c>
      <c r="H252" s="96">
        <v>1</v>
      </c>
      <c r="I252" s="3" t="s">
        <v>1291</v>
      </c>
      <c r="J252" s="7" t="s">
        <v>1904</v>
      </c>
      <c r="K252" s="4"/>
      <c r="L252" s="4" t="s">
        <v>3198</v>
      </c>
      <c r="M252" s="86" t="s">
        <v>3144</v>
      </c>
      <c r="N252" s="86" t="s">
        <v>3045</v>
      </c>
      <c r="O252" s="86"/>
      <c r="P252" s="86"/>
      <c r="Q252" s="86" t="s">
        <v>3198</v>
      </c>
      <c r="R252" s="86" t="str">
        <f t="shared" si="35"/>
        <v>sanjeev.kumar30@yes.bank.in,prashant.singh7@yes.bank.in,lonika.kotekar@yes.bank.in,shirajahmed.habib@yes.bank.in,Gaurav@kgac.in,AmanM@kgac.in,hariom@kgac.in</v>
      </c>
      <c r="S252" s="85" t="s">
        <v>3605</v>
      </c>
      <c r="T252" s="84" t="s">
        <v>3606</v>
      </c>
      <c r="U252" s="84" t="s">
        <v>2253</v>
      </c>
      <c r="V252" s="84"/>
    </row>
    <row r="253" spans="1:22" x14ac:dyDescent="0.3">
      <c r="A253" s="1">
        <v>276</v>
      </c>
      <c r="B253" s="1" t="s">
        <v>60</v>
      </c>
      <c r="C253" s="2" t="s">
        <v>60</v>
      </c>
      <c r="D253" s="3" t="s">
        <v>40</v>
      </c>
      <c r="E253" s="3" t="s">
        <v>61</v>
      </c>
      <c r="F253" s="3" t="s">
        <v>1556</v>
      </c>
      <c r="G253" s="88" t="s">
        <v>1417</v>
      </c>
      <c r="H253" s="96">
        <v>1</v>
      </c>
      <c r="I253" s="3" t="s">
        <v>1298</v>
      </c>
      <c r="J253" s="7" t="s">
        <v>1904</v>
      </c>
      <c r="K253" s="4"/>
      <c r="L253" s="4" t="s">
        <v>3176</v>
      </c>
      <c r="M253" s="86" t="s">
        <v>3145</v>
      </c>
      <c r="N253" s="86" t="s">
        <v>2936</v>
      </c>
      <c r="O253" s="86"/>
      <c r="P253" s="86"/>
      <c r="Q253" s="86" t="s">
        <v>3176</v>
      </c>
      <c r="R253" s="86" t="str">
        <f t="shared" si="35"/>
        <v>sameer.dhar@yes.bank.in,rittin.arya@yes.bank.in, shyam.parkash@yes.bank.in,lonika.kotekar@yes.bank.in,shirajahmed.habib@yes.bank.in,Gaurav@kgac.in,AmanM@kgac.in,hariom@kgac.in</v>
      </c>
      <c r="S253" s="85" t="s">
        <v>3607</v>
      </c>
      <c r="T253" s="84" t="s">
        <v>3608</v>
      </c>
      <c r="U253" s="84" t="s">
        <v>2253</v>
      </c>
      <c r="V253" s="84"/>
    </row>
    <row r="254" spans="1:22" x14ac:dyDescent="0.3">
      <c r="A254" s="1">
        <v>277</v>
      </c>
      <c r="B254" s="1" t="s">
        <v>60</v>
      </c>
      <c r="C254" s="2" t="s">
        <v>60</v>
      </c>
      <c r="D254" s="3" t="s">
        <v>40</v>
      </c>
      <c r="E254" s="3" t="s">
        <v>61</v>
      </c>
      <c r="F254" s="3" t="s">
        <v>1560</v>
      </c>
      <c r="G254" s="88" t="s">
        <v>1417</v>
      </c>
      <c r="H254" s="96">
        <v>1</v>
      </c>
      <c r="I254" s="3" t="s">
        <v>1303</v>
      </c>
      <c r="J254" s="7" t="s">
        <v>1904</v>
      </c>
      <c r="K254" s="4"/>
      <c r="L254" s="4" t="s">
        <v>3196</v>
      </c>
      <c r="M254" s="86" t="s">
        <v>3040</v>
      </c>
      <c r="N254" s="86" t="s">
        <v>3139</v>
      </c>
      <c r="O254" s="86"/>
      <c r="P254" s="86"/>
      <c r="Q254" s="86" t="s">
        <v>3196</v>
      </c>
      <c r="R254" s="86" t="str">
        <f t="shared" si="35"/>
        <v>sameer.dhar@yes.bank.in, abhinav.lal2@yes.bank.in, sanjeev.kumar30@yes.bank.in,vivek.shukla4@yes.bank.in,lonika.kotekar@yes.bank.in,shirajahmed.habib@yes.bank.in,Gaurav@kgac.in,AmanM@kgac.in,hariom@kgac.in</v>
      </c>
      <c r="S254" s="85" t="s">
        <v>3609</v>
      </c>
      <c r="T254" s="84" t="s">
        <v>3610</v>
      </c>
      <c r="U254" s="84" t="s">
        <v>2253</v>
      </c>
      <c r="V254" s="84"/>
    </row>
    <row r="255" spans="1:22" x14ac:dyDescent="0.3">
      <c r="A255" s="1">
        <v>278</v>
      </c>
      <c r="B255" s="1" t="s">
        <v>60</v>
      </c>
      <c r="C255" s="2" t="s">
        <v>60</v>
      </c>
      <c r="D255" s="3" t="s">
        <v>40</v>
      </c>
      <c r="E255" s="3" t="s">
        <v>61</v>
      </c>
      <c r="F255" s="3" t="s">
        <v>1569</v>
      </c>
      <c r="G255" s="88" t="s">
        <v>1417</v>
      </c>
      <c r="H255" s="96">
        <v>1</v>
      </c>
      <c r="I255" s="3" t="s">
        <v>1314</v>
      </c>
      <c r="J255" s="7" t="s">
        <v>1904</v>
      </c>
      <c r="K255" s="4"/>
      <c r="L255" s="4" t="s">
        <v>3199</v>
      </c>
      <c r="M255" s="86" t="s">
        <v>3070</v>
      </c>
      <c r="N255" s="86" t="s">
        <v>2944</v>
      </c>
      <c r="O255" s="86"/>
      <c r="P255" s="86"/>
      <c r="Q255" s="86" t="s">
        <v>3199</v>
      </c>
      <c r="R255" s="86" t="str">
        <f t="shared" si="35"/>
        <v>abhinav.lal2@yes.bank.in,shyam.parkash@yes.bank.in,lonika.kotekar@yes.bank.in,shirajahmed.habib@yes.bank.in,Gaurav@kgac.in,AmanM@kgac.in,hariom@kgac.in</v>
      </c>
      <c r="S255" s="85" t="s">
        <v>3611</v>
      </c>
      <c r="T255" s="84" t="s">
        <v>3612</v>
      </c>
      <c r="U255" s="84" t="s">
        <v>2253</v>
      </c>
      <c r="V255" s="84"/>
    </row>
    <row r="256" spans="1:22" x14ac:dyDescent="0.3">
      <c r="A256" s="1">
        <v>279</v>
      </c>
      <c r="B256" s="1" t="s">
        <v>60</v>
      </c>
      <c r="C256" s="2" t="s">
        <v>60</v>
      </c>
      <c r="D256" s="3" t="s">
        <v>40</v>
      </c>
      <c r="E256" s="3" t="s">
        <v>61</v>
      </c>
      <c r="F256" s="3" t="s">
        <v>1570</v>
      </c>
      <c r="G256" s="88" t="s">
        <v>1417</v>
      </c>
      <c r="H256" s="96">
        <v>1</v>
      </c>
      <c r="I256" s="3" t="s">
        <v>1315</v>
      </c>
      <c r="J256" s="7" t="s">
        <v>1904</v>
      </c>
      <c r="K256" s="4"/>
      <c r="L256" s="4" t="s">
        <v>3197</v>
      </c>
      <c r="M256" s="90" t="s">
        <v>2859</v>
      </c>
      <c r="N256" s="86" t="s">
        <v>3146</v>
      </c>
      <c r="O256" s="86"/>
      <c r="P256" s="86"/>
      <c r="Q256" s="86" t="s">
        <v>3197</v>
      </c>
      <c r="R256" s="86" t="str">
        <f t="shared" si="35"/>
        <v>sanjeev.kumar30@yes.bank.in, abhinav.lal2@yes.bank.in,sumit.narang@yes.bank.in,lonika.kotekar@yes.bank.in,shirajahmed.habib@yes.bank.in,Gaurav@kgac.in,AmanM@kgac.in,hariom@kgac.in</v>
      </c>
      <c r="S256" s="85" t="s">
        <v>3613</v>
      </c>
      <c r="T256" s="84" t="s">
        <v>3614</v>
      </c>
      <c r="U256" s="84" t="s">
        <v>2253</v>
      </c>
      <c r="V256" s="84"/>
    </row>
    <row r="257" spans="1:22" x14ac:dyDescent="0.3">
      <c r="A257" s="1">
        <v>280</v>
      </c>
      <c r="B257" s="1" t="s">
        <v>60</v>
      </c>
      <c r="C257" s="2" t="s">
        <v>60</v>
      </c>
      <c r="D257" s="3" t="s">
        <v>40</v>
      </c>
      <c r="E257" s="3" t="s">
        <v>61</v>
      </c>
      <c r="F257" s="3" t="s">
        <v>1570</v>
      </c>
      <c r="G257" s="88" t="s">
        <v>1417</v>
      </c>
      <c r="H257" s="96">
        <v>1</v>
      </c>
      <c r="I257" s="3" t="s">
        <v>1316</v>
      </c>
      <c r="J257" s="7" t="s">
        <v>1904</v>
      </c>
      <c r="K257" s="4"/>
      <c r="L257" s="4" t="s">
        <v>3197</v>
      </c>
      <c r="M257" s="86" t="s">
        <v>3070</v>
      </c>
      <c r="N257" s="86" t="s">
        <v>3146</v>
      </c>
      <c r="O257" s="86"/>
      <c r="P257" s="86"/>
      <c r="Q257" s="86" t="s">
        <v>3197</v>
      </c>
      <c r="R257" s="86" t="str">
        <f t="shared" si="35"/>
        <v>sanjeev.kumar30@yes.bank.in, abhinav.lal2@yes.bank.in,shyam.parkash@yes.bank.in,lonika.kotekar@yes.bank.in,shirajahmed.habib@yes.bank.in,Gaurav@kgac.in,AmanM@kgac.in,hariom@kgac.in</v>
      </c>
      <c r="S257" s="85" t="s">
        <v>3615</v>
      </c>
      <c r="T257" s="84" t="s">
        <v>3616</v>
      </c>
      <c r="U257" s="84" t="s">
        <v>2253</v>
      </c>
      <c r="V257" s="84"/>
    </row>
    <row r="258" spans="1:22" x14ac:dyDescent="0.3">
      <c r="A258" s="1">
        <v>281</v>
      </c>
      <c r="B258" s="1" t="s">
        <v>60</v>
      </c>
      <c r="C258" s="2" t="s">
        <v>60</v>
      </c>
      <c r="D258" s="3" t="s">
        <v>40</v>
      </c>
      <c r="E258" s="3" t="s">
        <v>61</v>
      </c>
      <c r="F258" s="3" t="s">
        <v>1578</v>
      </c>
      <c r="G258" s="88" t="s">
        <v>1417</v>
      </c>
      <c r="H258" s="96">
        <v>1</v>
      </c>
      <c r="I258" s="3" t="s">
        <v>1332</v>
      </c>
      <c r="J258" s="7" t="s">
        <v>1904</v>
      </c>
      <c r="K258" s="4"/>
      <c r="L258" s="4" t="s">
        <v>3199</v>
      </c>
      <c r="M258" s="86" t="s">
        <v>3147</v>
      </c>
      <c r="N258" s="86" t="s">
        <v>3148</v>
      </c>
      <c r="O258" s="86"/>
      <c r="P258" s="86"/>
      <c r="Q258" s="86" t="s">
        <v>3199</v>
      </c>
      <c r="R258" s="86" t="str">
        <f t="shared" si="35"/>
        <v>sameer.dhar@yes.bank.in, dipak.dhandhukiya@yes.bank.in,kushpal.singh@yes.bank.in, sourabh.parihar@yes.bank.in, rittin.arya@yes.bank.in,lonika.kotekar@yes.bank.in,shirajahmed.habib@yes.bank.in,Gaurav@kgac.in,AmanM@kgac.in,hariom@kgac.in</v>
      </c>
      <c r="S258" s="85" t="s">
        <v>3617</v>
      </c>
      <c r="T258" s="84" t="s">
        <v>3618</v>
      </c>
      <c r="U258" s="84" t="s">
        <v>2253</v>
      </c>
      <c r="V258" s="84"/>
    </row>
    <row r="259" spans="1:22" x14ac:dyDescent="0.3">
      <c r="A259" s="1">
        <v>282</v>
      </c>
      <c r="B259" s="1" t="s">
        <v>60</v>
      </c>
      <c r="C259" s="2" t="s">
        <v>60</v>
      </c>
      <c r="D259" s="3" t="s">
        <v>40</v>
      </c>
      <c r="E259" s="3" t="s">
        <v>61</v>
      </c>
      <c r="F259" s="3" t="s">
        <v>1579</v>
      </c>
      <c r="G259" s="88" t="s">
        <v>1417</v>
      </c>
      <c r="H259" s="96">
        <v>1</v>
      </c>
      <c r="I259" s="3" t="s">
        <v>1333</v>
      </c>
      <c r="J259" s="7" t="s">
        <v>1904</v>
      </c>
      <c r="K259" s="4"/>
      <c r="L259" s="4" t="s">
        <v>3200</v>
      </c>
      <c r="M259" s="86" t="s">
        <v>3040</v>
      </c>
      <c r="N259" s="86" t="s">
        <v>3139</v>
      </c>
      <c r="O259" s="86"/>
      <c r="P259" s="86"/>
      <c r="Q259" s="86" t="s">
        <v>3200</v>
      </c>
      <c r="R259" s="86" t="str">
        <f t="shared" ref="R259:R295" si="36">_xlfn.TEXTJOIN(",",TRUE,O259,N259,M259,"lonika.kotekar@yes.bank.in,shirajahmed.habib@yes.bank.in,Gaurav@kgac.in,AmanM@kgac.in,hariom@kgac.in")</f>
        <v>sameer.dhar@yes.bank.in, abhinav.lal2@yes.bank.in, sanjeev.kumar30@yes.bank.in,vivek.shukla4@yes.bank.in,lonika.kotekar@yes.bank.in,shirajahmed.habib@yes.bank.in,Gaurav@kgac.in,AmanM@kgac.in,hariom@kgac.in</v>
      </c>
      <c r="S259" s="85" t="s">
        <v>3619</v>
      </c>
      <c r="T259" s="84" t="s">
        <v>3620</v>
      </c>
      <c r="U259" s="84" t="s">
        <v>2253</v>
      </c>
      <c r="V259" s="84"/>
    </row>
    <row r="260" spans="1:22" x14ac:dyDescent="0.3">
      <c r="A260" s="1">
        <v>283</v>
      </c>
      <c r="B260" s="1" t="s">
        <v>60</v>
      </c>
      <c r="C260" s="2" t="s">
        <v>60</v>
      </c>
      <c r="D260" s="3" t="s">
        <v>40</v>
      </c>
      <c r="E260" s="3" t="s">
        <v>61</v>
      </c>
      <c r="F260" s="3" t="s">
        <v>1581</v>
      </c>
      <c r="G260" s="88" t="s">
        <v>1417</v>
      </c>
      <c r="H260" s="96">
        <v>1</v>
      </c>
      <c r="I260" s="3" t="s">
        <v>1335</v>
      </c>
      <c r="J260" s="7" t="s">
        <v>1904</v>
      </c>
      <c r="K260" s="4"/>
      <c r="L260" s="4" t="s">
        <v>3196</v>
      </c>
      <c r="M260" s="86" t="s">
        <v>3046</v>
      </c>
      <c r="N260" s="86" t="s">
        <v>3148</v>
      </c>
      <c r="O260" s="86"/>
      <c r="P260" s="86"/>
      <c r="Q260" s="86" t="s">
        <v>3196</v>
      </c>
      <c r="R260" s="86" t="str">
        <f t="shared" si="36"/>
        <v>sameer.dhar@yes.bank.in, dipak.dhandhukiya@yes.bank.in,kushpal.singh@yes.bank.in,lonika.kotekar@yes.bank.in,shirajahmed.habib@yes.bank.in,Gaurav@kgac.in,AmanM@kgac.in,hariom@kgac.in</v>
      </c>
      <c r="S260" s="85" t="s">
        <v>3621</v>
      </c>
      <c r="T260" s="84" t="s">
        <v>3622</v>
      </c>
      <c r="U260" s="84" t="s">
        <v>2253</v>
      </c>
      <c r="V260" s="84"/>
    </row>
    <row r="261" spans="1:22" x14ac:dyDescent="0.3">
      <c r="A261" s="1">
        <v>284</v>
      </c>
      <c r="B261" s="1" t="s">
        <v>60</v>
      </c>
      <c r="C261" s="2" t="s">
        <v>60</v>
      </c>
      <c r="D261" s="3" t="s">
        <v>40</v>
      </c>
      <c r="E261" s="3" t="s">
        <v>61</v>
      </c>
      <c r="F261" s="3" t="s">
        <v>1582</v>
      </c>
      <c r="G261" s="88" t="s">
        <v>1417</v>
      </c>
      <c r="H261" s="96">
        <v>1</v>
      </c>
      <c r="I261" s="3" t="s">
        <v>1337</v>
      </c>
      <c r="J261" s="7" t="s">
        <v>1904</v>
      </c>
      <c r="K261" s="4"/>
      <c r="L261" s="4" t="s">
        <v>3201</v>
      </c>
      <c r="M261" s="86" t="s">
        <v>3145</v>
      </c>
      <c r="N261" s="86" t="s">
        <v>2944</v>
      </c>
      <c r="O261" s="86"/>
      <c r="P261" s="86"/>
      <c r="Q261" s="86" t="s">
        <v>3201</v>
      </c>
      <c r="R261" s="86" t="str">
        <f t="shared" si="36"/>
        <v>abhinav.lal2@yes.bank.in,rittin.arya@yes.bank.in, shyam.parkash@yes.bank.in,lonika.kotekar@yes.bank.in,shirajahmed.habib@yes.bank.in,Gaurav@kgac.in,AmanM@kgac.in,hariom@kgac.in</v>
      </c>
      <c r="S261" s="85" t="s">
        <v>3623</v>
      </c>
      <c r="T261" s="84" t="s">
        <v>3624</v>
      </c>
      <c r="U261" s="84" t="s">
        <v>2253</v>
      </c>
      <c r="V261" s="84"/>
    </row>
    <row r="262" spans="1:22" x14ac:dyDescent="0.3">
      <c r="A262" s="1">
        <v>285</v>
      </c>
      <c r="B262" s="1" t="s">
        <v>60</v>
      </c>
      <c r="C262" s="2" t="s">
        <v>60</v>
      </c>
      <c r="D262" s="3" t="s">
        <v>40</v>
      </c>
      <c r="E262" s="3" t="s">
        <v>61</v>
      </c>
      <c r="F262" s="3" t="s">
        <v>1582</v>
      </c>
      <c r="G262" s="88" t="s">
        <v>1417</v>
      </c>
      <c r="H262" s="96">
        <v>1</v>
      </c>
      <c r="I262" s="3" t="s">
        <v>1339</v>
      </c>
      <c r="J262" s="7" t="s">
        <v>1904</v>
      </c>
      <c r="K262" s="4"/>
      <c r="L262" s="4" t="s">
        <v>3176</v>
      </c>
      <c r="M262" s="86" t="s">
        <v>3149</v>
      </c>
      <c r="N262" s="86" t="s">
        <v>3121</v>
      </c>
      <c r="O262" s="86"/>
      <c r="P262" s="86"/>
      <c r="Q262" s="86" t="s">
        <v>3176</v>
      </c>
      <c r="R262" s="86" t="str">
        <f t="shared" si="36"/>
        <v>sanjeev.kumar30@yes.bank.in, sameer.dhar@yes.bank.in,sushim.kumar@yes.bank.in, rittin.arya@yes.bank.in, manpreet.singh35@yes.bank.in, manpreet.singh29@yes.bank.in,lonika.kotekar@yes.bank.in,shirajahmed.habib@yes.bank.in,Gaurav@kgac.in,AmanM@kgac.in,hariom@kgac.in</v>
      </c>
      <c r="S262" s="85" t="s">
        <v>3625</v>
      </c>
      <c r="T262" s="84" t="s">
        <v>3626</v>
      </c>
      <c r="U262" s="84" t="s">
        <v>2253</v>
      </c>
      <c r="V262" s="84"/>
    </row>
    <row r="263" spans="1:22" x14ac:dyDescent="0.3">
      <c r="A263" s="1">
        <v>286</v>
      </c>
      <c r="B263" s="1" t="s">
        <v>60</v>
      </c>
      <c r="C263" s="2" t="s">
        <v>60</v>
      </c>
      <c r="D263" s="3" t="s">
        <v>40</v>
      </c>
      <c r="E263" s="3" t="s">
        <v>61</v>
      </c>
      <c r="F263" s="3" t="s">
        <v>1582</v>
      </c>
      <c r="G263" s="88" t="s">
        <v>1417</v>
      </c>
      <c r="H263" s="96">
        <v>1</v>
      </c>
      <c r="I263" s="3" t="s">
        <v>1338</v>
      </c>
      <c r="J263" s="7" t="s">
        <v>1904</v>
      </c>
      <c r="K263" s="4"/>
      <c r="L263" s="4" t="s">
        <v>3176</v>
      </c>
      <c r="M263" s="86" t="s">
        <v>3150</v>
      </c>
      <c r="N263" s="86" t="s">
        <v>3106</v>
      </c>
      <c r="O263" s="86"/>
      <c r="P263" s="86"/>
      <c r="Q263" s="86" t="s">
        <v>3176</v>
      </c>
      <c r="R263" s="86" t="str">
        <f t="shared" si="36"/>
        <v>sameer.dhar@yes.bank.in, sanjeev.kumar30@yes.bank.in, abhinav.lal2@yes.bank.in,manpreet.singh35@yes.bank.in, narinder.singh3@yes.bank.in, shyam.parkash@yes.bank.in, vivek.shukla4@yes.bank.in, manpreet.singh29@yes.bank.in, sushim.kumar@yes.bank.in,lonika.kotekar@yes.bank.in,shirajahmed.habib@yes.bank.in,Gaurav@kgac.in,AmanM@kgac.in,hariom@kgac.in</v>
      </c>
      <c r="S263" s="85" t="s">
        <v>3627</v>
      </c>
      <c r="T263" s="84" t="s">
        <v>3628</v>
      </c>
      <c r="U263" s="84" t="s">
        <v>2253</v>
      </c>
      <c r="V263" s="84"/>
    </row>
    <row r="264" spans="1:22" x14ac:dyDescent="0.3">
      <c r="A264" s="1">
        <v>287</v>
      </c>
      <c r="B264" s="1" t="s">
        <v>60</v>
      </c>
      <c r="C264" s="2" t="s">
        <v>60</v>
      </c>
      <c r="D264" s="3" t="s">
        <v>40</v>
      </c>
      <c r="E264" s="3" t="s">
        <v>61</v>
      </c>
      <c r="F264" s="3" t="s">
        <v>1582</v>
      </c>
      <c r="G264" s="88" t="s">
        <v>1417</v>
      </c>
      <c r="H264" s="96">
        <v>1</v>
      </c>
      <c r="I264" s="3" t="s">
        <v>1336</v>
      </c>
      <c r="J264" s="7" t="s">
        <v>1904</v>
      </c>
      <c r="K264" s="4"/>
      <c r="L264" s="4" t="s">
        <v>3176</v>
      </c>
      <c r="M264" s="86" t="s">
        <v>3151</v>
      </c>
      <c r="N264" s="86" t="s">
        <v>3152</v>
      </c>
      <c r="O264" s="86"/>
      <c r="P264" s="86"/>
      <c r="Q264" s="86" t="s">
        <v>3176</v>
      </c>
      <c r="R264" s="86" t="str">
        <f t="shared" si="36"/>
        <v>sameer.dhar@yes.bank.in, sanjeev.kumar30@yes.bank.in,manpreet.singh29@yes.bank.in, rittin.arya@yes.bank.in, narinder.singh3@yes.bank.in, shyam.parkash@yes.bank.in, vivek.shukla4@yes.bank.in, sushim.kumar@yes.bank.in,lonika.kotekar@yes.bank.in,shirajahmed.habib@yes.bank.in,Gaurav@kgac.in,AmanM@kgac.in,hariom@kgac.in</v>
      </c>
      <c r="S264" s="85" t="s">
        <v>3629</v>
      </c>
      <c r="T264" s="84" t="s">
        <v>3630</v>
      </c>
      <c r="U264" s="84" t="s">
        <v>2253</v>
      </c>
      <c r="V264" s="84"/>
    </row>
    <row r="265" spans="1:22" x14ac:dyDescent="0.3">
      <c r="A265" s="1">
        <v>288</v>
      </c>
      <c r="B265" s="1" t="s">
        <v>60</v>
      </c>
      <c r="C265" s="2" t="s">
        <v>60</v>
      </c>
      <c r="D265" s="3" t="s">
        <v>40</v>
      </c>
      <c r="E265" s="3" t="s">
        <v>61</v>
      </c>
      <c r="F265" s="3" t="s">
        <v>1584</v>
      </c>
      <c r="G265" s="88" t="s">
        <v>1417</v>
      </c>
      <c r="H265" s="96">
        <v>1</v>
      </c>
      <c r="I265" s="3" t="s">
        <v>1341</v>
      </c>
      <c r="J265" s="7" t="s">
        <v>1904</v>
      </c>
      <c r="K265" s="4"/>
      <c r="L265" s="4" t="s">
        <v>3198</v>
      </c>
      <c r="M265" s="86" t="s">
        <v>3153</v>
      </c>
      <c r="N265" s="86" t="s">
        <v>3104</v>
      </c>
      <c r="O265" s="86"/>
      <c r="P265" s="86"/>
      <c r="Q265" s="86" t="s">
        <v>3198</v>
      </c>
      <c r="R265" s="86" t="str">
        <f t="shared" si="36"/>
        <v>rajnish.dwivedi@yes.bank.in,sourabh.parihar@yes.bank.in,lonika.kotekar@yes.bank.in,shirajahmed.habib@yes.bank.in,Gaurav@kgac.in,AmanM@kgac.in,hariom@kgac.in</v>
      </c>
      <c r="S265" s="85" t="s">
        <v>3631</v>
      </c>
      <c r="T265" s="84" t="s">
        <v>3632</v>
      </c>
      <c r="U265" s="84" t="s">
        <v>2253</v>
      </c>
      <c r="V265" s="84"/>
    </row>
    <row r="266" spans="1:22" x14ac:dyDescent="0.3">
      <c r="A266" s="1">
        <v>289</v>
      </c>
      <c r="B266" s="1" t="s">
        <v>60</v>
      </c>
      <c r="C266" s="2" t="s">
        <v>60</v>
      </c>
      <c r="D266" s="3" t="s">
        <v>40</v>
      </c>
      <c r="E266" s="3" t="s">
        <v>61</v>
      </c>
      <c r="F266" s="3" t="s">
        <v>1586</v>
      </c>
      <c r="G266" s="88" t="s">
        <v>1417</v>
      </c>
      <c r="H266" s="96">
        <v>1</v>
      </c>
      <c r="I266" s="3" t="s">
        <v>1345</v>
      </c>
      <c r="J266" s="7" t="s">
        <v>1904</v>
      </c>
      <c r="K266" s="4"/>
      <c r="L266" s="4" t="s">
        <v>3176</v>
      </c>
      <c r="M266" s="90" t="s">
        <v>3409</v>
      </c>
      <c r="N266" s="86" t="s">
        <v>3146</v>
      </c>
      <c r="O266" s="86"/>
      <c r="P266" s="86"/>
      <c r="Q266" s="86" t="s">
        <v>3176</v>
      </c>
      <c r="R266" s="86" t="str">
        <f t="shared" si="36"/>
        <v>sanjeev.kumar30@yes.bank.in, abhinav.lal2@yes.bank.in,rittin.arya@yes.bank.in,sumit.narang@yes.bank.in,lonika.kotekar@yes.bank.in,shirajahmed.habib@yes.bank.in,Gaurav@kgac.in,AmanM@kgac.in,hariom@kgac.in</v>
      </c>
      <c r="S266" s="85" t="s">
        <v>3633</v>
      </c>
      <c r="T266" s="84" t="s">
        <v>3634</v>
      </c>
      <c r="U266" s="84" t="s">
        <v>2253</v>
      </c>
      <c r="V266" s="84"/>
    </row>
    <row r="267" spans="1:22" x14ac:dyDescent="0.3">
      <c r="A267" s="1">
        <v>290</v>
      </c>
      <c r="B267" s="1" t="s">
        <v>60</v>
      </c>
      <c r="C267" s="2" t="s">
        <v>60</v>
      </c>
      <c r="D267" s="3" t="s">
        <v>40</v>
      </c>
      <c r="E267" s="3" t="s">
        <v>61</v>
      </c>
      <c r="F267" s="3" t="s">
        <v>270</v>
      </c>
      <c r="G267" s="88" t="s">
        <v>1417</v>
      </c>
      <c r="H267" s="96">
        <v>1</v>
      </c>
      <c r="I267" s="3" t="s">
        <v>1368</v>
      </c>
      <c r="J267" s="7" t="s">
        <v>1904</v>
      </c>
      <c r="K267" s="4"/>
      <c r="L267" s="4" t="s">
        <v>3199</v>
      </c>
      <c r="M267" s="86" t="s">
        <v>3040</v>
      </c>
      <c r="N267" s="86" t="s">
        <v>2944</v>
      </c>
      <c r="O267" s="86"/>
      <c r="P267" s="86"/>
      <c r="Q267" s="86" t="s">
        <v>3199</v>
      </c>
      <c r="R267" s="86" t="str">
        <f t="shared" si="36"/>
        <v>abhinav.lal2@yes.bank.in,vivek.shukla4@yes.bank.in,lonika.kotekar@yes.bank.in,shirajahmed.habib@yes.bank.in,Gaurav@kgac.in,AmanM@kgac.in,hariom@kgac.in</v>
      </c>
      <c r="S267" s="85" t="s">
        <v>3635</v>
      </c>
      <c r="T267" s="84" t="s">
        <v>3636</v>
      </c>
      <c r="U267" s="84" t="s">
        <v>2253</v>
      </c>
      <c r="V267" s="84"/>
    </row>
    <row r="268" spans="1:22" x14ac:dyDescent="0.3">
      <c r="A268" s="1">
        <v>291</v>
      </c>
      <c r="B268" s="1" t="s">
        <v>60</v>
      </c>
      <c r="C268" s="2" t="s">
        <v>60</v>
      </c>
      <c r="D268" s="3" t="s">
        <v>40</v>
      </c>
      <c r="E268" s="3" t="s">
        <v>61</v>
      </c>
      <c r="F268" s="3" t="s">
        <v>270</v>
      </c>
      <c r="G268" s="88" t="s">
        <v>1417</v>
      </c>
      <c r="H268" s="96">
        <v>1</v>
      </c>
      <c r="I268" s="3" t="s">
        <v>1366</v>
      </c>
      <c r="J268" s="7" t="s">
        <v>1904</v>
      </c>
      <c r="K268" s="4"/>
      <c r="L268" s="4" t="s">
        <v>3199</v>
      </c>
      <c r="M268" s="86" t="s">
        <v>3040</v>
      </c>
      <c r="N268" s="86" t="s">
        <v>2944</v>
      </c>
      <c r="O268" s="86"/>
      <c r="P268" s="86"/>
      <c r="Q268" s="86" t="s">
        <v>3199</v>
      </c>
      <c r="R268" s="86" t="str">
        <f t="shared" si="36"/>
        <v>abhinav.lal2@yes.bank.in,vivek.shukla4@yes.bank.in,lonika.kotekar@yes.bank.in,shirajahmed.habib@yes.bank.in,Gaurav@kgac.in,AmanM@kgac.in,hariom@kgac.in</v>
      </c>
      <c r="S268" s="85" t="s">
        <v>3637</v>
      </c>
      <c r="T268" s="84" t="s">
        <v>3638</v>
      </c>
      <c r="U268" s="84" t="s">
        <v>2253</v>
      </c>
      <c r="V268" s="84"/>
    </row>
    <row r="269" spans="1:22" x14ac:dyDescent="0.3">
      <c r="A269" s="1">
        <v>292</v>
      </c>
      <c r="B269" s="1" t="s">
        <v>60</v>
      </c>
      <c r="C269" s="2" t="s">
        <v>60</v>
      </c>
      <c r="D269" s="3" t="s">
        <v>40</v>
      </c>
      <c r="E269" s="3" t="s">
        <v>61</v>
      </c>
      <c r="F269" s="3" t="s">
        <v>270</v>
      </c>
      <c r="G269" s="88" t="s">
        <v>1417</v>
      </c>
      <c r="H269" s="96">
        <v>1</v>
      </c>
      <c r="I269" s="3" t="s">
        <v>1367</v>
      </c>
      <c r="J269" s="7" t="s">
        <v>1904</v>
      </c>
      <c r="K269" s="4"/>
      <c r="L269" s="4" t="s">
        <v>3199</v>
      </c>
      <c r="M269" s="86" t="s">
        <v>3154</v>
      </c>
      <c r="N269" s="86" t="s">
        <v>2944</v>
      </c>
      <c r="O269" s="86"/>
      <c r="P269" s="86"/>
      <c r="Q269" s="86" t="s">
        <v>3199</v>
      </c>
      <c r="R269" s="86" t="str">
        <f t="shared" si="36"/>
        <v>abhinav.lal2@yes.bank.in,shyam.parkash@yes.bank.in, vivek.shukla4@yes.bank.in,lonika.kotekar@yes.bank.in,shirajahmed.habib@yes.bank.in,Gaurav@kgac.in,AmanM@kgac.in,hariom@kgac.in</v>
      </c>
      <c r="S269" s="85" t="s">
        <v>3639</v>
      </c>
      <c r="T269" s="84" t="s">
        <v>3640</v>
      </c>
      <c r="U269" s="84" t="s">
        <v>2253</v>
      </c>
      <c r="V269" s="84"/>
    </row>
    <row r="270" spans="1:22" x14ac:dyDescent="0.3">
      <c r="A270" s="1">
        <v>293</v>
      </c>
      <c r="B270" s="1" t="s">
        <v>60</v>
      </c>
      <c r="C270" s="2" t="s">
        <v>60</v>
      </c>
      <c r="D270" s="3" t="s">
        <v>40</v>
      </c>
      <c r="E270" s="3" t="s">
        <v>61</v>
      </c>
      <c r="F270" s="3" t="s">
        <v>62</v>
      </c>
      <c r="G270" s="88" t="s">
        <v>1417</v>
      </c>
      <c r="H270" s="96">
        <v>1</v>
      </c>
      <c r="I270" s="3" t="s">
        <v>1380</v>
      </c>
      <c r="J270" s="7" t="s">
        <v>1904</v>
      </c>
      <c r="K270" s="4"/>
      <c r="L270" s="4" t="s">
        <v>3196</v>
      </c>
      <c r="M270" s="86" t="s">
        <v>3155</v>
      </c>
      <c r="N270" s="86" t="s">
        <v>3106</v>
      </c>
      <c r="O270" s="86"/>
      <c r="P270" s="86"/>
      <c r="Q270" s="86" t="s">
        <v>3196</v>
      </c>
      <c r="R270" s="86" t="str">
        <f t="shared" si="36"/>
        <v>sameer.dhar@yes.bank.in, sanjeev.kumar30@yes.bank.in, abhinav.lal2@yes.bank.in,vivek.shukla4@yes.bank.in, shyam.parkash@yes.bank.in, rittin.arya@yes.bank.in, prashant.singh7@yes.bank.in, sachin.chauhan3@yes.bank.in,lonika.kotekar@yes.bank.in,shirajahmed.habib@yes.bank.in,Gaurav@kgac.in,AmanM@kgac.in,hariom@kgac.in</v>
      </c>
      <c r="S270" s="85" t="s">
        <v>3641</v>
      </c>
      <c r="T270" s="84" t="s">
        <v>3642</v>
      </c>
      <c r="U270" s="84" t="s">
        <v>2253</v>
      </c>
      <c r="V270" s="84"/>
    </row>
    <row r="271" spans="1:22" x14ac:dyDescent="0.3">
      <c r="A271" s="1">
        <v>294</v>
      </c>
      <c r="B271" s="1" t="s">
        <v>60</v>
      </c>
      <c r="C271" s="2" t="s">
        <v>60</v>
      </c>
      <c r="D271" s="3" t="s">
        <v>40</v>
      </c>
      <c r="E271" s="3" t="s">
        <v>61</v>
      </c>
      <c r="F271" s="3" t="s">
        <v>62</v>
      </c>
      <c r="G271" s="88" t="s">
        <v>1417</v>
      </c>
      <c r="H271" s="96">
        <v>1</v>
      </c>
      <c r="I271" s="3" t="s">
        <v>1378</v>
      </c>
      <c r="J271" s="7" t="s">
        <v>1904</v>
      </c>
      <c r="K271" s="4"/>
      <c r="L271" s="4" t="s">
        <v>3196</v>
      </c>
      <c r="M271" s="86" t="s">
        <v>3155</v>
      </c>
      <c r="N271" s="86" t="s">
        <v>3106</v>
      </c>
      <c r="O271" s="86"/>
      <c r="P271" s="86"/>
      <c r="Q271" s="86" t="s">
        <v>3196</v>
      </c>
      <c r="R271" s="86" t="str">
        <f t="shared" si="36"/>
        <v>sameer.dhar@yes.bank.in, sanjeev.kumar30@yes.bank.in, abhinav.lal2@yes.bank.in,vivek.shukla4@yes.bank.in, shyam.parkash@yes.bank.in, rittin.arya@yes.bank.in, prashant.singh7@yes.bank.in, sachin.chauhan3@yes.bank.in,lonika.kotekar@yes.bank.in,shirajahmed.habib@yes.bank.in,Gaurav@kgac.in,AmanM@kgac.in,hariom@kgac.in</v>
      </c>
      <c r="S271" s="85" t="s">
        <v>3643</v>
      </c>
      <c r="T271" s="84" t="s">
        <v>3644</v>
      </c>
      <c r="U271" s="84" t="s">
        <v>2253</v>
      </c>
      <c r="V271" s="84"/>
    </row>
    <row r="272" spans="1:22" x14ac:dyDescent="0.3">
      <c r="A272" s="1">
        <v>295</v>
      </c>
      <c r="B272" s="1" t="s">
        <v>60</v>
      </c>
      <c r="C272" s="2" t="s">
        <v>60</v>
      </c>
      <c r="D272" s="3" t="s">
        <v>40</v>
      </c>
      <c r="E272" s="3" t="s">
        <v>61</v>
      </c>
      <c r="F272" s="3" t="s">
        <v>62</v>
      </c>
      <c r="G272" s="88" t="s">
        <v>1417</v>
      </c>
      <c r="H272" s="96">
        <v>1</v>
      </c>
      <c r="I272" s="3" t="s">
        <v>1379</v>
      </c>
      <c r="J272" s="7" t="s">
        <v>1904</v>
      </c>
      <c r="K272" s="4"/>
      <c r="L272" s="4" t="s">
        <v>3196</v>
      </c>
      <c r="M272" s="86" t="s">
        <v>3046</v>
      </c>
      <c r="N272" s="86" t="s">
        <v>3148</v>
      </c>
      <c r="O272" s="86"/>
      <c r="P272" s="86"/>
      <c r="Q272" s="86" t="s">
        <v>3196</v>
      </c>
      <c r="R272" s="86" t="str">
        <f t="shared" si="36"/>
        <v>sameer.dhar@yes.bank.in, dipak.dhandhukiya@yes.bank.in,kushpal.singh@yes.bank.in,lonika.kotekar@yes.bank.in,shirajahmed.habib@yes.bank.in,Gaurav@kgac.in,AmanM@kgac.in,hariom@kgac.in</v>
      </c>
      <c r="S272" s="85" t="s">
        <v>3645</v>
      </c>
      <c r="T272" s="84" t="s">
        <v>3646</v>
      </c>
      <c r="U272" s="84" t="s">
        <v>2253</v>
      </c>
      <c r="V272" s="84"/>
    </row>
    <row r="273" spans="1:22" x14ac:dyDescent="0.3">
      <c r="A273" s="1">
        <v>296</v>
      </c>
      <c r="B273" s="1" t="s">
        <v>60</v>
      </c>
      <c r="C273" s="2" t="s">
        <v>60</v>
      </c>
      <c r="D273" s="3" t="s">
        <v>40</v>
      </c>
      <c r="E273" s="3" t="s">
        <v>61</v>
      </c>
      <c r="F273" s="3" t="s">
        <v>1601</v>
      </c>
      <c r="G273" s="88" t="s">
        <v>1417</v>
      </c>
      <c r="H273" s="96">
        <v>1</v>
      </c>
      <c r="I273" s="3" t="s">
        <v>1383</v>
      </c>
      <c r="J273" s="7" t="s">
        <v>1904</v>
      </c>
      <c r="K273" s="4"/>
      <c r="L273" s="4" t="s">
        <v>3197</v>
      </c>
      <c r="M273" s="86" t="s">
        <v>3156</v>
      </c>
      <c r="N273" s="86" t="s">
        <v>3121</v>
      </c>
      <c r="O273" s="86"/>
      <c r="P273" s="86"/>
      <c r="Q273" s="86" t="s">
        <v>3197</v>
      </c>
      <c r="R273" s="86" t="str">
        <f t="shared" si="36"/>
        <v>sanjeev.kumar30@yes.bank.in, sameer.dhar@yes.bank.in,amit.pandey12@yes.bank.in,lonika.kotekar@yes.bank.in,shirajahmed.habib@yes.bank.in,Gaurav@kgac.in,AmanM@kgac.in,hariom@kgac.in</v>
      </c>
      <c r="S273" s="85" t="s">
        <v>3647</v>
      </c>
      <c r="T273" s="84" t="s">
        <v>3648</v>
      </c>
      <c r="U273" s="84" t="s">
        <v>2253</v>
      </c>
      <c r="V273" s="84"/>
    </row>
    <row r="274" spans="1:22" x14ac:dyDescent="0.3">
      <c r="A274" s="1">
        <v>297</v>
      </c>
      <c r="B274" s="1" t="s">
        <v>60</v>
      </c>
      <c r="C274" s="2" t="s">
        <v>60</v>
      </c>
      <c r="D274" s="3" t="s">
        <v>40</v>
      </c>
      <c r="E274" s="3" t="s">
        <v>61</v>
      </c>
      <c r="F274" s="3" t="s">
        <v>1602</v>
      </c>
      <c r="G274" s="88" t="s">
        <v>1417</v>
      </c>
      <c r="H274" s="96">
        <v>1</v>
      </c>
      <c r="I274" s="3" t="s">
        <v>1384</v>
      </c>
      <c r="J274" s="7" t="s">
        <v>1904</v>
      </c>
      <c r="K274" s="4"/>
      <c r="L274" s="4" t="s">
        <v>3200</v>
      </c>
      <c r="M274" s="86" t="s">
        <v>3070</v>
      </c>
      <c r="N274" s="86" t="s">
        <v>3146</v>
      </c>
      <c r="O274" s="86"/>
      <c r="P274" s="86"/>
      <c r="Q274" s="86" t="s">
        <v>3200</v>
      </c>
      <c r="R274" s="86" t="str">
        <f t="shared" si="36"/>
        <v>sanjeev.kumar30@yes.bank.in, abhinav.lal2@yes.bank.in,shyam.parkash@yes.bank.in,lonika.kotekar@yes.bank.in,shirajahmed.habib@yes.bank.in,Gaurav@kgac.in,AmanM@kgac.in,hariom@kgac.in</v>
      </c>
      <c r="S274" s="85" t="s">
        <v>3649</v>
      </c>
      <c r="T274" s="84" t="s">
        <v>3650</v>
      </c>
      <c r="U274" s="84" t="s">
        <v>2253</v>
      </c>
      <c r="V274" s="84"/>
    </row>
    <row r="275" spans="1:22" x14ac:dyDescent="0.3">
      <c r="A275" s="1">
        <v>298</v>
      </c>
      <c r="B275" s="1" t="s">
        <v>60</v>
      </c>
      <c r="C275" s="2" t="s">
        <v>60</v>
      </c>
      <c r="D275" s="3" t="s">
        <v>40</v>
      </c>
      <c r="E275" s="3" t="s">
        <v>61</v>
      </c>
      <c r="F275" s="3" t="s">
        <v>1608</v>
      </c>
      <c r="G275" s="88" t="s">
        <v>1417</v>
      </c>
      <c r="H275" s="96">
        <v>1</v>
      </c>
      <c r="I275" s="3" t="s">
        <v>1394</v>
      </c>
      <c r="J275" s="7" t="s">
        <v>1904</v>
      </c>
      <c r="K275" s="4"/>
      <c r="L275" s="4" t="s">
        <v>3176</v>
      </c>
      <c r="M275" s="90" t="s">
        <v>3409</v>
      </c>
      <c r="N275" s="86" t="s">
        <v>3146</v>
      </c>
      <c r="O275" s="86"/>
      <c r="P275" s="86"/>
      <c r="Q275" s="86" t="s">
        <v>3176</v>
      </c>
      <c r="R275" s="86" t="str">
        <f t="shared" si="36"/>
        <v>sanjeev.kumar30@yes.bank.in, abhinav.lal2@yes.bank.in,rittin.arya@yes.bank.in,sumit.narang@yes.bank.in,lonika.kotekar@yes.bank.in,shirajahmed.habib@yes.bank.in,Gaurav@kgac.in,AmanM@kgac.in,hariom@kgac.in</v>
      </c>
      <c r="S275" s="85" t="s">
        <v>3651</v>
      </c>
      <c r="T275" s="84" t="s">
        <v>3652</v>
      </c>
      <c r="U275" s="84" t="s">
        <v>2253</v>
      </c>
      <c r="V275" s="84"/>
    </row>
    <row r="276" spans="1:22" x14ac:dyDescent="0.3">
      <c r="A276" s="1">
        <v>299</v>
      </c>
      <c r="B276" s="1" t="s">
        <v>60</v>
      </c>
      <c r="C276" s="2" t="s">
        <v>60</v>
      </c>
      <c r="D276" s="3" t="s">
        <v>40</v>
      </c>
      <c r="E276" s="3" t="s">
        <v>61</v>
      </c>
      <c r="F276" s="3" t="s">
        <v>1610</v>
      </c>
      <c r="G276" s="88" t="s">
        <v>1417</v>
      </c>
      <c r="H276" s="96">
        <v>1</v>
      </c>
      <c r="I276" s="3" t="s">
        <v>1397</v>
      </c>
      <c r="J276" s="7" t="s">
        <v>1904</v>
      </c>
      <c r="K276" s="4"/>
      <c r="L276" s="4" t="s">
        <v>3200</v>
      </c>
      <c r="M276" s="86" t="s">
        <v>3040</v>
      </c>
      <c r="N276" s="86" t="s">
        <v>2944</v>
      </c>
      <c r="O276" s="86"/>
      <c r="P276" s="86"/>
      <c r="Q276" s="86" t="s">
        <v>3200</v>
      </c>
      <c r="R276" s="86" t="str">
        <f t="shared" si="36"/>
        <v>abhinav.lal2@yes.bank.in,vivek.shukla4@yes.bank.in,lonika.kotekar@yes.bank.in,shirajahmed.habib@yes.bank.in,Gaurav@kgac.in,AmanM@kgac.in,hariom@kgac.in</v>
      </c>
      <c r="S276" s="85" t="s">
        <v>3653</v>
      </c>
      <c r="T276" s="84" t="s">
        <v>3654</v>
      </c>
      <c r="U276" s="84" t="s">
        <v>2253</v>
      </c>
      <c r="V276" s="84"/>
    </row>
    <row r="277" spans="1:22" x14ac:dyDescent="0.3">
      <c r="A277" s="1">
        <v>300</v>
      </c>
      <c r="B277" s="1" t="s">
        <v>60</v>
      </c>
      <c r="C277" s="2" t="s">
        <v>60</v>
      </c>
      <c r="D277" s="3" t="s">
        <v>40</v>
      </c>
      <c r="E277" s="3" t="s">
        <v>61</v>
      </c>
      <c r="F277" s="3" t="s">
        <v>654</v>
      </c>
      <c r="G277" s="88" t="s">
        <v>1417</v>
      </c>
      <c r="H277" s="96">
        <v>1</v>
      </c>
      <c r="I277" s="3" t="s">
        <v>1402</v>
      </c>
      <c r="J277" s="7" t="s">
        <v>1904</v>
      </c>
      <c r="K277" s="4"/>
      <c r="L277" s="4" t="s">
        <v>3176</v>
      </c>
      <c r="M277" s="86" t="s">
        <v>3412</v>
      </c>
      <c r="N277" s="90" t="s">
        <v>2859</v>
      </c>
      <c r="O277" s="86"/>
      <c r="P277" s="86"/>
      <c r="Q277" s="86" t="s">
        <v>3176</v>
      </c>
      <c r="R277" s="86" t="str">
        <f t="shared" si="36"/>
        <v>sumit.narang@yes.bank.in,sandeep.tyagi@yes.bank.in,lonika.kotekar@yes.bank.in,shirajahmed.habib@yes.bank.in,Gaurav@kgac.in,AmanM@kgac.in,hariom@kgac.in</v>
      </c>
      <c r="S277" s="85" t="s">
        <v>3655</v>
      </c>
      <c r="T277" s="84" t="s">
        <v>3656</v>
      </c>
      <c r="U277" s="84" t="s">
        <v>2253</v>
      </c>
      <c r="V277" s="84"/>
    </row>
    <row r="278" spans="1:22" x14ac:dyDescent="0.3">
      <c r="A278" s="1">
        <v>301</v>
      </c>
      <c r="B278" s="1" t="s">
        <v>60</v>
      </c>
      <c r="C278" s="2" t="s">
        <v>60</v>
      </c>
      <c r="D278" s="3" t="s">
        <v>40</v>
      </c>
      <c r="E278" s="3" t="s">
        <v>61</v>
      </c>
      <c r="F278" s="3" t="s">
        <v>1619</v>
      </c>
      <c r="G278" s="88" t="s">
        <v>1417</v>
      </c>
      <c r="H278" s="96">
        <v>1</v>
      </c>
      <c r="I278" s="3" t="s">
        <v>1413</v>
      </c>
      <c r="J278" s="7" t="s">
        <v>1904</v>
      </c>
      <c r="K278" s="4"/>
      <c r="L278" s="4" t="s">
        <v>3199</v>
      </c>
      <c r="M278" s="86" t="s">
        <v>3157</v>
      </c>
      <c r="N278" s="86" t="s">
        <v>3102</v>
      </c>
      <c r="O278" s="86"/>
      <c r="P278" s="86"/>
      <c r="Q278" s="86" t="s">
        <v>3199</v>
      </c>
      <c r="R278" s="86" t="str">
        <f t="shared" si="36"/>
        <v>abhinav.lal2@yes.bank.in, sanjeev.kumar30@yes.bank.in,vivek.shukla4@yes.bank.in, prashant.singh7@yes.bank.in,lonika.kotekar@yes.bank.in,shirajahmed.habib@yes.bank.in,Gaurav@kgac.in,AmanM@kgac.in,hariom@kgac.in</v>
      </c>
      <c r="S278" s="85" t="s">
        <v>3657</v>
      </c>
      <c r="T278" s="84" t="s">
        <v>3658</v>
      </c>
      <c r="U278" s="84" t="s">
        <v>2253</v>
      </c>
      <c r="V278" s="84"/>
    </row>
    <row r="279" spans="1:22" x14ac:dyDescent="0.3">
      <c r="A279" s="1">
        <v>302</v>
      </c>
      <c r="B279" s="1" t="s">
        <v>60</v>
      </c>
      <c r="C279" s="2" t="s">
        <v>60</v>
      </c>
      <c r="D279" s="3" t="s">
        <v>40</v>
      </c>
      <c r="E279" s="3" t="s">
        <v>61</v>
      </c>
      <c r="F279" s="3" t="s">
        <v>986</v>
      </c>
      <c r="G279" s="88" t="s">
        <v>1417</v>
      </c>
      <c r="H279" s="96">
        <v>1</v>
      </c>
      <c r="I279" s="3" t="s">
        <v>1415</v>
      </c>
      <c r="J279" s="7" t="s">
        <v>1904</v>
      </c>
      <c r="K279" s="4"/>
      <c r="L279" s="4" t="s">
        <v>3199</v>
      </c>
      <c r="M279" s="86" t="s">
        <v>3158</v>
      </c>
      <c r="N279" s="86" t="s">
        <v>3152</v>
      </c>
      <c r="O279" s="86"/>
      <c r="P279" s="86"/>
      <c r="Q279" s="86" t="s">
        <v>3199</v>
      </c>
      <c r="R279" s="86" t="str">
        <f t="shared" si="36"/>
        <v>sameer.dhar@yes.bank.in, sanjeev.kumar30@yes.bank.in,rittin.arya@yes.bank.in, vivek.shukla4@yes.bank.in, punit.sharma1@yes.bank.in,lonika.kotekar@yes.bank.in,shirajahmed.habib@yes.bank.in,Gaurav@kgac.in,AmanM@kgac.in,hariom@kgac.in</v>
      </c>
      <c r="S279" s="85" t="s">
        <v>3659</v>
      </c>
      <c r="T279" s="84" t="s">
        <v>3660</v>
      </c>
      <c r="U279" s="84" t="s">
        <v>2253</v>
      </c>
      <c r="V279" s="84"/>
    </row>
    <row r="280" spans="1:22" x14ac:dyDescent="0.3">
      <c r="A280" s="1">
        <v>303</v>
      </c>
      <c r="B280" s="1" t="s">
        <v>60</v>
      </c>
      <c r="C280" s="2" t="s">
        <v>60</v>
      </c>
      <c r="D280" s="3" t="s">
        <v>40</v>
      </c>
      <c r="E280" s="3" t="s">
        <v>61</v>
      </c>
      <c r="F280" s="3" t="s">
        <v>986</v>
      </c>
      <c r="G280" s="88" t="s">
        <v>1417</v>
      </c>
      <c r="H280" s="96">
        <v>1</v>
      </c>
      <c r="I280" s="3" t="s">
        <v>1416</v>
      </c>
      <c r="J280" s="7" t="s">
        <v>1904</v>
      </c>
      <c r="K280" s="4"/>
      <c r="L280" s="4" t="s">
        <v>3198</v>
      </c>
      <c r="M280" s="86" t="s">
        <v>3413</v>
      </c>
      <c r="N280" s="90" t="s">
        <v>3045</v>
      </c>
      <c r="O280" s="86"/>
      <c r="P280" s="86"/>
      <c r="Q280" s="86" t="s">
        <v>3198</v>
      </c>
      <c r="R280" s="86" t="str">
        <f t="shared" si="36"/>
        <v>sanjeev.kumar30@yes.bank.in,aman.kesharwani@yes.bank.in, prashant.singh7@yes.bank.in,lonika.kotekar@yes.bank.in,shirajahmed.habib@yes.bank.in,Gaurav@kgac.in,AmanM@kgac.in,hariom@kgac.in</v>
      </c>
      <c r="S280" s="85" t="s">
        <v>3661</v>
      </c>
      <c r="T280" s="84" t="s">
        <v>3662</v>
      </c>
      <c r="U280" s="84" t="s">
        <v>2253</v>
      </c>
      <c r="V280" s="84"/>
    </row>
    <row r="281" spans="1:22" x14ac:dyDescent="0.3">
      <c r="A281" s="1">
        <v>304</v>
      </c>
      <c r="B281" s="1" t="s">
        <v>60</v>
      </c>
      <c r="C281" s="2" t="s">
        <v>60</v>
      </c>
      <c r="D281" s="3" t="s">
        <v>40</v>
      </c>
      <c r="E281" s="3" t="s">
        <v>938</v>
      </c>
      <c r="F281" s="3" t="s">
        <v>939</v>
      </c>
      <c r="G281" s="88" t="s">
        <v>1417</v>
      </c>
      <c r="H281" s="96">
        <v>1</v>
      </c>
      <c r="I281" s="3" t="s">
        <v>1346</v>
      </c>
      <c r="J281" s="7" t="s">
        <v>1904</v>
      </c>
      <c r="K281" s="4"/>
      <c r="L281" s="4" t="s">
        <v>3202</v>
      </c>
      <c r="M281" s="86" t="s">
        <v>3159</v>
      </c>
      <c r="N281" s="86" t="s">
        <v>3045</v>
      </c>
      <c r="O281" s="86"/>
      <c r="P281" s="86"/>
      <c r="Q281" s="86" t="s">
        <v>3202</v>
      </c>
      <c r="R281" s="86" t="str">
        <f t="shared" si="36"/>
        <v>sanjeev.kumar30@yes.bank.in,anilkumar.nandal@yes.bank.in, rittin.arya@yes.bank.in,lonika.kotekar@yes.bank.in,shirajahmed.habib@yes.bank.in,Gaurav@kgac.in,AmanM@kgac.in,hariom@kgac.in</v>
      </c>
      <c r="S281" s="85" t="s">
        <v>3663</v>
      </c>
      <c r="T281" s="84" t="s">
        <v>3664</v>
      </c>
      <c r="U281" s="84" t="s">
        <v>2240</v>
      </c>
      <c r="V281" s="84"/>
    </row>
    <row r="282" spans="1:22" x14ac:dyDescent="0.3">
      <c r="A282" s="1">
        <v>305</v>
      </c>
      <c r="B282" s="1" t="s">
        <v>60</v>
      </c>
      <c r="C282" s="2" t="s">
        <v>60</v>
      </c>
      <c r="D282" s="3" t="s">
        <v>40</v>
      </c>
      <c r="E282" s="3" t="s">
        <v>938</v>
      </c>
      <c r="F282" s="3" t="s">
        <v>1596</v>
      </c>
      <c r="G282" s="88" t="s">
        <v>1417</v>
      </c>
      <c r="H282" s="96">
        <v>1</v>
      </c>
      <c r="I282" s="3" t="s">
        <v>1372</v>
      </c>
      <c r="J282" s="7" t="s">
        <v>1904</v>
      </c>
      <c r="K282" s="4"/>
      <c r="L282" s="4" t="s">
        <v>3175</v>
      </c>
      <c r="M282" s="86" t="s">
        <v>3159</v>
      </c>
      <c r="N282" s="86" t="s">
        <v>2944</v>
      </c>
      <c r="O282" s="86"/>
      <c r="P282" s="86"/>
      <c r="Q282" s="86" t="s">
        <v>3175</v>
      </c>
      <c r="R282" s="86" t="str">
        <f t="shared" si="36"/>
        <v>abhinav.lal2@yes.bank.in,anilkumar.nandal@yes.bank.in, rittin.arya@yes.bank.in,lonika.kotekar@yes.bank.in,shirajahmed.habib@yes.bank.in,Gaurav@kgac.in,AmanM@kgac.in,hariom@kgac.in</v>
      </c>
      <c r="S282" s="85" t="s">
        <v>3665</v>
      </c>
      <c r="T282" s="84" t="s">
        <v>3666</v>
      </c>
      <c r="U282" s="84" t="s">
        <v>2240</v>
      </c>
      <c r="V282" s="84"/>
    </row>
    <row r="283" spans="1:22" x14ac:dyDescent="0.3">
      <c r="A283" s="1">
        <v>306</v>
      </c>
      <c r="B283" s="1" t="s">
        <v>60</v>
      </c>
      <c r="C283" s="2" t="s">
        <v>60</v>
      </c>
      <c r="D283" s="3" t="s">
        <v>103</v>
      </c>
      <c r="E283" s="3" t="s">
        <v>104</v>
      </c>
      <c r="F283" s="3" t="s">
        <v>1558</v>
      </c>
      <c r="G283" s="88" t="s">
        <v>1417</v>
      </c>
      <c r="H283" s="96">
        <v>1</v>
      </c>
      <c r="I283" s="3" t="s">
        <v>1300</v>
      </c>
      <c r="J283" s="7" t="s">
        <v>1904</v>
      </c>
      <c r="K283" s="4"/>
      <c r="L283" s="4" t="s">
        <v>3203</v>
      </c>
      <c r="M283" s="86" t="s">
        <v>3160</v>
      </c>
      <c r="N283" s="86" t="s">
        <v>3089</v>
      </c>
      <c r="O283" s="86"/>
      <c r="P283" s="86"/>
      <c r="Q283" s="86" t="s">
        <v>3203</v>
      </c>
      <c r="R283" s="86" t="str">
        <f t="shared" si="36"/>
        <v>subhasis.banerjee@yes.bank.in, biswarup.ghosh@yes.bank.in,arindam.sarkar2@yes.bank.in, joy.saha@yes.bank.in, sachin.bharti@yes.bank.in,lonika.kotekar@yes.bank.in,shirajahmed.habib@yes.bank.in,Gaurav@kgac.in,AmanM@kgac.in,hariom@kgac.in</v>
      </c>
      <c r="S283" s="85" t="s">
        <v>3667</v>
      </c>
      <c r="T283" s="84" t="s">
        <v>3668</v>
      </c>
      <c r="U283" s="84" t="s">
        <v>3425</v>
      </c>
      <c r="V283" s="84"/>
    </row>
    <row r="284" spans="1:22" x14ac:dyDescent="0.3">
      <c r="A284" s="1">
        <v>307</v>
      </c>
      <c r="B284" s="1" t="s">
        <v>60</v>
      </c>
      <c r="C284" s="2" t="s">
        <v>60</v>
      </c>
      <c r="D284" s="3" t="s">
        <v>103</v>
      </c>
      <c r="E284" s="3" t="s">
        <v>104</v>
      </c>
      <c r="F284" s="3" t="s">
        <v>1562</v>
      </c>
      <c r="G284" s="88" t="s">
        <v>1417</v>
      </c>
      <c r="H284" s="96">
        <v>1</v>
      </c>
      <c r="I284" s="3" t="s">
        <v>1305</v>
      </c>
      <c r="J284" s="7" t="s">
        <v>1904</v>
      </c>
      <c r="K284" s="4"/>
      <c r="L284" s="4" t="s">
        <v>3204</v>
      </c>
      <c r="M284" s="86" t="s">
        <v>3161</v>
      </c>
      <c r="N284" s="86" t="s">
        <v>2882</v>
      </c>
      <c r="O284" s="86"/>
      <c r="P284" s="86"/>
      <c r="Q284" s="86" t="s">
        <v>3204</v>
      </c>
      <c r="R284" s="86" t="str">
        <f t="shared" si="36"/>
        <v>subhasis.banerjee@yes.bank.in,joy.saha@yes.bank.in, imran.elahi@yes.bank.in, arindam.sarkar2@yes.bank.in, priyanka.mondal@yes.bank.in,lonika.kotekar@yes.bank.in,shirajahmed.habib@yes.bank.in,Gaurav@kgac.in,AmanM@kgac.in,hariom@kgac.in</v>
      </c>
      <c r="S284" s="85" t="s">
        <v>3669</v>
      </c>
      <c r="T284" s="84" t="s">
        <v>3670</v>
      </c>
      <c r="U284" s="84" t="s">
        <v>3425</v>
      </c>
      <c r="V284" s="84"/>
    </row>
    <row r="285" spans="1:22" x14ac:dyDescent="0.3">
      <c r="A285" s="1">
        <v>308</v>
      </c>
      <c r="B285" s="1" t="s">
        <v>60</v>
      </c>
      <c r="C285" s="2" t="s">
        <v>60</v>
      </c>
      <c r="D285" s="3" t="s">
        <v>103</v>
      </c>
      <c r="E285" s="3" t="s">
        <v>104</v>
      </c>
      <c r="F285" s="3" t="s">
        <v>1563</v>
      </c>
      <c r="G285" s="88" t="s">
        <v>1417</v>
      </c>
      <c r="H285" s="96">
        <v>1</v>
      </c>
      <c r="I285" s="3" t="s">
        <v>1306</v>
      </c>
      <c r="J285" s="7" t="s">
        <v>1904</v>
      </c>
      <c r="K285" s="4"/>
      <c r="L285" s="4" t="s">
        <v>3204</v>
      </c>
      <c r="M285" s="86" t="s">
        <v>3051</v>
      </c>
      <c r="N285" s="86" t="s">
        <v>2882</v>
      </c>
      <c r="O285" s="86"/>
      <c r="P285" s="86"/>
      <c r="Q285" s="86" t="s">
        <v>3204</v>
      </c>
      <c r="R285" s="86" t="str">
        <f t="shared" si="36"/>
        <v>subhasis.banerjee@yes.bank.in,priyanka.mondal@yes.bank.in,lonika.kotekar@yes.bank.in,shirajahmed.habib@yes.bank.in,Gaurav@kgac.in,AmanM@kgac.in,hariom@kgac.in</v>
      </c>
      <c r="S285" s="85" t="s">
        <v>3671</v>
      </c>
      <c r="T285" s="84" t="s">
        <v>3672</v>
      </c>
      <c r="U285" s="84" t="s">
        <v>3425</v>
      </c>
      <c r="V285" s="84"/>
    </row>
    <row r="286" spans="1:22" x14ac:dyDescent="0.3">
      <c r="A286" s="1">
        <v>309</v>
      </c>
      <c r="B286" s="1" t="s">
        <v>60</v>
      </c>
      <c r="C286" s="2" t="s">
        <v>60</v>
      </c>
      <c r="D286" s="3" t="s">
        <v>103</v>
      </c>
      <c r="E286" s="3" t="s">
        <v>104</v>
      </c>
      <c r="F286" s="3" t="s">
        <v>1572</v>
      </c>
      <c r="G286" s="88" t="s">
        <v>1417</v>
      </c>
      <c r="H286" s="96">
        <v>1</v>
      </c>
      <c r="I286" s="3" t="s">
        <v>1321</v>
      </c>
      <c r="J286" s="7" t="s">
        <v>1904</v>
      </c>
      <c r="K286" s="4"/>
      <c r="L286" s="4" t="s">
        <v>3203</v>
      </c>
      <c r="M286" s="86" t="s">
        <v>3162</v>
      </c>
      <c r="N286" s="86" t="s">
        <v>3043</v>
      </c>
      <c r="O286" s="86"/>
      <c r="P286" s="86"/>
      <c r="Q286" s="86" t="s">
        <v>3203</v>
      </c>
      <c r="R286" s="86" t="str">
        <f t="shared" si="36"/>
        <v>biswarup.ghosh@yes.bank.in,imran.elahi@yes.bank.in, sudip.manna@yes.bank.in, deepak.singh39@yes.bank.in,lonika.kotekar@yes.bank.in,shirajahmed.habib@yes.bank.in,Gaurav@kgac.in,AmanM@kgac.in,hariom@kgac.in</v>
      </c>
      <c r="S286" s="85" t="s">
        <v>3673</v>
      </c>
      <c r="T286" s="84" t="s">
        <v>3674</v>
      </c>
      <c r="U286" s="84" t="s">
        <v>3425</v>
      </c>
      <c r="V286" s="84"/>
    </row>
    <row r="287" spans="1:22" x14ac:dyDescent="0.3">
      <c r="A287" s="1">
        <v>310</v>
      </c>
      <c r="B287" s="1" t="s">
        <v>60</v>
      </c>
      <c r="C287" s="2" t="s">
        <v>60</v>
      </c>
      <c r="D287" s="3" t="s">
        <v>103</v>
      </c>
      <c r="E287" s="3" t="s">
        <v>104</v>
      </c>
      <c r="F287" s="3" t="s">
        <v>1573</v>
      </c>
      <c r="G287" s="88" t="s">
        <v>1417</v>
      </c>
      <c r="H287" s="96">
        <v>1</v>
      </c>
      <c r="I287" s="3" t="s">
        <v>1322</v>
      </c>
      <c r="J287" s="7" t="s">
        <v>1904</v>
      </c>
      <c r="K287" s="4"/>
      <c r="L287" s="4" t="s">
        <v>3203</v>
      </c>
      <c r="M287" s="86" t="s">
        <v>3162</v>
      </c>
      <c r="N287" s="86" t="s">
        <v>3043</v>
      </c>
      <c r="O287" s="86"/>
      <c r="P287" s="86"/>
      <c r="Q287" s="86" t="s">
        <v>3203</v>
      </c>
      <c r="R287" s="86" t="str">
        <f t="shared" si="36"/>
        <v>biswarup.ghosh@yes.bank.in,imran.elahi@yes.bank.in, sudip.manna@yes.bank.in, deepak.singh39@yes.bank.in,lonika.kotekar@yes.bank.in,shirajahmed.habib@yes.bank.in,Gaurav@kgac.in,AmanM@kgac.in,hariom@kgac.in</v>
      </c>
      <c r="S287" s="85" t="s">
        <v>3675</v>
      </c>
      <c r="T287" s="84" t="s">
        <v>3676</v>
      </c>
      <c r="U287" s="84" t="s">
        <v>3425</v>
      </c>
      <c r="V287" s="84"/>
    </row>
    <row r="288" spans="1:22" x14ac:dyDescent="0.3">
      <c r="A288" s="1">
        <v>311</v>
      </c>
      <c r="B288" s="1" t="s">
        <v>60</v>
      </c>
      <c r="C288" s="2" t="s">
        <v>60</v>
      </c>
      <c r="D288" s="3" t="s">
        <v>103</v>
      </c>
      <c r="E288" s="3" t="s">
        <v>104</v>
      </c>
      <c r="F288" s="3" t="s">
        <v>1575</v>
      </c>
      <c r="G288" s="88" t="s">
        <v>1417</v>
      </c>
      <c r="H288" s="96">
        <v>1</v>
      </c>
      <c r="I288" s="3" t="s">
        <v>1329</v>
      </c>
      <c r="J288" s="7" t="s">
        <v>1904</v>
      </c>
      <c r="K288" s="4"/>
      <c r="L288" s="4" t="s">
        <v>3204</v>
      </c>
      <c r="M288" s="86" t="s">
        <v>3163</v>
      </c>
      <c r="N288" s="86" t="s">
        <v>3043</v>
      </c>
      <c r="O288" s="86"/>
      <c r="P288" s="86"/>
      <c r="Q288" s="86" t="s">
        <v>3204</v>
      </c>
      <c r="R288" s="86" t="str">
        <f t="shared" si="36"/>
        <v>biswarup.ghosh@yes.bank.in,imran.elahi@yes.bank.in,lonika.kotekar@yes.bank.in,shirajahmed.habib@yes.bank.in,Gaurav@kgac.in,AmanM@kgac.in,hariom@kgac.in</v>
      </c>
      <c r="S288" s="85" t="s">
        <v>3677</v>
      </c>
      <c r="T288" s="84" t="s">
        <v>3678</v>
      </c>
      <c r="U288" s="84" t="s">
        <v>3425</v>
      </c>
      <c r="V288" s="84"/>
    </row>
    <row r="289" spans="1:22" x14ac:dyDescent="0.3">
      <c r="A289" s="1">
        <v>312</v>
      </c>
      <c r="B289" s="1" t="s">
        <v>60</v>
      </c>
      <c r="C289" s="2" t="s">
        <v>60</v>
      </c>
      <c r="D289" s="3" t="s">
        <v>103</v>
      </c>
      <c r="E289" s="3" t="s">
        <v>104</v>
      </c>
      <c r="F289" s="3" t="s">
        <v>1588</v>
      </c>
      <c r="G289" s="88" t="s">
        <v>1417</v>
      </c>
      <c r="H289" s="96">
        <v>1</v>
      </c>
      <c r="I289" s="3" t="s">
        <v>1349</v>
      </c>
      <c r="J289" s="7" t="s">
        <v>1904</v>
      </c>
      <c r="K289" s="4"/>
      <c r="L289" s="4" t="s">
        <v>3205</v>
      </c>
      <c r="M289" s="86" t="s">
        <v>3164</v>
      </c>
      <c r="N289" s="86" t="s">
        <v>3043</v>
      </c>
      <c r="O289" s="86"/>
      <c r="P289" s="86"/>
      <c r="Q289" s="86" t="s">
        <v>3205</v>
      </c>
      <c r="R289" s="86" t="str">
        <f t="shared" si="36"/>
        <v>biswarup.ghosh@yes.bank.in,joy.saha@yes.bank.in, tarkeshwar.singh@yes.bank.in,lonika.kotekar@yes.bank.in,shirajahmed.habib@yes.bank.in,Gaurav@kgac.in,AmanM@kgac.in,hariom@kgac.in</v>
      </c>
      <c r="S289" s="85" t="s">
        <v>3679</v>
      </c>
      <c r="T289" s="84" t="s">
        <v>3680</v>
      </c>
      <c r="U289" s="84" t="s">
        <v>3425</v>
      </c>
      <c r="V289" s="84"/>
    </row>
    <row r="290" spans="1:22" x14ac:dyDescent="0.3">
      <c r="A290" s="1">
        <v>313</v>
      </c>
      <c r="B290" s="1" t="s">
        <v>60</v>
      </c>
      <c r="C290" s="2" t="s">
        <v>60</v>
      </c>
      <c r="D290" s="3" t="s">
        <v>103</v>
      </c>
      <c r="E290" s="3" t="s">
        <v>104</v>
      </c>
      <c r="F290" s="3" t="s">
        <v>1588</v>
      </c>
      <c r="G290" s="88" t="s">
        <v>1417</v>
      </c>
      <c r="H290" s="96">
        <v>1</v>
      </c>
      <c r="I290" s="3" t="s">
        <v>1348</v>
      </c>
      <c r="J290" s="7" t="s">
        <v>1904</v>
      </c>
      <c r="K290" s="4"/>
      <c r="L290" s="4" t="s">
        <v>3203</v>
      </c>
      <c r="M290" s="86" t="s">
        <v>3164</v>
      </c>
      <c r="N290" s="86" t="s">
        <v>3043</v>
      </c>
      <c r="O290" s="86"/>
      <c r="P290" s="86"/>
      <c r="Q290" s="86" t="s">
        <v>3203</v>
      </c>
      <c r="R290" s="86" t="str">
        <f t="shared" si="36"/>
        <v>biswarup.ghosh@yes.bank.in,joy.saha@yes.bank.in, tarkeshwar.singh@yes.bank.in,lonika.kotekar@yes.bank.in,shirajahmed.habib@yes.bank.in,Gaurav@kgac.in,AmanM@kgac.in,hariom@kgac.in</v>
      </c>
      <c r="S290" s="85" t="s">
        <v>3681</v>
      </c>
      <c r="T290" s="84" t="s">
        <v>3682</v>
      </c>
      <c r="U290" s="84" t="s">
        <v>3425</v>
      </c>
      <c r="V290" s="84"/>
    </row>
    <row r="291" spans="1:22" x14ac:dyDescent="0.3">
      <c r="A291" s="1">
        <v>314</v>
      </c>
      <c r="B291" s="1" t="s">
        <v>60</v>
      </c>
      <c r="C291" s="2" t="s">
        <v>60</v>
      </c>
      <c r="D291" s="3" t="s">
        <v>103</v>
      </c>
      <c r="E291" s="3" t="s">
        <v>104</v>
      </c>
      <c r="F291" s="3" t="s">
        <v>1597</v>
      </c>
      <c r="G291" s="88" t="s">
        <v>1417</v>
      </c>
      <c r="H291" s="96">
        <v>1</v>
      </c>
      <c r="I291" s="3" t="s">
        <v>1373</v>
      </c>
      <c r="J291" s="7" t="s">
        <v>1904</v>
      </c>
      <c r="K291" s="4"/>
      <c r="L291" s="4" t="s">
        <v>3204</v>
      </c>
      <c r="M291" s="86" t="s">
        <v>3165</v>
      </c>
      <c r="N291" s="86" t="s">
        <v>2882</v>
      </c>
      <c r="O291" s="86"/>
      <c r="P291" s="86"/>
      <c r="Q291" s="86" t="s">
        <v>3204</v>
      </c>
      <c r="R291" s="86" t="str">
        <f t="shared" si="36"/>
        <v>subhasis.banerjee@yes.bank.in,priyanka.mondal@yes.bank.in, arindam.sarkar2@yes.bank.in, amit.singh69@yes.bank.in, suryakanta.jena1@yes.bank.in,lonika.kotekar@yes.bank.in,shirajahmed.habib@yes.bank.in,Gaurav@kgac.in,AmanM@kgac.in,hariom@kgac.in</v>
      </c>
      <c r="S291" s="85" t="s">
        <v>3683</v>
      </c>
      <c r="T291" s="84" t="s">
        <v>3684</v>
      </c>
      <c r="U291" s="84" t="s">
        <v>3425</v>
      </c>
      <c r="V291" s="84"/>
    </row>
    <row r="292" spans="1:22" x14ac:dyDescent="0.3">
      <c r="A292" s="1">
        <v>315</v>
      </c>
      <c r="B292" s="1" t="s">
        <v>60</v>
      </c>
      <c r="C292" s="2" t="s">
        <v>60</v>
      </c>
      <c r="D292" s="3" t="s">
        <v>103</v>
      </c>
      <c r="E292" s="3" t="s">
        <v>104</v>
      </c>
      <c r="F292" s="3" t="s">
        <v>1599</v>
      </c>
      <c r="G292" s="88" t="s">
        <v>1417</v>
      </c>
      <c r="H292" s="96">
        <v>1</v>
      </c>
      <c r="I292" s="3" t="s">
        <v>1376</v>
      </c>
      <c r="J292" s="7" t="s">
        <v>1904</v>
      </c>
      <c r="K292" s="4"/>
      <c r="L292" s="4" t="s">
        <v>3204</v>
      </c>
      <c r="M292" s="86" t="s">
        <v>3153</v>
      </c>
      <c r="N292" s="86" t="s">
        <v>3043</v>
      </c>
      <c r="O292" s="86"/>
      <c r="P292" s="86"/>
      <c r="Q292" s="86" t="s">
        <v>3204</v>
      </c>
      <c r="R292" s="86" t="str">
        <f t="shared" si="36"/>
        <v>biswarup.ghosh@yes.bank.in,sourabh.parihar@yes.bank.in,lonika.kotekar@yes.bank.in,shirajahmed.habib@yes.bank.in,Gaurav@kgac.in,AmanM@kgac.in,hariom@kgac.in</v>
      </c>
      <c r="S292" s="85" t="s">
        <v>3685</v>
      </c>
      <c r="T292" s="84" t="s">
        <v>3686</v>
      </c>
      <c r="U292" s="84" t="s">
        <v>3425</v>
      </c>
      <c r="V292" s="84"/>
    </row>
    <row r="293" spans="1:22" x14ac:dyDescent="0.3">
      <c r="A293" s="1">
        <v>316</v>
      </c>
      <c r="B293" s="1" t="s">
        <v>60</v>
      </c>
      <c r="C293" s="2" t="s">
        <v>60</v>
      </c>
      <c r="D293" s="3" t="s">
        <v>103</v>
      </c>
      <c r="E293" s="3" t="s">
        <v>104</v>
      </c>
      <c r="F293" s="3" t="s">
        <v>1614</v>
      </c>
      <c r="G293" s="88" t="s">
        <v>1417</v>
      </c>
      <c r="H293" s="96">
        <v>1</v>
      </c>
      <c r="I293" s="3" t="s">
        <v>1407</v>
      </c>
      <c r="J293" s="7" t="s">
        <v>1904</v>
      </c>
      <c r="K293" s="4"/>
      <c r="L293" s="4" t="s">
        <v>3203</v>
      </c>
      <c r="M293" s="86" t="s">
        <v>3166</v>
      </c>
      <c r="N293" s="86" t="s">
        <v>3089</v>
      </c>
      <c r="O293" s="86"/>
      <c r="P293" s="86"/>
      <c r="Q293" s="86" t="s">
        <v>3203</v>
      </c>
      <c r="R293" s="86" t="str">
        <f t="shared" si="36"/>
        <v>subhasis.banerjee@yes.bank.in, biswarup.ghosh@yes.bank.in,arindam.sarkar2@yes.bank.in, joy.saha@yes.bank.in,lonika.kotekar@yes.bank.in,shirajahmed.habib@yes.bank.in,Gaurav@kgac.in,AmanM@kgac.in,hariom@kgac.in</v>
      </c>
      <c r="S293" s="85" t="s">
        <v>3687</v>
      </c>
      <c r="T293" s="84" t="s">
        <v>3688</v>
      </c>
      <c r="U293" s="84" t="s">
        <v>3425</v>
      </c>
      <c r="V293" s="84"/>
    </row>
    <row r="294" spans="1:22" x14ac:dyDescent="0.3">
      <c r="A294" s="1">
        <v>317</v>
      </c>
      <c r="B294" s="1" t="s">
        <v>60</v>
      </c>
      <c r="C294" s="2" t="s">
        <v>60</v>
      </c>
      <c r="D294" s="3" t="s">
        <v>103</v>
      </c>
      <c r="E294" s="3" t="s">
        <v>104</v>
      </c>
      <c r="F294" s="3" t="s">
        <v>1617</v>
      </c>
      <c r="G294" s="88" t="s">
        <v>1417</v>
      </c>
      <c r="H294" s="96">
        <v>1</v>
      </c>
      <c r="I294" s="3" t="s">
        <v>1410</v>
      </c>
      <c r="J294" s="7" t="s">
        <v>1904</v>
      </c>
      <c r="K294" s="4"/>
      <c r="L294" s="4" t="s">
        <v>3203</v>
      </c>
      <c r="M294" s="86" t="s">
        <v>3166</v>
      </c>
      <c r="N294" s="86" t="s">
        <v>3089</v>
      </c>
      <c r="O294" s="86"/>
      <c r="P294" s="86"/>
      <c r="Q294" s="86" t="s">
        <v>3203</v>
      </c>
      <c r="R294" s="86" t="str">
        <f t="shared" si="36"/>
        <v>subhasis.banerjee@yes.bank.in, biswarup.ghosh@yes.bank.in,arindam.sarkar2@yes.bank.in, joy.saha@yes.bank.in,lonika.kotekar@yes.bank.in,shirajahmed.habib@yes.bank.in,Gaurav@kgac.in,AmanM@kgac.in,hariom@kgac.in</v>
      </c>
      <c r="S294" s="85" t="s">
        <v>3689</v>
      </c>
      <c r="T294" s="84" t="s">
        <v>3690</v>
      </c>
      <c r="U294" s="84" t="s">
        <v>3425</v>
      </c>
      <c r="V294" s="84"/>
    </row>
    <row r="295" spans="1:22" x14ac:dyDescent="0.3">
      <c r="A295" s="1">
        <v>318</v>
      </c>
      <c r="B295" s="1" t="s">
        <v>60</v>
      </c>
      <c r="C295" s="2" t="s">
        <v>60</v>
      </c>
      <c r="D295" s="3" t="s">
        <v>103</v>
      </c>
      <c r="E295" s="3" t="s">
        <v>104</v>
      </c>
      <c r="F295" s="3" t="s">
        <v>1620</v>
      </c>
      <c r="G295" s="88" t="s">
        <v>1417</v>
      </c>
      <c r="H295" s="96">
        <v>1</v>
      </c>
      <c r="I295" s="3" t="s">
        <v>1414</v>
      </c>
      <c r="J295" s="7" t="s">
        <v>1904</v>
      </c>
      <c r="K295" s="4"/>
      <c r="L295" s="4" t="s">
        <v>3206</v>
      </c>
      <c r="M295" s="86" t="s">
        <v>3163</v>
      </c>
      <c r="N295" s="86" t="s">
        <v>3043</v>
      </c>
      <c r="O295" s="86"/>
      <c r="P295" s="86"/>
      <c r="Q295" s="86" t="s">
        <v>3206</v>
      </c>
      <c r="R295" s="86" t="str">
        <f t="shared" si="36"/>
        <v>biswarup.ghosh@yes.bank.in,imran.elahi@yes.bank.in,lonika.kotekar@yes.bank.in,shirajahmed.habib@yes.bank.in,Gaurav@kgac.in,AmanM@kgac.in,hariom@kgac.in</v>
      </c>
      <c r="S295" s="85" t="s">
        <v>3691</v>
      </c>
      <c r="T295" s="84" t="s">
        <v>3692</v>
      </c>
      <c r="U295" s="84" t="s">
        <v>3425</v>
      </c>
      <c r="V295" s="84"/>
    </row>
  </sheetData>
  <autoFilter ref="A1:V295" xr:uid="{40099037-6C4A-4C23-9F25-3AFCA3BC615D}"/>
  <hyperlinks>
    <hyperlink ref="L2" r:id="rId1" display="aba.guwahati@gmail.com; " xr:uid="{2748E782-5988-48D6-B07D-609BCB1804C7}"/>
    <hyperlink ref="L14" r:id="rId2" xr:uid="{3ED35844-3E09-4602-82A6-D45ACA67DAFF}"/>
    <hyperlink ref="L10" r:id="rId3" display="himanshudeltaservices@gmail.com;anilsharmaojas1@gmail.com" xr:uid="{689CE7BD-509F-4F50-B614-4649EB5D4C02}"/>
    <hyperlink ref="L8" r:id="rId4" display="infinityservicescg2021@infinityfirst.onmicrosoft.com" xr:uid="{4999D047-9980-4760-9272-E2278F6361B0}"/>
    <hyperlink ref="L11" r:id="rId5" display="mailto:earth4@earthservices.in" xr:uid="{229B989A-92D2-4BB9-81C2-F9F1FFAB6C9B}"/>
    <hyperlink ref="L16" r:id="rId6" xr:uid="{10D7C07C-C6BB-4FF2-A593-4B06B2660B19}"/>
    <hyperlink ref="L15" r:id="rId7" display="PARADIGM9INC@GMAIL.COM; " xr:uid="{74A9C90F-4D8D-4AFF-82CF-1DF6B9058A74}"/>
    <hyperlink ref="L9" r:id="rId8" xr:uid="{FCD53BA7-1E88-4535-9168-AEB36C7B5815}"/>
    <hyperlink ref="L6" r:id="rId9" xr:uid="{75B18FBB-F3B6-4D42-BA70-9C51A7946D12}"/>
    <hyperlink ref="L20" r:id="rId10" xr:uid="{1AE6DA41-80C4-4D46-98F5-7128EA615DBF}"/>
    <hyperlink ref="L21" r:id="rId11" display="mailto:contact@rkassociatesmbd.com" xr:uid="{8FBA4829-B901-48D9-9C6D-F62613A62ADD}"/>
    <hyperlink ref="L18" r:id="rId12" display="mailto:collections.sma@shreemahadevi.com" xr:uid="{35C46C11-92D1-448A-BEC5-6BBC04079945}"/>
    <hyperlink ref="L23" r:id="rId13" xr:uid="{28672B32-A473-4CB7-9AA7-7843758431B7}"/>
    <hyperlink ref="L19" r:id="rId14" xr:uid="{98F86B6E-8FE9-45FC-855B-A27F2CB4068C}"/>
    <hyperlink ref="L28" r:id="rId15" xr:uid="{CBAFA0A2-6C98-4281-B013-361BC4DFDDD7}"/>
    <hyperlink ref="L26" r:id="rId16" display="fairadvisory.jsr@gmail.com; collection" xr:uid="{F0A9E6CB-0BFD-45C1-9107-9939B4D3B5D9}"/>
    <hyperlink ref="L32" r:id="rId17" xr:uid="{349B19A1-A4F8-4A26-BCF1-446CDF67CE08}"/>
    <hyperlink ref="L33" r:id="rId18" xr:uid="{88B2AD9F-8484-4E14-9DD7-F9729E58518B}"/>
    <hyperlink ref="L38" r:id="rId19" display="excelbat@yahoo.co.in" xr:uid="{C7EC7ADF-4E6B-46E8-8DD0-5653727E0ECD}"/>
    <hyperlink ref="L44" r:id="rId20" display="y.enterprises2009@gmail.com,yenterprises.yesbank@gmail.com" xr:uid="{4564780F-1A46-4EA8-A466-3E58606909C6}"/>
    <hyperlink ref="L42" r:id="rId21" xr:uid="{342B3664-648F-461D-A697-E8D4E94CCD66}"/>
    <hyperlink ref="L41" r:id="rId22" xr:uid="{43445EAA-BCB0-412E-85A1-937CD9C8E468}"/>
    <hyperlink ref="L46" r:id="rId23" display="mailto:ib@resolutionachievers.com" xr:uid="{3FCC7EB8-6176-4D8D-8D66-BE59FAB8670A}"/>
    <hyperlink ref="L39" r:id="rId24" xr:uid="{17C76DC7-F977-4F42-AD0A-C0CC95AECA1D}"/>
    <hyperlink ref="L47" r:id="rId25" display="excelbat@yahoo.co.in" xr:uid="{D7B1D679-0073-40EC-AA70-77F3E2D65EED}"/>
    <hyperlink ref="L49" r:id="rId26" display="info@saviiour.com" xr:uid="{E0AF614D-984D-41D6-9482-323EC798970E}"/>
    <hyperlink ref="L51" r:id="rId27" display="excelbat@yahoo.co.in" xr:uid="{3026ED94-8C99-4A1D-B05E-1B43617B2468}"/>
    <hyperlink ref="L48" r:id="rId28" xr:uid="{7B723AA8-594B-45BE-A94A-C43689F4D22C}"/>
    <hyperlink ref="L91" r:id="rId29" display="collection@easylinks.co.in,easywayneworg@gmail.com" xr:uid="{46B47E01-B6EA-4444-A312-90DDED991900}"/>
    <hyperlink ref="L73" r:id="rId30" display="baiswaraassociates_2009@rediffmail.com/" xr:uid="{8ED96E96-8831-46D8-AAAD-926A58DEE076}"/>
    <hyperlink ref="L72" r:id="rId31" xr:uid="{57A9E54B-B69E-4FB4-8F85-D18F6C16F2E9}"/>
    <hyperlink ref="L89" r:id="rId32" xr:uid="{62949294-1C23-4F31-BA8D-EB18C79873D0}"/>
    <hyperlink ref="L60" r:id="rId33" display="mailto:Sanvifiancial@gmail.com" xr:uid="{9D6E9EC0-21C8-4C72-BA57-D47A0B3248DE}"/>
    <hyperlink ref="L78" r:id="rId34" display="SBANSAL@TOTALSOLUTIONSMAIL.COM" xr:uid="{396D536B-40F8-41A6-AA50-ED87DDD97B5A}"/>
    <hyperlink ref="L85" r:id="rId35" display="evergreen.solution@rediffmail.com" xr:uid="{76142E70-37B1-4FB5-ACA8-F6DA2E60AB24}"/>
    <hyperlink ref="L90" r:id="rId36" xr:uid="{20A9945E-497E-4A26-99B9-A25EAFA4ADF4}"/>
    <hyperlink ref="L81" r:id="rId37" xr:uid="{A108BD43-D78A-4567-9897-A84943987F7F}"/>
    <hyperlink ref="L62" r:id="rId38" xr:uid="{4DE57F4C-605A-4959-9CD1-FB950D74E4AB}"/>
    <hyperlink ref="L67" r:id="rId39" xr:uid="{4FF02A8D-46E9-404B-8C0B-5D7AE7CED99B}"/>
    <hyperlink ref="L70" r:id="rId40" xr:uid="{A89D3FAD-20FF-441C-8138-188225686D5F}"/>
    <hyperlink ref="L88" r:id="rId41" xr:uid="{FF10735C-4201-4AF9-93A3-3C1D2C64154B}"/>
    <hyperlink ref="L79" r:id="rId42" xr:uid="{FBB1BAAC-91D3-4C76-93FB-B923392D66F8}"/>
    <hyperlink ref="L77" r:id="rId43" xr:uid="{8F3BBC8A-7099-4C56-B9A6-49A371E4210B}"/>
    <hyperlink ref="L74" r:id="rId44" xr:uid="{276430A4-76B9-4F18-A24A-ED38ED0F2123}"/>
    <hyperlink ref="L68" r:id="rId45" xr:uid="{EEE0C7C9-C2A8-4C0A-B649-0DB85F045B55}"/>
    <hyperlink ref="L96" r:id="rId46" xr:uid="{CDEAB573-9C8F-46DE-A87A-038A09E0EF81}"/>
    <hyperlink ref="L102" r:id="rId47" display="gurman.yesbank@gmail.com ; sukh" xr:uid="{55D4823C-16B7-4EA5-AFAD-811388C33902}"/>
    <hyperlink ref="L103" r:id="rId48" display="Rahul.arora@kpcmservices.com; kcpm" xr:uid="{E9A13DCB-27BF-4ADA-A864-6FEF3243651B}"/>
    <hyperlink ref="L104" r:id="rId49" xr:uid="{EDA6F45F-A008-4AF9-B0D3-CF85CC84BAED}"/>
    <hyperlink ref="L97" r:id="rId50" display="info@wayoutsolutions.in" xr:uid="{56FF28E3-CBEC-4F7F-ADB2-EAFEB446EF2C}"/>
    <hyperlink ref="L94" r:id="rId51" xr:uid="{947F0C92-E3AA-44B4-9BF3-FF5678EB081D}"/>
    <hyperlink ref="L99" r:id="rId52" display="prabhakar.globalmanagement@gmail.com" xr:uid="{D4510D2C-BB8E-4626-9CBD-9D230F09132E}"/>
    <hyperlink ref="L111" r:id="rId53" display="ajaykgupta76@rediffmail.com/jkcs.krish@gmail.com" xr:uid="{D41852AC-6FA2-4798-AB89-9480D3C123EC}"/>
    <hyperlink ref="L113" r:id="rId54" xr:uid="{F8524B6C-BE2F-4766-ABA8-A97EA0699432}"/>
    <hyperlink ref="L115" r:id="rId55" xr:uid="{7AE1DD27-5111-4396-BC10-83FA93918B2E}"/>
    <hyperlink ref="L116" r:id="rId56" xr:uid="{9264E35A-EA8A-4DB7-8083-F1ECA553F666}"/>
    <hyperlink ref="L118" r:id="rId57" xr:uid="{89CCA201-DA90-40A5-B9F5-2DBF1BC2EDB5}"/>
    <hyperlink ref="L119" r:id="rId58" xr:uid="{3AECA4C9-6452-4D56-A291-8BEDC3AE5086}"/>
    <hyperlink ref="L121" r:id="rId59" display="swarnikaassociates@gmail.com,Swarnikayesbank@gmail.com" xr:uid="{CE115100-8D2B-4045-9805-9BED6004DB60}"/>
    <hyperlink ref="L126" r:id="rId60" display="MCC.YES@REDIFFMAIL.COM" xr:uid="{284F4C4B-5E18-4289-A7D9-F8D267288171}"/>
    <hyperlink ref="L133" r:id="rId61" xr:uid="{A34643E8-EFA3-4119-A85F-36B90CDEAA2D}"/>
    <hyperlink ref="L132" r:id="rId62" xr:uid="{CD647225-1339-4DB2-82C9-2A7FE2164152}"/>
    <hyperlink ref="L131" r:id="rId63" xr:uid="{1BCB03C2-716F-4691-8D44-92374B7BA8F9}"/>
    <hyperlink ref="L130" r:id="rId64" display="sanjeevsabherwal@hotmail.com" xr:uid="{B400A002-6567-4261-9FFD-A13A068C4A97}"/>
    <hyperlink ref="L128" r:id="rId65" xr:uid="{993E15A4-96D3-448D-8512-616D67AF50C8}"/>
    <hyperlink ref="L139" r:id="rId66" xr:uid="{08A601E5-E949-4729-AF40-74FB2FBEC5D9}"/>
    <hyperlink ref="L135" r:id="rId67" xr:uid="{C7A66773-EBBF-4D21-BDCE-97A9D69020AC}"/>
    <hyperlink ref="L141" r:id="rId68" xr:uid="{8C185250-DC04-40D3-BB10-74F875BB7DF8}"/>
    <hyperlink ref="L138" r:id="rId69" xr:uid="{D3E7896A-8D7A-45ED-8BEF-798FD8F5DAE8}"/>
    <hyperlink ref="L150" r:id="rId70" xr:uid="{DB0FBB9A-A1CE-471F-8937-1B20420A6A2E}"/>
    <hyperlink ref="L145" r:id="rId71" xr:uid="{B9931B9F-8473-419E-A1D8-9EDBACFAFDCC}"/>
    <hyperlink ref="L151" r:id="rId72" xr:uid="{D6BD7208-F2A3-4695-A7FD-A7878361B95F}"/>
    <hyperlink ref="L156" r:id="rId73" xr:uid="{517C9593-2953-48D4-90C8-C30F536E3A84}"/>
    <hyperlink ref="L160" r:id="rId74" display="biswajitdeyrepo@gmail.com" xr:uid="{DD43FB59-7D53-407D-AD37-1892D25A3087}"/>
    <hyperlink ref="L161" r:id="rId75" display="relief_repo@rediffmail.com/repo.relief@yahoo.com/relief.repo@gmail.com" xr:uid="{2E91D6EF-36B8-4AAF-A7B0-BC0BCC1A3049}"/>
    <hyperlink ref="L155" r:id="rId76" xr:uid="{D184F738-F754-4D59-AB05-5BCFB0C2FD17}"/>
    <hyperlink ref="N24" r:id="rId77" xr:uid="{90AB5F3D-00C6-4AE6-9280-89C539DD6F7A}"/>
    <hyperlink ref="N31" r:id="rId78" display="abhinav.lal2@yes.bank.in,sameer.dhar@yes.bank.in,sanjeev.kumar30@yes.bank.in,dipak.dhandhukiya@yes.bank.in,sekhar.gundala1@yes.bank.in,SAGAR.CHOUDHARI@yes.bank.in" xr:uid="{55C2B387-9924-4C8B-A35A-34F9379F0C8C}"/>
    <hyperlink ref="N34" r:id="rId79" display="abhinav.lal2@yes.bank.in,sameer.dhar@yes.bank.in,sanjeev.kumar30@yes.bank.in,dipak.dhandhukiya@yes.bank.in,sekhar.gundala1@yes.bank.in,SAGAR.CHOUDHARI@yes.bank.in" xr:uid="{26829CC4-3E68-43EF-A07E-0600F46A9036}"/>
    <hyperlink ref="N39" r:id="rId80" display="abhinav.lal2@yes.bank.in,sameer.dhar@yes.bank.in,sanjeev.kumar30@yes.bank.in,dipak.dhandhukiya@yes.bank.in,sekhar.gundala1@yes.bank.in,SAGAR.CHOUDHARI@yes.bank.in" xr:uid="{EB110337-F678-4D23-BF20-F97259C98873}"/>
    <hyperlink ref="N56" r:id="rId81" display="abhinav.lal2@yes.bank.in,sameer.dhar@yes.bank.in,sanjeev.kumar30@yes.bank.in,dipak.dhandhukiya@yes.bank.in,sekhar.gundala1@yes.bank.in,SAGAR.CHOUDHARI@yes.bank.in" xr:uid="{8F8981C1-AF08-471D-BB74-8D7E8A4733F9}"/>
    <hyperlink ref="N57" r:id="rId82" display="abhinav.lal2@yes.bank.in,sameer.dhar@yes.bank.in,sanjeev.kumar30@yes.bank.in,dipak.dhandhukiya@yes.bank.in,sekhar.gundala1@yes.bank.in,SAGAR.CHOUDHARI@yes.bank.in" xr:uid="{87690936-9410-40EA-843D-580240F8B2C8}"/>
    <hyperlink ref="N66" r:id="rId83" display="abhinav.lal2@yes.bank.in,sameer.dhar@yes.bank.in,sanjeev.kumar30@yes.bank.in,dipak.dhandhukiya@yes.bank.in,sekhar.gundala1@yes.bank.in,SAGAR.CHOUDHARI@yes.bank.in" xr:uid="{591A4286-8C2E-404F-A77F-FFC710F29238}"/>
    <hyperlink ref="N70" r:id="rId84" display="abhinav.lal2@yes.bank.in,sameer.dhar@yes.bank.in,sanjeev.kumar30@yes.bank.in,dipak.dhandhukiya@yes.bank.in,sekhar.gundala1@yes.bank.in,SAGAR.CHOUDHARI@yes.bank.in" xr:uid="{A89E82AA-9DA6-4D1F-82FB-F824385AD096}"/>
    <hyperlink ref="N71" r:id="rId85" display="abhinav.lal2@yes.bank.in,sameer.dhar@yes.bank.in,sanjeev.kumar30@yes.bank.in,dipak.dhandhukiya@yes.bank.in,sekhar.gundala1@yes.bank.in,SAGAR.CHOUDHARI@yes.bank.in" xr:uid="{6F137EF1-76CF-4C5D-B9C5-92E9FB0D7A7C}"/>
    <hyperlink ref="N77" r:id="rId86" display="abhinav.lal2@yes.bank.in,sameer.dhar@yes.bank.in,sanjeev.kumar30@yes.bank.in,dipak.dhandhukiya@yes.bank.in,sekhar.gundala1@yes.bank.in,SAGAR.CHOUDHARI@yes.bank.in" xr:uid="{4317E5FA-891F-408C-8F56-520335DCD8C7}"/>
    <hyperlink ref="N83" r:id="rId87" display="abhinav.lal2@yes.bank.in,sameer.dhar@yes.bank.in,sanjeev.kumar30@yes.bank.in,dipak.dhandhukiya@yes.bank.in,sekhar.gundala1@yes.bank.in,SAGAR.CHOUDHARI@yes.bank.in" xr:uid="{B9C9A90D-39DC-41A3-923F-59FF92385689}"/>
    <hyperlink ref="N84" r:id="rId88" display="abhinav.lal2@yes.bank.in,sameer.dhar@yes.bank.in,sanjeev.kumar30@yes.bank.in,dipak.dhandhukiya@yes.bank.in,sekhar.gundala1@yes.bank.in,SAGAR.CHOUDHARI@yes.bank.in" xr:uid="{31B38307-CA40-4C87-AF78-55D3B06EE346}"/>
    <hyperlink ref="N98" r:id="rId89" display="abhinav.lal2@yes.bank.in,sameer.dhar@yes.bank.in,sanjeev.kumar30@yes.bank.in,dipak.dhandhukiya@yes.bank.in,sekhar.gundala1@yes.bank.in,SAGAR.CHOUDHARI@yes.bank.in" xr:uid="{0DC2BC04-859B-403A-9AC2-1DB7670F23F1}"/>
    <hyperlink ref="N140" r:id="rId90" display="abhinav.lal2@yes.bank.in,sameer.dhar@yes.bank.in,sanjeev.kumar30@yes.bank.in,dipak.dhandhukiya@yes.bank.in,sekhar.gundala1@yes.bank.in,SAGAR.CHOUDHARI@yes.bank.in" xr:uid="{E9485A5F-7465-4872-A736-95A321764518}"/>
    <hyperlink ref="N141" r:id="rId91" display="abhinav.lal2@yes.bank.in,sameer.dhar@yes.bank.in,sanjeev.kumar30@yes.bank.in,dipak.dhandhukiya@yes.bank.in,sekhar.gundala1@yes.bank.in,SAGAR.CHOUDHARI@yes.bank.in" xr:uid="{D5A7C09D-06BF-4DAF-85A3-28AA775A3B96}"/>
    <hyperlink ref="N142" r:id="rId92" display="abhinav.lal2@yes.bank.in,sameer.dhar@yes.bank.in,sanjeev.kumar30@yes.bank.in,dipak.dhandhukiya@yes.bank.in,sekhar.gundala1@yes.bank.in,SAGAR.CHOUDHARI@yes.bank.in" xr:uid="{C17CF9E2-4683-4DBB-A54D-07B623AA93FA}"/>
    <hyperlink ref="N143" r:id="rId93" display="abhinav.lal2@yes.bank.in,sameer.dhar@yes.bank.in,sanjeev.kumar30@yes.bank.in,dipak.dhandhukiya@yes.bank.in,sekhar.gundala1@yes.bank.in,SAGAR.CHOUDHARI@yes.bank.in" xr:uid="{C280C758-734E-47A2-93BC-25ADF57F3B4F}"/>
    <hyperlink ref="N144" r:id="rId94" display="abhinav.lal2@yes.bank.in,sameer.dhar@yes.bank.in,sanjeev.kumar30@yes.bank.in,dipak.dhandhukiya@yes.bank.in,sekhar.gundala1@yes.bank.in,SAGAR.CHOUDHARI@yes.bank.in" xr:uid="{C3775D3C-BA06-4E34-BD78-5B78155D3BBA}"/>
    <hyperlink ref="N146" r:id="rId95" display="abhinav.lal2@yes.bank.in,sameer.dhar@yes.bank.in,sanjeev.kumar30@yes.bank.in,dipak.dhandhukiya@yes.bank.in,sekhar.gundala1@yes.bank.in,SAGAR.CHOUDHARI@yes.bank.in" xr:uid="{29F184A8-9FF0-4248-912E-E6C6DC1C3251}"/>
    <hyperlink ref="N147" r:id="rId96" display="abhinav.lal2@yes.bank.in,sameer.dhar@yes.bank.in,sanjeev.kumar30@yes.bank.in,dipak.dhandhukiya@yes.bank.in,sekhar.gundala1@yes.bank.in,SAGAR.CHOUDHARI@yes.bank.in" xr:uid="{3100475F-974B-4165-A5EB-2ED94728A29C}"/>
    <hyperlink ref="N148" r:id="rId97" display="abhinav.lal2@yes.bank.in,sameer.dhar@yes.bank.in,sanjeev.kumar30@yes.bank.in,dipak.dhandhukiya@yes.bank.in,sekhar.gundala1@yes.bank.in,SAGAR.CHOUDHARI@yes.bank.in" xr:uid="{9D384917-F723-41BE-9204-CA15E815DAC2}"/>
    <hyperlink ref="N149" r:id="rId98" display="abhinav.lal2@yes.bank.in,sameer.dhar@yes.bank.in,sanjeev.kumar30@yes.bank.in,dipak.dhandhukiya@yes.bank.in,sekhar.gundala1@yes.bank.in,SAGAR.CHOUDHARI@yes.bank.in" xr:uid="{648D746F-4C84-432C-8929-0037DECF4519}"/>
    <hyperlink ref="N150" r:id="rId99" display="abhinav.lal2@yes.bank.in,sameer.dhar@yes.bank.in,sanjeev.kumar30@yes.bank.in,dipak.dhandhukiya@yes.bank.in,sekhar.gundala1@yes.bank.in,SAGAR.CHOUDHARI@yes.bank.in" xr:uid="{894C0EA3-378F-4053-9862-1E068F210324}"/>
    <hyperlink ref="N151" r:id="rId100" display="abhinav.lal2@yes.bank.in,sameer.dhar@yes.bank.in,sanjeev.kumar30@yes.bank.in,dipak.dhandhukiya@yes.bank.in,sekhar.gundala1@yes.bank.in,SAGAR.CHOUDHARI@yes.bank.in" xr:uid="{0976644A-299F-458B-B759-02D7E869AEE6}"/>
    <hyperlink ref="N152" r:id="rId101" display="abhinav.lal2@yes.bank.in,sameer.dhar@yes.bank.in,sanjeev.kumar30@yes.bank.in,dipak.dhandhukiya@yes.bank.in,sekhar.gundala1@yes.bank.in,SAGAR.CHOUDHARI@yes.bank.in" xr:uid="{FB2C3EF0-DC66-44A9-97EF-067B4334602B}"/>
    <hyperlink ref="N153" r:id="rId102" display="abhinav.lal2@yes.bank.in,sameer.dhar@yes.bank.in,sanjeev.kumar30@yes.bank.in,dipak.dhandhukiya@yes.bank.in,sekhar.gundala1@yes.bank.in,SAGAR.CHOUDHARI@yes.bank.in" xr:uid="{628D447D-57AF-472A-8080-5B446944C454}"/>
    <hyperlink ref="N154" r:id="rId103" display="abhinav.lal2@yes.bank.in,sameer.dhar@yes.bank.in,sanjeev.kumar30@yes.bank.in,dipak.dhandhukiya@yes.bank.in,sekhar.gundala1@yes.bank.in,SAGAR.CHOUDHARI@yes.bank.in" xr:uid="{FD0664E5-7AB9-430A-95DA-467102E81625}"/>
    <hyperlink ref="N155" r:id="rId104" display="abhinav.lal2@yes.bank.in,sameer.dhar@yes.bank.in,sanjeev.kumar30@yes.bank.in,dipak.dhandhukiya@yes.bank.in,sekhar.gundala1@yes.bank.in,SAGAR.CHOUDHARI@yes.bank.in" xr:uid="{EAC90531-B4BD-40AC-81E7-41BAE8AA6377}"/>
    <hyperlink ref="N156" r:id="rId105" display="abhinav.lal2@yes.bank.in,sameer.dhar@yes.bank.in,sanjeev.kumar30@yes.bank.in,dipak.dhandhukiya@yes.bank.in,sekhar.gundala1@yes.bank.in,SAGAR.CHOUDHARI@yes.bank.in" xr:uid="{D05B6D2A-E9A3-44C1-9E69-D75D56306735}"/>
    <hyperlink ref="N157" r:id="rId106" display="abhinav.lal2@yes.bank.in,sameer.dhar@yes.bank.in,sanjeev.kumar30@yes.bank.in,dipak.dhandhukiya@yes.bank.in,sekhar.gundala1@yes.bank.in,SAGAR.CHOUDHARI@yes.bank.in" xr:uid="{DA8DA9E9-FE01-4283-97B3-BB0E065541FC}"/>
    <hyperlink ref="N158" r:id="rId107" display="abhinav.lal2@yes.bank.in,sameer.dhar@yes.bank.in,sanjeev.kumar30@yes.bank.in,dipak.dhandhukiya@yes.bank.in,sekhar.gundala1@yes.bank.in,SAGAR.CHOUDHARI@yes.bank.in" xr:uid="{D8E61EC2-34E2-4830-B39A-6A91D5388123}"/>
    <hyperlink ref="N159" r:id="rId108" display="abhinav.lal2@yes.bank.in,sameer.dhar@yes.bank.in,sanjeev.kumar30@yes.bank.in,dipak.dhandhukiya@yes.bank.in,sekhar.gundala1@yes.bank.in,SAGAR.CHOUDHARI@yes.bank.in" xr:uid="{DEC57238-231E-4B40-BBA9-05A8520249FB}"/>
    <hyperlink ref="N160" r:id="rId109" display="abhinav.lal2@yes.bank.in,sameer.dhar@yes.bank.in,sanjeev.kumar30@yes.bank.in,dipak.dhandhukiya@yes.bank.in,sekhar.gundala1@yes.bank.in,SAGAR.CHOUDHARI@yes.bank.in" xr:uid="{5DC7569B-D89C-47BB-88D7-D6E81D623D78}"/>
    <hyperlink ref="N161" r:id="rId110" display="abhinav.lal2@yes.bank.in,sameer.dhar@yes.bank.in,sanjeev.kumar30@yes.bank.in,dipak.dhandhukiya@yes.bank.in,sekhar.gundala1@yes.bank.in,SAGAR.CHOUDHARI@yes.bank.in" xr:uid="{0EFCEE6A-4416-41CF-997A-35196EF9CE25}"/>
    <hyperlink ref="K156" r:id="rId111" xr:uid="{D60C7632-C741-4D0F-86F8-910C05C12269}"/>
    <hyperlink ref="K79" r:id="rId112" xr:uid="{02771377-D2C6-4963-AFC5-B126C75F9585}"/>
    <hyperlink ref="K125" r:id="rId113" xr:uid="{97D9CBC3-939E-4C4F-926B-3E11AD6F3AAD}"/>
    <hyperlink ref="K74" r:id="rId114" xr:uid="{08763FA9-6531-4D75-AE07-E28055B0DDAE}"/>
    <hyperlink ref="K75" r:id="rId115" xr:uid="{D0C419EC-5B05-4AFB-8975-18F378EA87B5}"/>
    <hyperlink ref="K76" r:id="rId116" xr:uid="{D47E61D7-689D-47D7-8A1F-164D6AF8A770}"/>
    <hyperlink ref="K157" r:id="rId117" xr:uid="{E1849C8A-79A1-4E52-9F8F-36EB57DD1843}"/>
    <hyperlink ref="K137" r:id="rId118" xr:uid="{466FFFBC-B98C-48E0-96EC-06754EA63435}"/>
    <hyperlink ref="K77" r:id="rId119" xr:uid="{51A0965C-9960-4FB5-8E3B-06838CB4A326}"/>
    <hyperlink ref="L148" r:id="rId120" xr:uid="{935AA74B-AF4F-4C2B-94AA-B331BC924810}"/>
    <hyperlink ref="L140" r:id="rId121" xr:uid="{90E5DA35-16F0-456C-976A-CA6072B4EB97}"/>
    <hyperlink ref="L31" r:id="rId122" xr:uid="{63E8F4C9-BCE0-4BC9-88AD-451FF29BD52C}"/>
    <hyperlink ref="K1" r:id="rId123" display="tomarautorecovery@gmail.com" xr:uid="{C90E1934-4D9B-4683-934B-FB1AA0D56F56}"/>
    <hyperlink ref="Q1" r:id="rId124" display="tomarautorecovery@gmail.com" xr:uid="{640BBB07-2C19-4506-BB4E-75C2FDD176CF}"/>
    <hyperlink ref="N163" r:id="rId125" xr:uid="{2B892D1C-2718-4012-987B-FCDB63D32C4D}"/>
    <hyperlink ref="N164" r:id="rId126" xr:uid="{D385C6D1-CB38-4D45-82D5-7E93B02DBF09}"/>
    <hyperlink ref="M256" r:id="rId127" xr:uid="{A686481F-2779-44FD-A1BB-9EDE60C5C491}"/>
    <hyperlink ref="M266" r:id="rId128" xr:uid="{5E36FFE5-5E0C-47F3-893C-AC7E21E0116B}"/>
    <hyperlink ref="M275" r:id="rId129" xr:uid="{F0EE9964-A8C4-472E-9B99-15104CDE5079}"/>
    <hyperlink ref="N277" r:id="rId130" xr:uid="{A955445C-01AD-4419-85C5-7EF00BC28221}"/>
    <hyperlink ref="N280" r:id="rId131" display="prashant.singh7@yes.bank.in" xr:uid="{22204D4C-DE16-47CC-ADA9-19DEE581E0D3}"/>
    <hyperlink ref="Q242" r:id="rId132" xr:uid="{EBBFD0A3-51B6-4A3E-A45F-7BA90784AE46}"/>
    <hyperlink ref="L242" r:id="rId133" xr:uid="{A148CCAB-05F2-4207-BE23-7BA285AF7D0D}"/>
    <hyperlink ref="Q13" r:id="rId134" xr:uid="{0A0CE41E-EBBF-4DE7-A355-9492B861D7E6}"/>
    <hyperlink ref="Q69" r:id="rId135" xr:uid="{DCC09BA3-9173-4C1A-B29F-2E4ACBAAF248}"/>
  </hyperlinks>
  <pageMargins left="0.7" right="0.7" top="0.75" bottom="0.75" header="0.3" footer="0.3"/>
  <legacyDrawing r:id="rId1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Schedule</vt:lpstr>
      <vt:lpstr>Audited</vt:lpstr>
      <vt:lpstr>Mail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Shirajahmed Habib (RC)</dc:creator>
  <cp:lastModifiedBy>KGAC-67</cp:lastModifiedBy>
  <dcterms:created xsi:type="dcterms:W3CDTF">2026-04-02T19:25:07Z</dcterms:created>
  <dcterms:modified xsi:type="dcterms:W3CDTF">2026-06-15T15:36:05Z</dcterms:modified>
</cp:coreProperties>
</file>