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hecklist" sheetId="1" state="visible" r:id="rId1"/>
    <sheet name="Score Parameters" sheetId="2" state="visible" r:id="rId2"/>
    <sheet name="Supporting" sheetId="3" state="hidden" r:id="rId3"/>
  </sheets>
  <definedNames>
    <definedName name="_xlnm.Print_Titles" localSheetId="0">'Checklist'!$7:$7</definedName>
    <definedName name="_xlnm.Print_Titles" localSheetId="2">'Supporting'!$1:$1</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
      <sz val="11"/>
      <scheme val="minor"/>
    </font>
    <font>
      <name val="Calibri"/>
      <family val="2"/>
      <b val="1"/>
      <color theme="0"/>
      <sz val="10"/>
      <scheme val="minor"/>
    </font>
    <font>
      <name val="Calibri"/>
      <family val="2"/>
      <color theme="1"/>
      <sz val="10"/>
      <scheme val="minor"/>
    </font>
    <font>
      <name val="Calibri"/>
      <family val="2"/>
      <color theme="3" tint="-0.499984740745262"/>
      <sz val="10"/>
      <scheme val="minor"/>
    </font>
    <font>
      <name val="Calibri"/>
      <family val="2"/>
      <b val="1"/>
      <color theme="3" tint="-0.499984740745262"/>
      <sz val="10"/>
      <scheme val="minor"/>
    </font>
    <font>
      <name val="Calibri"/>
      <family val="2"/>
      <sz val="10"/>
      <scheme val="minor"/>
    </font>
    <font>
      <name val="Calibri"/>
      <family val="2"/>
      <color theme="1"/>
      <sz val="9"/>
      <scheme val="minor"/>
    </font>
    <font>
      <name val="Calibri"/>
      <family val="2"/>
      <b val="1"/>
      <color theme="0"/>
      <sz val="9"/>
      <scheme val="minor"/>
    </font>
    <font>
      <name val="Calibri"/>
      <family val="2"/>
      <b val="1"/>
      <color theme="1"/>
      <sz val="9"/>
      <scheme val="minor"/>
    </font>
  </fonts>
  <fills count="10">
    <fill>
      <patternFill/>
    </fill>
    <fill>
      <patternFill patternType="gray125"/>
    </fill>
    <fill>
      <patternFill patternType="solid">
        <fgColor theme="4" tint="0.7999816888943144"/>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rgb="FFFB7D7D"/>
        <bgColor indexed="64"/>
      </patternFill>
    </fill>
    <fill>
      <patternFill patternType="solid">
        <fgColor rgb="FFFF111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1" fillId="0" borderId="0"/>
    <xf numFmtId="9" fontId="1" fillId="0" borderId="0"/>
  </cellStyleXfs>
  <cellXfs count="42">
    <xf numFmtId="0" fontId="0" fillId="0" borderId="0" pivotButton="0" quotePrefix="0" xfId="0"/>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9" fontId="5" fillId="0" borderId="1" applyAlignment="1" pivotButton="0" quotePrefix="0" xfId="1">
      <alignment horizontal="center" vertical="center" wrapText="1"/>
    </xf>
    <xf numFmtId="9" fontId="5" fillId="2" borderId="1" applyAlignment="1" pivotButton="0" quotePrefix="0" xfId="1">
      <alignment horizontal="center" vertical="center" wrapText="1"/>
    </xf>
    <xf numFmtId="0" fontId="3" fillId="0" borderId="0" applyAlignment="1" pivotButton="0" quotePrefix="0" xfId="0">
      <alignment vertical="center"/>
    </xf>
    <xf numFmtId="9" fontId="3" fillId="0" borderId="0" applyAlignment="1" pivotButton="0" quotePrefix="0" xfId="0">
      <alignment vertical="center"/>
    </xf>
    <xf numFmtId="0" fontId="4" fillId="0" borderId="1"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0" applyAlignment="1" pivotButton="0" quotePrefix="0" xfId="0">
      <alignment horizontal="left" vertical="center"/>
    </xf>
    <xf numFmtId="0" fontId="2" fillId="4" borderId="0" applyAlignment="1" pivotButton="0" quotePrefix="0" xfId="0">
      <alignment horizontal="left" vertical="center"/>
    </xf>
    <xf numFmtId="0" fontId="7" fillId="0" borderId="0" applyAlignment="1" pivotButton="0" quotePrefix="0" xfId="0">
      <alignment horizontal="center" vertical="top"/>
    </xf>
    <xf numFmtId="0" fontId="7" fillId="0" borderId="0" applyAlignment="1" pivotButton="0" quotePrefix="0" xfId="0">
      <alignment horizontal="left" vertical="top"/>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7" fillId="3" borderId="1" applyAlignment="1" pivotButton="0" quotePrefix="0" xfId="0">
      <alignment horizontal="left" vertical="top" wrapText="1"/>
    </xf>
    <xf numFmtId="0" fontId="7" fillId="3" borderId="1" applyAlignment="1" pivotButton="0" quotePrefix="0" xfId="0">
      <alignment horizontal="center" vertical="top" wrapText="1"/>
    </xf>
    <xf numFmtId="0" fontId="7" fillId="0" borderId="0" applyAlignment="1" pivotButton="0" quotePrefix="0" xfId="0">
      <alignment horizontal="left" vertical="top" wrapText="1"/>
    </xf>
    <xf numFmtId="0" fontId="7" fillId="0" borderId="1" applyAlignment="1" pivotButton="0" quotePrefix="0" xfId="0">
      <alignment horizontal="left" vertical="top"/>
    </xf>
    <xf numFmtId="14" fontId="7" fillId="0" borderId="1" applyAlignment="1" pivotButton="0" quotePrefix="0" xfId="0">
      <alignment horizontal="left" vertical="top" wrapText="1"/>
    </xf>
    <xf numFmtId="1" fontId="7" fillId="3" borderId="1" applyAlignment="1" pivotButton="0" quotePrefix="0" xfId="0">
      <alignment horizontal="left" vertical="top" wrapText="1"/>
    </xf>
    <xf numFmtId="0" fontId="9" fillId="0" borderId="0" applyAlignment="1" pivotButton="0" quotePrefix="0" xfId="0">
      <alignment horizontal="left" vertical="top"/>
    </xf>
    <xf numFmtId="1" fontId="7" fillId="0" borderId="0" applyAlignment="1" pivotButton="0" quotePrefix="0" xfId="0">
      <alignment horizontal="left" vertical="top"/>
    </xf>
    <xf numFmtId="0" fontId="8" fillId="4" borderId="1" applyAlignment="1" pivotButton="0" quotePrefix="0" xfId="0">
      <alignment horizontal="left" vertical="top"/>
    </xf>
    <xf numFmtId="0" fontId="2" fillId="4" borderId="2"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0" fillId="0" borderId="3" pivotButton="0" quotePrefix="0" xfId="0"/>
    <xf numFmtId="0" fontId="0" fillId="0" borderId="4" pivotButton="0" quotePrefix="0" xfId="0"/>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J72"/>
  <sheetViews>
    <sheetView showGridLines="0" tabSelected="1" zoomScaleNormal="100" workbookViewId="0">
      <selection activeCell="G8" sqref="G8"/>
    </sheetView>
  </sheetViews>
  <sheetFormatPr baseColWidth="8" defaultColWidth="8.6640625" defaultRowHeight="12"/>
  <cols>
    <col width="5.6640625" bestFit="1" customWidth="1" style="22" min="1" max="1"/>
    <col width="17.33203125" bestFit="1" customWidth="1" style="23" min="2" max="2"/>
    <col width="21.44140625" bestFit="1" customWidth="1" style="23" min="3" max="3"/>
    <col width="42.6640625" customWidth="1" style="23" min="4" max="4"/>
    <col hidden="1" width="17.33203125" customWidth="1" style="23" min="5" max="5"/>
    <col width="15.6640625" bestFit="1" customWidth="1" style="23" min="6" max="6"/>
    <col width="36" customWidth="1" style="23" min="7" max="7"/>
    <col width="33.33203125" customWidth="1" style="23" min="8" max="8"/>
    <col width="11.5546875" bestFit="1" customWidth="1" style="23" min="9" max="9"/>
    <col width="13.6640625" bestFit="1" customWidth="1" style="23" min="10" max="10"/>
    <col width="8.6640625" customWidth="1" style="23" min="11" max="16384"/>
  </cols>
  <sheetData>
    <row r="1">
      <c r="D1" s="30" t="n"/>
    </row>
    <row r="2" ht="39.9" customHeight="1">
      <c r="C2" s="25" t="inlineStr">
        <is>
          <t>Agency Code</t>
        </is>
      </c>
      <c r="D2" s="31" t="inlineStr">
        <is>
          <t>SY3001</t>
        </is>
      </c>
      <c r="E2" s="27" t="n"/>
      <c r="F2" s="25" t="inlineStr">
        <is>
          <t>Auditor Name</t>
        </is>
      </c>
      <c r="G2" s="27" t="inlineStr">
        <is>
          <t>Amit</t>
        </is>
      </c>
    </row>
    <row r="3" ht="39.9" customHeight="1">
      <c r="C3" s="25" t="inlineStr">
        <is>
          <t>Agency Name</t>
        </is>
      </c>
      <c r="D3" s="31" t="inlineStr">
        <is>
          <t>Prime Stockyard</t>
        </is>
      </c>
      <c r="E3" s="32" t="n"/>
      <c r="F3" s="25" t="inlineStr">
        <is>
          <t>Audit Date</t>
        </is>
      </c>
      <c r="G3" s="32" t="inlineStr">
        <is>
          <t>18/06/2026</t>
        </is>
      </c>
    </row>
    <row r="4" ht="39.9" customHeight="1">
      <c r="C4" s="25" t="inlineStr">
        <is>
          <t>Agency Address</t>
        </is>
      </c>
      <c r="D4" s="31" t="inlineStr">
        <is>
          <t>Xyz</t>
        </is>
      </c>
      <c r="E4" s="27" t="n"/>
      <c r="F4" s="25" t="inlineStr">
        <is>
          <t>Collection Manager</t>
        </is>
      </c>
      <c r="G4" s="27" t="inlineStr">
        <is>
          <t>Pradeep</t>
        </is>
      </c>
    </row>
    <row r="5" ht="39.9" customHeight="1">
      <c r="C5" s="25" t="inlineStr">
        <is>
          <t>Type of agency</t>
        </is>
      </c>
      <c r="D5" s="31" t="inlineStr">
        <is>
          <t>Collection &amp; Repo Agency</t>
        </is>
      </c>
      <c r="E5" s="27" t="n"/>
      <c r="F5" s="25" t="inlineStr">
        <is>
          <t>Agency Manager</t>
        </is>
      </c>
      <c r="G5" s="27" t="inlineStr">
        <is>
          <t>Pradeep</t>
        </is>
      </c>
    </row>
    <row r="6">
      <c r="D6" s="30" t="n"/>
    </row>
    <row r="7" ht="24" customHeight="1">
      <c r="A7" s="24" t="inlineStr">
        <is>
          <t>Sr.No.</t>
        </is>
      </c>
      <c r="B7" s="25" t="inlineStr">
        <is>
          <t>Rating Category</t>
        </is>
      </c>
      <c r="C7" s="25" t="inlineStr">
        <is>
          <t>Short Segmentation</t>
        </is>
      </c>
      <c r="D7" s="25" t="inlineStr">
        <is>
          <t>Particular</t>
        </is>
      </c>
      <c r="E7" s="25" t="inlineStr">
        <is>
          <t>Final Score</t>
        </is>
      </c>
      <c r="F7" s="24" t="inlineStr">
        <is>
          <t>Compliance status
 (Yes / No)</t>
        </is>
      </c>
      <c r="G7" s="25" t="inlineStr">
        <is>
          <t>Observation</t>
        </is>
      </c>
      <c r="H7" s="36" t="inlineStr">
        <is>
          <t>Closing Meeting Comments</t>
        </is>
      </c>
      <c r="I7" s="24" t="inlineStr">
        <is>
          <t>Pending Status
(Open/ Closed)</t>
        </is>
      </c>
      <c r="J7" s="24" t="inlineStr">
        <is>
          <t>Timelines for 
Non-Closure Point</t>
        </is>
      </c>
    </row>
    <row r="8" ht="90" customHeight="1">
      <c r="A8" s="26" t="n">
        <v>1</v>
      </c>
      <c r="B8" s="27" t="inlineStr">
        <is>
          <t>Allocation Compliance</t>
        </is>
      </c>
      <c r="C8" s="27" t="inlineStr">
        <is>
          <t>Account to Collector Ratio – Not adequate</t>
        </is>
      </c>
      <c r="D8" s="28" t="inlineStr">
        <is>
          <t>Account to Collector Ratio – Stats need to be mentioned</t>
        </is>
      </c>
      <c r="E8" s="33" t="inlineStr">
        <is>
          <t>Only Observation Point</t>
        </is>
      </c>
      <c r="F8" s="29" t="inlineStr">
        <is>
          <t>Yes</t>
        </is>
      </c>
      <c r="G8" s="27" t="inlineStr">
        <is>
          <t>Observation recorded for checkpoint 1 during audit review.</t>
        </is>
      </c>
      <c r="H8" s="31" t="inlineStr">
        <is>
          <t>None</t>
        </is>
      </c>
      <c r="I8" s="31" t="inlineStr"/>
      <c r="J8" s="31" t="inlineStr"/>
    </row>
    <row r="9" ht="90" customHeight="1">
      <c r="A9" s="26" t="n">
        <v>2</v>
      </c>
      <c r="B9" s="27" t="inlineStr">
        <is>
          <t>Allocation Compliance</t>
        </is>
      </c>
      <c r="C9" s="27" t="inlineStr">
        <is>
          <t>Not All cases allocated to agency CREs</t>
        </is>
      </c>
      <c r="D9" s="28" t="inlineStr">
        <is>
          <t>Check whether all the cases allocated to agency in being allocated to CRE.</t>
        </is>
      </c>
      <c r="E9" s="33">
        <f>IF(F9="Yes",2,"0")</f>
        <v/>
      </c>
      <c r="F9" s="29" t="inlineStr">
        <is>
          <t>Yes</t>
        </is>
      </c>
      <c r="G9" s="27" t="inlineStr">
        <is>
          <t>Observation recorded for checkpoint 2 during audit review.</t>
        </is>
      </c>
      <c r="H9" s="31" t="inlineStr">
        <is>
          <t>None</t>
        </is>
      </c>
      <c r="I9" s="31" t="inlineStr"/>
      <c r="J9" s="31" t="inlineStr"/>
    </row>
    <row r="10" ht="90" customHeight="1">
      <c r="A10" s="26" t="n">
        <v>3</v>
      </c>
      <c r="B10" s="27" t="inlineStr">
        <is>
          <t>Call recording</t>
        </is>
      </c>
      <c r="C10" s="27" t="inlineStr">
        <is>
          <t>Call recording facility</t>
        </is>
      </c>
      <c r="D10" s="28" t="inlineStr">
        <is>
          <t>Whether Call recording facility is available at the agency &amp; is in working condition? Also, check whether all calls made to the customers via M collect App?</t>
        </is>
      </c>
      <c r="E10" s="33">
        <f>IF(F10="Yes",4,"0")</f>
        <v/>
      </c>
      <c r="F10" s="29" t="inlineStr">
        <is>
          <t>Yes</t>
        </is>
      </c>
      <c r="G10" s="27" t="inlineStr">
        <is>
          <t>Observation recorded for checkpoint 3 during audit review.</t>
        </is>
      </c>
      <c r="H10" s="31" t="inlineStr">
        <is>
          <t>None</t>
        </is>
      </c>
      <c r="I10" s="31" t="inlineStr"/>
      <c r="J10" s="31" t="inlineStr"/>
    </row>
    <row r="11" ht="90" customHeight="1">
      <c r="A11" s="26" t="n">
        <v>4</v>
      </c>
      <c r="B11" s="27" t="inlineStr">
        <is>
          <t>Call recording</t>
        </is>
      </c>
      <c r="C11" s="27" t="inlineStr">
        <is>
          <t>Call recording Storage/Maintenance</t>
        </is>
      </c>
      <c r="D11" s="28" t="inlineStr">
        <is>
          <t>Whether call recording data is maintained as per policy? Also, check whether agency has done calling via M Collect App? Whether 100% call recording is done and maintained by the agency &amp; retrieved all sample calls provided during audit?(Dialler + M-Collect)</t>
        </is>
      </c>
      <c r="E11" s="33">
        <f>IF(F11="Yes",4,"0")</f>
        <v/>
      </c>
      <c r="F11" s="29" t="inlineStr">
        <is>
          <t>Yes</t>
        </is>
      </c>
      <c r="G11" s="27" t="inlineStr">
        <is>
          <t>Observation recorded for checkpoint 4 during audit review.</t>
        </is>
      </c>
      <c r="H11" s="31" t="inlineStr">
        <is>
          <t>None</t>
        </is>
      </c>
      <c r="I11" s="31" t="inlineStr"/>
      <c r="J11" s="31" t="inlineStr"/>
    </row>
    <row r="12" ht="90" customHeight="1">
      <c r="A12" s="26" t="n">
        <v>5</v>
      </c>
      <c r="B12" s="27" t="inlineStr">
        <is>
          <t>TCOC</t>
        </is>
      </c>
      <c r="C12" s="27" t="inlineStr">
        <is>
          <t>Telephone Etiquette not followed</t>
        </is>
      </c>
      <c r="D12" s="28" t="inlineStr">
        <is>
          <t>Whether telephone etiquette is followed in calls? Any Non Compliance as per code of conduct &amp; TCOC also if any Misbehaviour observed in calls to be noted.</t>
        </is>
      </c>
      <c r="E12" s="33">
        <f>IF(F12="Yes",3,"0")</f>
        <v/>
      </c>
      <c r="F12" s="29" t="inlineStr">
        <is>
          <t>Yes</t>
        </is>
      </c>
      <c r="G12" s="27" t="inlineStr">
        <is>
          <t>Observation recorded for checkpoint 5 during audit review.</t>
        </is>
      </c>
      <c r="H12" s="31" t="inlineStr">
        <is>
          <t>None</t>
        </is>
      </c>
      <c r="I12" s="31" t="inlineStr"/>
      <c r="J12" s="31" t="inlineStr"/>
    </row>
    <row r="13" ht="90" customHeight="1">
      <c r="A13" s="26" t="n">
        <v>6</v>
      </c>
      <c r="B13" s="27" t="inlineStr">
        <is>
          <t>TCOC</t>
        </is>
      </c>
      <c r="C13" s="27" t="inlineStr">
        <is>
          <t>Pseudo names</t>
        </is>
      </c>
      <c r="D13" s="28" t="inlineStr">
        <is>
          <t>Check whether tele callers using pseudo names?</t>
        </is>
      </c>
      <c r="E13" s="33">
        <f>IF(F13="Yes",1,"0")</f>
        <v/>
      </c>
      <c r="F13" s="29" t="inlineStr">
        <is>
          <t>Yes</t>
        </is>
      </c>
      <c r="G13" s="27" t="inlineStr">
        <is>
          <t>Observation recorded for checkpoint 6 during audit review.</t>
        </is>
      </c>
      <c r="H13" s="31" t="inlineStr">
        <is>
          <t>None</t>
        </is>
      </c>
      <c r="I13" s="31" t="inlineStr"/>
      <c r="J13" s="31" t="inlineStr"/>
    </row>
    <row r="14" ht="90" customHeight="1">
      <c r="A14" s="26" t="n">
        <v>7</v>
      </c>
      <c r="B14" s="27" t="inlineStr">
        <is>
          <t>TCOC</t>
        </is>
      </c>
      <c r="C14" s="27" t="inlineStr">
        <is>
          <t>TCL Posters</t>
        </is>
      </c>
      <c r="D14" s="28" t="inlineStr">
        <is>
          <t>Whether the Code of Conduct posters/ Collections Dos and Don'ts/ any other communication displayed in the offices?</t>
        </is>
      </c>
      <c r="E14" s="33">
        <f>IF(F14="Yes",2,"0")</f>
        <v/>
      </c>
      <c r="F14" s="29" t="inlineStr">
        <is>
          <t>No</t>
        </is>
      </c>
      <c r="G14" s="27" t="inlineStr">
        <is>
          <t>Observation recorded for checkpoint 7 during audit review.</t>
        </is>
      </c>
      <c r="H14" s="31" t="inlineStr">
        <is>
          <t>Corrective action required</t>
        </is>
      </c>
      <c r="I14" s="31" t="inlineStr"/>
      <c r="J14" s="31" t="inlineStr"/>
    </row>
    <row r="15" ht="99.90000000000001" customHeight="1">
      <c r="A15" s="26" t="n">
        <v>8</v>
      </c>
      <c r="B15" s="27" t="inlineStr">
        <is>
          <t>TCOC</t>
        </is>
      </c>
      <c r="C15" s="27" t="inlineStr">
        <is>
          <t>TCOC training by TCL Collection Manager</t>
        </is>
      </c>
      <c r="D15" s="28" t="inlineStr">
        <is>
          <t>Whether all agents are trained on the Tata code of conduct and are well dressed while on field ? (Need to check the acknowledgement of the training given by CM) 
Authorisation Letter - Sign by Collection Manager must required with CRE's details</t>
        </is>
      </c>
      <c r="E15" s="33">
        <f>IF(F15="Yes",2,"0")</f>
        <v/>
      </c>
      <c r="F15" s="29" t="inlineStr">
        <is>
          <t>Yes</t>
        </is>
      </c>
      <c r="G15" s="27" t="inlineStr">
        <is>
          <t>Observation recorded for checkpoint 8 during audit review.</t>
        </is>
      </c>
      <c r="H15" s="31" t="inlineStr">
        <is>
          <t>None</t>
        </is>
      </c>
      <c r="I15" s="31" t="inlineStr"/>
      <c r="J15" s="31" t="inlineStr"/>
    </row>
    <row r="16" ht="90" customHeight="1">
      <c r="A16" s="26" t="n">
        <v>9</v>
      </c>
      <c r="B16" s="27" t="inlineStr">
        <is>
          <t>TCOC</t>
        </is>
      </c>
      <c r="C16" s="27" t="inlineStr">
        <is>
          <t>COC declaration from all Agents must be stored</t>
        </is>
      </c>
      <c r="D16" s="28" t="inlineStr">
        <is>
          <t>Collection agency need to be taken declaration on code of conduct from all CRE's and this must be stored.</t>
        </is>
      </c>
      <c r="E16" s="33">
        <f>IF(F16="Yes",2,"0")</f>
        <v/>
      </c>
      <c r="F16" s="29" t="inlineStr">
        <is>
          <t>Yes</t>
        </is>
      </c>
      <c r="G16" s="27" t="inlineStr">
        <is>
          <t>Observation recorded for checkpoint 9 during audit review.</t>
        </is>
      </c>
      <c r="H16" s="31" t="inlineStr">
        <is>
          <t>None</t>
        </is>
      </c>
      <c r="I16" s="31" t="inlineStr"/>
      <c r="J16" s="31" t="inlineStr"/>
    </row>
    <row r="17" ht="90" customHeight="1">
      <c r="A17" s="26" t="n">
        <v>10</v>
      </c>
      <c r="B17" s="27" t="inlineStr">
        <is>
          <t>Cash Collection</t>
        </is>
      </c>
      <c r="C17" s="27" t="inlineStr">
        <is>
          <t>Cash Collection limit of 2 Lacs breached</t>
        </is>
      </c>
      <c r="D17" s="28" t="inlineStr">
        <is>
          <t>- Whether agency CRE has collected cash more than Rs. 1.99 lacs at any point in time during the Emi Months? (Sum of collected amount to be checked as per Loan No./customer name)
- PAN at the time of collecting cash more than Rs. 49k</t>
        </is>
      </c>
      <c r="E17" s="33">
        <f>IF(F17="Yes",2,"0")</f>
        <v/>
      </c>
      <c r="F17" s="29" t="inlineStr">
        <is>
          <t>Yes</t>
        </is>
      </c>
      <c r="G17" s="27" t="inlineStr">
        <is>
          <t>Observation recorded for checkpoint 10 during audit review.</t>
        </is>
      </c>
      <c r="H17" s="31" t="inlineStr">
        <is>
          <t>None</t>
        </is>
      </c>
      <c r="I17" s="31" t="inlineStr"/>
      <c r="J17" s="31" t="inlineStr"/>
    </row>
    <row r="18" ht="90" customHeight="1">
      <c r="A18" s="26" t="n">
        <v>11</v>
      </c>
      <c r="B18" s="27" t="inlineStr">
        <is>
          <t>Cash Collection</t>
        </is>
      </c>
      <c r="C18" s="27" t="inlineStr">
        <is>
          <t>Deposit delay seen during sample check</t>
        </is>
      </c>
      <c r="D18" s="28" t="inlineStr">
        <is>
          <t>Whether the agency ensures that collections deposited within the TAT?Is there any instance of delayed deposition (More than 2 Days), If so, how many such instances are there</t>
        </is>
      </c>
      <c r="E18" s="33">
        <f>IF(F18="Yes",4,"0")</f>
        <v/>
      </c>
      <c r="F18" s="29" t="inlineStr">
        <is>
          <t>NA</t>
        </is>
      </c>
      <c r="G18" s="27" t="inlineStr">
        <is>
          <t>Observation recorded for checkpoint 11 during audit review.</t>
        </is>
      </c>
      <c r="H18" s="31" t="inlineStr">
        <is>
          <t>Not Applicable</t>
        </is>
      </c>
      <c r="I18" s="31" t="inlineStr"/>
      <c r="J18" s="31" t="inlineStr"/>
    </row>
    <row r="19" ht="90" customHeight="1">
      <c r="A19" s="26" t="n">
        <v>12</v>
      </c>
      <c r="B19" s="27" t="inlineStr">
        <is>
          <t>Cash Collection</t>
        </is>
      </c>
      <c r="C19" s="27" t="inlineStr">
        <is>
          <t>Unauthorized transaction in customer account</t>
        </is>
      </c>
      <c r="D19" s="28" t="inlineStr">
        <is>
          <t xml:space="preserve">Unauthorized transaction in customer account, For Example-Payment done on behalf of Customer or accepting payment in CRE's personal account (GPay, Paytm or any other wallet/bank account). </t>
        </is>
      </c>
      <c r="E19" s="33">
        <f>IF(F19="Yes",3,"0")</f>
        <v/>
      </c>
      <c r="F19" s="29" t="inlineStr">
        <is>
          <t>Yes</t>
        </is>
      </c>
      <c r="G19" s="27" t="inlineStr">
        <is>
          <t>Observation recorded for checkpoint 12 during audit review.</t>
        </is>
      </c>
      <c r="H19" s="31" t="inlineStr">
        <is>
          <t>None</t>
        </is>
      </c>
      <c r="I19" s="31" t="inlineStr"/>
      <c r="J19" s="31" t="inlineStr"/>
    </row>
    <row r="20" ht="90" customHeight="1">
      <c r="A20" s="26" t="n">
        <v>13</v>
      </c>
      <c r="B20" s="27" t="inlineStr">
        <is>
          <t>Cash Collection</t>
        </is>
      </c>
      <c r="C20" s="27" t="inlineStr">
        <is>
          <t>Multiple Receipt with Multiple Pin Code</t>
        </is>
      </c>
      <c r="D20" s="28" t="inlineStr">
        <is>
          <t>M-Collect Receipts issuance data to be reviewed, in case any CRE issuing unrealistic no. of receipts, reasons to be check</t>
        </is>
      </c>
      <c r="E20" s="33" t="inlineStr">
        <is>
          <t>Only Observation Point</t>
        </is>
      </c>
      <c r="F20" s="29" t="inlineStr">
        <is>
          <t>Yes</t>
        </is>
      </c>
      <c r="G20" s="27" t="inlineStr">
        <is>
          <t>Observation recorded for checkpoint 13 during audit review.</t>
        </is>
      </c>
      <c r="H20" s="31" t="inlineStr">
        <is>
          <t>None</t>
        </is>
      </c>
      <c r="I20" s="31" t="inlineStr"/>
      <c r="J20" s="31" t="inlineStr"/>
    </row>
    <row r="21" ht="90" customHeight="1">
      <c r="A21" s="26" t="n">
        <v>14</v>
      </c>
      <c r="B21" s="27" t="inlineStr">
        <is>
          <t>Cash Collection</t>
        </is>
      </c>
      <c r="C21" s="27" t="inlineStr">
        <is>
          <t>Receipts Issuance in Non Working Hours</t>
        </is>
      </c>
      <c r="D21" s="28" t="inlineStr">
        <is>
          <t xml:space="preserve">Any instance where M-Collect Receipt has been issued in Non-Working Hours </t>
        </is>
      </c>
      <c r="E21" s="33">
        <f>IF(F21="Yes",3,"0")</f>
        <v/>
      </c>
      <c r="F21" s="29" t="inlineStr">
        <is>
          <t>No</t>
        </is>
      </c>
      <c r="G21" s="27" t="inlineStr">
        <is>
          <t>Observation recorded for checkpoint 14 during audit review.</t>
        </is>
      </c>
      <c r="H21" s="31" t="inlineStr">
        <is>
          <t>Corrective action required</t>
        </is>
      </c>
      <c r="I21" s="31" t="inlineStr"/>
      <c r="J21" s="31" t="inlineStr"/>
    </row>
    <row r="22" ht="90" customHeight="1">
      <c r="A22" s="26" t="n">
        <v>15</v>
      </c>
      <c r="B22" s="27" t="inlineStr">
        <is>
          <t>Cash Collection</t>
        </is>
      </c>
      <c r="C22" s="27" t="inlineStr">
        <is>
          <t>Receipts issuance by other Agency</t>
        </is>
      </c>
      <c r="D22" s="28" t="inlineStr">
        <is>
          <t>Any Receipts issued by the agency which is not in allocation Or CM/ Off role are issuing receipts instead of same agency</t>
        </is>
      </c>
      <c r="E22" s="33" t="inlineStr">
        <is>
          <t>Only Observation Point</t>
        </is>
      </c>
      <c r="F22" s="29" t="inlineStr">
        <is>
          <t>Yes</t>
        </is>
      </c>
      <c r="G22" s="27" t="inlineStr">
        <is>
          <t>Observation recorded for checkpoint 15 during audit review.</t>
        </is>
      </c>
      <c r="H22" s="31" t="inlineStr">
        <is>
          <t>None</t>
        </is>
      </c>
      <c r="I22" s="31" t="inlineStr"/>
      <c r="J22" s="31" t="inlineStr"/>
    </row>
    <row r="23" ht="90" customHeight="1">
      <c r="A23" s="26" t="n">
        <v>16</v>
      </c>
      <c r="B23" s="27" t="inlineStr">
        <is>
          <t>Cash Collection</t>
        </is>
      </c>
      <c r="C23" s="27" t="inlineStr">
        <is>
          <t>Customer payment not deposited to agency or TCL</t>
        </is>
      </c>
      <c r="D23" s="28" t="inlineStr">
        <is>
          <t>Any instances where the CRE collected the money from the customer but the same was not deposited In customer account/not deposited to agency/not deposited in TCL?</t>
        </is>
      </c>
      <c r="E23" s="33">
        <f>IF(F23="Yes",2,"0")</f>
        <v/>
      </c>
      <c r="F23" s="29" t="inlineStr">
        <is>
          <t>Yes</t>
        </is>
      </c>
      <c r="G23" s="27" t="inlineStr">
        <is>
          <t>Observation recorded for checkpoint 16 during audit review.</t>
        </is>
      </c>
      <c r="H23" s="31" t="inlineStr">
        <is>
          <t>None</t>
        </is>
      </c>
      <c r="I23" s="31" t="inlineStr"/>
      <c r="J23" s="31" t="inlineStr"/>
    </row>
    <row r="24" ht="90" customHeight="1">
      <c r="A24" s="26" t="n">
        <v>17</v>
      </c>
      <c r="B24" s="27" t="inlineStr">
        <is>
          <t>Data Security</t>
        </is>
      </c>
      <c r="C24" s="27" t="inlineStr">
        <is>
          <t>Agency system has no restrictions hence data may fall into wrong hands</t>
        </is>
      </c>
      <c r="D24" s="28" t="inlineStr">
        <is>
          <t>Whether agency has restricted access of Desktop / Laptops/ Emails are enabled? Check whether agency do not have access of USB/Floppy/CD drives/Google Drive/Cloud storage/share drive/WhatsApp/any data sharing application for data transfer?</t>
        </is>
      </c>
      <c r="E24" s="33">
        <f>IF(F24="Yes",3,"0")</f>
        <v/>
      </c>
      <c r="F24" s="29" t="inlineStr">
        <is>
          <t>Yes</t>
        </is>
      </c>
      <c r="G24" s="27" t="inlineStr">
        <is>
          <t>Observation recorded for checkpoint 17 during audit review.</t>
        </is>
      </c>
      <c r="H24" s="31" t="inlineStr">
        <is>
          <t>None</t>
        </is>
      </c>
      <c r="I24" s="31" t="inlineStr"/>
      <c r="J24" s="31" t="inlineStr"/>
    </row>
    <row r="25" ht="90" customHeight="1">
      <c r="A25" s="26" t="n">
        <v>18</v>
      </c>
      <c r="B25" s="27" t="inlineStr">
        <is>
          <t>Data Security</t>
        </is>
      </c>
      <c r="C25" s="27" t="inlineStr">
        <is>
          <t>Allocation files were not password protected</t>
        </is>
      </c>
      <c r="D25" s="28" t="inlineStr">
        <is>
          <t>Whether data shared through mail are password protected / appropriate security measures are adopted by agency?</t>
        </is>
      </c>
      <c r="E25" s="33">
        <f>IF(F25="Yes",2,"0")</f>
        <v/>
      </c>
      <c r="F25" s="29" t="inlineStr">
        <is>
          <t>Yes</t>
        </is>
      </c>
      <c r="G25" s="27" t="inlineStr">
        <is>
          <t>Observation recorded for checkpoint 18 during audit review.</t>
        </is>
      </c>
      <c r="H25" s="31" t="inlineStr">
        <is>
          <t>None</t>
        </is>
      </c>
      <c r="I25" s="31" t="inlineStr"/>
      <c r="J25" s="31" t="inlineStr"/>
    </row>
    <row r="26" ht="110.1" customHeight="1">
      <c r="A26" s="26" t="n">
        <v>19</v>
      </c>
      <c r="B26" s="27" t="inlineStr">
        <is>
          <t>Data Security</t>
        </is>
      </c>
      <c r="C26" s="27" t="inlineStr">
        <is>
          <t>Data is being shared on unregistered email ids</t>
        </is>
      </c>
      <c r="D26" s="28" t="inlineStr">
        <is>
          <t>Whether any mail containing financial institution's data sent to third party / unregistered mail Ids / unauthorized sharing? Customer Call/Chat on unauthorized channels like what's ap/Facebook or any other unauthorized mode of communication? In case agency using secondary mail id, it must be documented with TCL team.</t>
        </is>
      </c>
      <c r="E26" s="33">
        <f>IF(F26="Yes",3,"0")</f>
        <v/>
      </c>
      <c r="F26" s="29" t="inlineStr">
        <is>
          <t>Yes</t>
        </is>
      </c>
      <c r="G26" s="27" t="inlineStr">
        <is>
          <t>Observation recorded for checkpoint 19 during audit review.</t>
        </is>
      </c>
      <c r="H26" s="31" t="inlineStr">
        <is>
          <t>None</t>
        </is>
      </c>
      <c r="I26" s="31" t="inlineStr"/>
      <c r="J26" s="31" t="inlineStr"/>
    </row>
    <row r="27" ht="90" customHeight="1">
      <c r="A27" s="26" t="n">
        <v>20</v>
      </c>
      <c r="B27" s="27" t="inlineStr">
        <is>
          <t>Data Security</t>
        </is>
      </c>
      <c r="C27" s="27" t="inlineStr">
        <is>
          <t>Data purging is not being done – Old allocation files were available in agency's system</t>
        </is>
      </c>
      <c r="D27" s="28" t="inlineStr">
        <is>
          <t xml:space="preserve">Whether agency has purged data as per policy? </t>
        </is>
      </c>
      <c r="E27" s="33">
        <f>IF(F27="Yes",3,"0")</f>
        <v/>
      </c>
      <c r="F27" s="29" t="inlineStr">
        <is>
          <t>Yes</t>
        </is>
      </c>
      <c r="G27" s="27" t="inlineStr">
        <is>
          <t>Observation recorded for checkpoint 20 during audit review.</t>
        </is>
      </c>
      <c r="H27" s="31" t="inlineStr">
        <is>
          <t>None</t>
        </is>
      </c>
      <c r="I27" s="31" t="inlineStr"/>
      <c r="J27" s="31" t="inlineStr"/>
    </row>
    <row r="28" ht="90" customHeight="1">
      <c r="A28" s="26" t="n">
        <v>21</v>
      </c>
      <c r="B28" s="27" t="inlineStr">
        <is>
          <t>Data Security</t>
        </is>
      </c>
      <c r="C28" s="27" t="inlineStr">
        <is>
          <t>Data Retention</t>
        </is>
      </c>
      <c r="D28" s="28" t="inlineStr">
        <is>
          <t>Whether data has been retained at the agency's system and Email ID as per policy (T+3 months)?</t>
        </is>
      </c>
      <c r="E28" s="33">
        <f>IF(F28="Yes",2,"0")</f>
        <v/>
      </c>
      <c r="F28" s="29" t="inlineStr">
        <is>
          <t>No</t>
        </is>
      </c>
      <c r="G28" s="27" t="inlineStr">
        <is>
          <t>Observation recorded for checkpoint 21 during audit review.</t>
        </is>
      </c>
      <c r="H28" s="31" t="inlineStr">
        <is>
          <t>Corrective action required</t>
        </is>
      </c>
      <c r="I28" s="31" t="inlineStr"/>
      <c r="J28" s="31" t="inlineStr"/>
    </row>
    <row r="29" ht="90" customHeight="1">
      <c r="A29" s="26" t="n">
        <v>22</v>
      </c>
      <c r="B29" s="27" t="inlineStr">
        <is>
          <t>Data Security</t>
        </is>
      </c>
      <c r="C29" s="27" t="inlineStr">
        <is>
          <t>Agency system has no restrictions hence data may fall into wrong hands</t>
        </is>
      </c>
      <c r="D29" s="28" t="inlineStr">
        <is>
          <t>Check whether agency do not have access of any internal access tool like SFDC/DMS/Any other tool?</t>
        </is>
      </c>
      <c r="E29" s="33">
        <f>IF(F29="Yes",1,"0")</f>
        <v/>
      </c>
      <c r="F29" s="29" t="inlineStr">
        <is>
          <t>NA</t>
        </is>
      </c>
      <c r="G29" s="27" t="inlineStr">
        <is>
          <t>Observation recorded for checkpoint 22 during audit review.</t>
        </is>
      </c>
      <c r="H29" s="31" t="inlineStr">
        <is>
          <t>Not Applicable</t>
        </is>
      </c>
      <c r="I29" s="31" t="inlineStr"/>
      <c r="J29" s="31" t="inlineStr"/>
    </row>
    <row r="30" ht="90" customHeight="1">
      <c r="A30" s="26" t="n">
        <v>23</v>
      </c>
      <c r="B30" s="27" t="inlineStr">
        <is>
          <t>Data Security</t>
        </is>
      </c>
      <c r="C30" s="27" t="inlineStr">
        <is>
          <t>No exclusive system provided to TCL portfolio</t>
        </is>
      </c>
      <c r="D30" s="28" t="inlineStr">
        <is>
          <t>Whether separate/exclusive system, Place/work Station, Email ID and Manpower is provided?</t>
        </is>
      </c>
      <c r="E30" s="33">
        <f>IF(F30="Yes",3,"0")</f>
        <v/>
      </c>
      <c r="F30" s="29" t="inlineStr">
        <is>
          <t>Yes</t>
        </is>
      </c>
      <c r="G30" s="27" t="inlineStr">
        <is>
          <t>Observation recorded for checkpoint 23 during audit review.</t>
        </is>
      </c>
      <c r="H30" s="31" t="inlineStr">
        <is>
          <t>None</t>
        </is>
      </c>
      <c r="I30" s="31" t="inlineStr"/>
      <c r="J30" s="31" t="inlineStr"/>
    </row>
    <row r="31" ht="90" customHeight="1">
      <c r="A31" s="26" t="n">
        <v>24</v>
      </c>
      <c r="B31" s="27" t="inlineStr">
        <is>
          <t>Infra and others</t>
        </is>
      </c>
      <c r="C31" s="27" t="inlineStr">
        <is>
          <t>Current address is not updated to TCL</t>
        </is>
      </c>
      <c r="D31" s="28" t="inlineStr">
        <is>
          <t>Whether agency has updated address &amp; other details in company records and, In case agency providing services in multiple locations to TCL Collection then it must be documented with TCL team.</t>
        </is>
      </c>
      <c r="E31" s="33">
        <f>IF(F31="Yes",1,"0")</f>
        <v/>
      </c>
      <c r="F31" s="29" t="inlineStr">
        <is>
          <t>Yes</t>
        </is>
      </c>
      <c r="G31" s="27" t="inlineStr">
        <is>
          <t>Observation recorded for checkpoint 24 during audit review.</t>
        </is>
      </c>
      <c r="H31" s="31" t="inlineStr">
        <is>
          <t>None</t>
        </is>
      </c>
      <c r="I31" s="31" t="inlineStr"/>
      <c r="J31" s="31" t="inlineStr"/>
    </row>
    <row r="32" ht="90" customHeight="1">
      <c r="A32" s="26" t="n">
        <v>25</v>
      </c>
      <c r="B32" s="27" t="inlineStr">
        <is>
          <t>Infra and others</t>
        </is>
      </c>
      <c r="C32" s="27" t="inlineStr">
        <is>
          <t>Not cooperated by agency during audit</t>
        </is>
      </c>
      <c r="D32" s="28" t="inlineStr">
        <is>
          <t>Whether full cooperation/complete &amp; timely data was received from agency for completing audit?</t>
        </is>
      </c>
      <c r="E32" s="33">
        <f>IF(F32="Yes",1,"0")</f>
        <v/>
      </c>
      <c r="F32" s="29" t="inlineStr">
        <is>
          <t>Yes</t>
        </is>
      </c>
      <c r="G32" s="27" t="inlineStr">
        <is>
          <t>Observation recorded for checkpoint 25 during audit review.</t>
        </is>
      </c>
      <c r="H32" s="31" t="inlineStr">
        <is>
          <t>None</t>
        </is>
      </c>
      <c r="I32" s="31" t="inlineStr"/>
      <c r="J32" s="31" t="inlineStr"/>
    </row>
    <row r="33" ht="90" customHeight="1">
      <c r="A33" s="26" t="n">
        <v>26</v>
      </c>
      <c r="B33" s="27" t="inlineStr">
        <is>
          <t>Infra and others</t>
        </is>
      </c>
      <c r="C33" s="27" t="inlineStr">
        <is>
          <t>Vendor code not created</t>
        </is>
      </c>
      <c r="D33" s="28" t="inlineStr">
        <is>
          <t>Whether allocation for Collection cases as well for repossession cases given to the agency post vendor code creation only?</t>
        </is>
      </c>
      <c r="E33" s="33">
        <f>IF(F33="Yes",1,"0")</f>
        <v/>
      </c>
      <c r="F33" s="29" t="inlineStr">
        <is>
          <t>Yes</t>
        </is>
      </c>
      <c r="G33" s="27" t="inlineStr">
        <is>
          <t>Observation recorded for checkpoint 26 during audit review.</t>
        </is>
      </c>
      <c r="H33" s="31" t="inlineStr">
        <is>
          <t>None</t>
        </is>
      </c>
      <c r="I33" s="31" t="inlineStr"/>
      <c r="J33" s="31" t="inlineStr"/>
    </row>
    <row r="34" ht="90" customHeight="1">
      <c r="A34" s="26" t="n">
        <v>27</v>
      </c>
      <c r="B34" s="27" t="inlineStr">
        <is>
          <t>Infra and others</t>
        </is>
      </c>
      <c r="C34" s="27" t="inlineStr">
        <is>
          <t>Tata capital's name being used in agency office</t>
        </is>
      </c>
      <c r="D34" s="28" t="inlineStr">
        <is>
          <t>Has the agency made any reference to company's name on the his's name board &amp; e-mail ?</t>
        </is>
      </c>
      <c r="E34" s="33">
        <f>IF(F34="Yes",1,"0")</f>
        <v/>
      </c>
      <c r="F34" s="29" t="inlineStr">
        <is>
          <t>Yes</t>
        </is>
      </c>
      <c r="G34" s="27" t="inlineStr">
        <is>
          <t>Observation recorded for checkpoint 27 during audit review.</t>
        </is>
      </c>
      <c r="H34" s="31" t="inlineStr">
        <is>
          <t>None</t>
        </is>
      </c>
      <c r="I34" s="31" t="inlineStr"/>
      <c r="J34" s="31" t="inlineStr"/>
    </row>
    <row r="35" ht="90" customHeight="1">
      <c r="A35" s="26" t="n">
        <v>28</v>
      </c>
      <c r="B35" s="27" t="inlineStr">
        <is>
          <t>Identity cards</t>
        </is>
      </c>
      <c r="C35" s="27" t="inlineStr">
        <is>
          <t>All CREs have valid ID Cards of TCL</t>
        </is>
      </c>
      <c r="D35" s="28" t="inlineStr">
        <is>
          <t>Whether all active CREs working for TCL portfolio having Digital ID Cards with them? Also, check whether any executive using unauthorized ID card while on field?</t>
        </is>
      </c>
      <c r="E35" s="33">
        <f>IF(F35="Yes",3,"0")</f>
        <v/>
      </c>
      <c r="F35" s="29" t="inlineStr">
        <is>
          <t>No</t>
        </is>
      </c>
      <c r="G35" s="27" t="inlineStr">
        <is>
          <t>Observation recorded for checkpoint 28 during audit review.</t>
        </is>
      </c>
      <c r="H35" s="31" t="inlineStr">
        <is>
          <t>Corrective action required</t>
        </is>
      </c>
      <c r="I35" s="31" t="inlineStr"/>
      <c r="J35" s="31" t="inlineStr"/>
    </row>
    <row r="36" ht="90" customHeight="1">
      <c r="A36" s="26" t="n">
        <v>29</v>
      </c>
      <c r="B36" s="27" t="inlineStr">
        <is>
          <t>Identity cards</t>
        </is>
      </c>
      <c r="C36" s="27" t="inlineStr">
        <is>
          <t>If assigned CRE resigned/terminated it is not communicated to TCL</t>
        </is>
      </c>
      <c r="D36" s="28" t="inlineStr">
        <is>
          <t>In case of resignation / termination of any executive whether it is communicated within TAT of 24 hours; (M-collect ID should be deactivated )</t>
        </is>
      </c>
      <c r="E36" s="33">
        <f>IF(F36="Yes",2,"0")</f>
        <v/>
      </c>
      <c r="F36" s="29" t="inlineStr">
        <is>
          <t>Yes</t>
        </is>
      </c>
      <c r="G36" s="27" t="inlineStr">
        <is>
          <t>Observation recorded for checkpoint 29 during audit review.</t>
        </is>
      </c>
      <c r="H36" s="31" t="inlineStr">
        <is>
          <t>None</t>
        </is>
      </c>
      <c r="I36" s="31" t="inlineStr"/>
      <c r="J36" s="31" t="inlineStr"/>
    </row>
    <row r="37" ht="90" customHeight="1">
      <c r="A37" s="26" t="n">
        <v>30</v>
      </c>
      <c r="B37" s="27" t="inlineStr">
        <is>
          <t>Identity cards</t>
        </is>
      </c>
      <c r="C37" s="27" t="inlineStr">
        <is>
          <t>Not all CREs have M Collect ID's</t>
        </is>
      </c>
      <c r="D37" s="28" t="inlineStr">
        <is>
          <t xml:space="preserve">Whether all active CRE has M-collect ID in system? (M-collect should be active)
Is there M-collect ID of any CRE being used by another CRE? </t>
        </is>
      </c>
      <c r="E37" s="33">
        <f>IF(F37="Yes",4,"0")</f>
        <v/>
      </c>
      <c r="F37" s="29" t="inlineStr">
        <is>
          <t>Yes</t>
        </is>
      </c>
      <c r="G37" s="27" t="inlineStr">
        <is>
          <t>Observation recorded for checkpoint 30 during audit review.</t>
        </is>
      </c>
      <c r="H37" s="31" t="inlineStr">
        <is>
          <t>None</t>
        </is>
      </c>
      <c r="I37" s="31" t="inlineStr"/>
      <c r="J37" s="31" t="inlineStr"/>
    </row>
    <row r="38" ht="90" customHeight="1">
      <c r="A38" s="26" t="n">
        <v>31</v>
      </c>
      <c r="B38" s="27" t="inlineStr">
        <is>
          <t>Identity cards</t>
        </is>
      </c>
      <c r="C38" s="27" t="inlineStr">
        <is>
          <t>PV report not available</t>
        </is>
      </c>
      <c r="D38" s="28" t="inlineStr">
        <is>
          <t xml:space="preserve">Whether all agency executives, backends, Supervisor,Proprieter, CRE's Police verification are vetted &amp; no negative Police verification CRE's are working at the agency? </t>
        </is>
      </c>
      <c r="E38" s="33">
        <f>IF(F38="Yes",2,"0")</f>
        <v/>
      </c>
      <c r="F38" s="29" t="inlineStr">
        <is>
          <t>Yes</t>
        </is>
      </c>
      <c r="G38" s="27" t="inlineStr">
        <is>
          <t>Observation recorded for checkpoint 31 during audit review.</t>
        </is>
      </c>
      <c r="H38" s="31" t="inlineStr">
        <is>
          <t>None</t>
        </is>
      </c>
      <c r="I38" s="31" t="inlineStr"/>
      <c r="J38" s="31" t="inlineStr"/>
    </row>
    <row r="39" ht="90" customHeight="1">
      <c r="A39" s="26" t="n">
        <v>32</v>
      </c>
      <c r="B39" s="27" t="inlineStr">
        <is>
          <t>Repossession Process</t>
        </is>
      </c>
      <c r="C39" s="27" t="inlineStr">
        <is>
          <t>Expired repo kit used/NCM Approval not taken before repossession</t>
        </is>
      </c>
      <c r="D39" s="28" t="inlineStr">
        <is>
          <t>Whether agency has returned all unused repo kits within 5 days of expiry?
Whether NCM approval taken before initiating repossession on email/System?</t>
        </is>
      </c>
      <c r="E39" s="33" t="inlineStr">
        <is>
          <t>Only Observation Point</t>
        </is>
      </c>
      <c r="F39" s="29" t="inlineStr">
        <is>
          <t>Yes</t>
        </is>
      </c>
      <c r="G39" s="27" t="inlineStr">
        <is>
          <t>Observation recorded for checkpoint 32 during audit review.</t>
        </is>
      </c>
      <c r="H39" s="31" t="inlineStr">
        <is>
          <t>None</t>
        </is>
      </c>
      <c r="I39" s="31" t="inlineStr"/>
      <c r="J39" s="31" t="inlineStr"/>
    </row>
    <row r="40" ht="90" customHeight="1">
      <c r="A40" s="26" t="n">
        <v>33</v>
      </c>
      <c r="B40" s="27" t="inlineStr">
        <is>
          <t>Repossession Process</t>
        </is>
      </c>
      <c r="C40" s="27" t="inlineStr">
        <is>
          <t>Indemnity bond and newspaper publication not issued after repo kit loss</t>
        </is>
      </c>
      <c r="D40" s="28" t="inlineStr">
        <is>
          <t>Whether FIR, indemnity bond on stamp paper &amp; Newspaper cut-out of published Notice for Loss / theft of repo kit is submitted by Agency as per format in case of lost/stolen repo kit &amp; updated in repo kit tracker ?</t>
        </is>
      </c>
      <c r="E40" s="33">
        <f>IF(F40="Yes",1,"0")</f>
        <v/>
      </c>
      <c r="F40" s="29" t="inlineStr">
        <is>
          <t>NA</t>
        </is>
      </c>
      <c r="G40" s="27" t="inlineStr">
        <is>
          <t>Observation recorded for checkpoint 33 during audit review.</t>
        </is>
      </c>
      <c r="H40" s="31" t="inlineStr">
        <is>
          <t>Not Applicable</t>
        </is>
      </c>
      <c r="I40" s="31" t="inlineStr"/>
      <c r="J40" s="31" t="inlineStr"/>
    </row>
    <row r="41" ht="90" customHeight="1">
      <c r="A41" s="26" t="n">
        <v>34</v>
      </c>
      <c r="B41" s="27" t="inlineStr">
        <is>
          <t>Repossession Process</t>
        </is>
      </c>
      <c r="C41" s="27" t="inlineStr">
        <is>
          <t>Repossession done without valid Repo Kit</t>
        </is>
      </c>
      <c r="D41" s="28" t="inlineStr">
        <is>
          <t>Check whether any Repo done without valid repo kit?  The repo date and repo kit issuance date should be validated.</t>
        </is>
      </c>
      <c r="E41" s="33">
        <f>IF(F41="Yes",1,"0")</f>
        <v/>
      </c>
      <c r="F41" s="29" t="inlineStr">
        <is>
          <t>Yes</t>
        </is>
      </c>
      <c r="G41" s="27" t="inlineStr">
        <is>
          <t>Observation recorded for checkpoint 34 during audit review.</t>
        </is>
      </c>
      <c r="H41" s="31" t="inlineStr">
        <is>
          <t>None</t>
        </is>
      </c>
      <c r="I41" s="31" t="inlineStr"/>
      <c r="J41" s="31" t="inlineStr"/>
    </row>
    <row r="42" ht="90" customHeight="1">
      <c r="A42" s="26" t="n">
        <v>35</v>
      </c>
      <c r="B42" s="27" t="inlineStr">
        <is>
          <t>Repossession Process</t>
        </is>
      </c>
      <c r="C42" s="27" t="inlineStr">
        <is>
          <t>Repo Kit Return Delay by agency</t>
        </is>
      </c>
      <c r="D42" s="28" t="inlineStr">
        <is>
          <t>Whether possession kit along with all the documents are to be dispatched to the Central team/Branch within 2 business days from the time of deposition of repossessed asset in the yard?</t>
        </is>
      </c>
      <c r="E42" s="33">
        <f>IF(F42="Yes",2,"0")</f>
        <v/>
      </c>
      <c r="F42" s="29" t="inlineStr">
        <is>
          <t>No</t>
        </is>
      </c>
      <c r="G42" s="27" t="inlineStr">
        <is>
          <t>Observation recorded for checkpoint 35 during audit review.</t>
        </is>
      </c>
      <c r="H42" s="31" t="inlineStr">
        <is>
          <t>Corrective action required</t>
        </is>
      </c>
      <c r="I42" s="31" t="inlineStr"/>
      <c r="J42" s="31" t="inlineStr"/>
    </row>
    <row r="43" ht="90" customHeight="1">
      <c r="A43" s="26" t="n">
        <v>36</v>
      </c>
      <c r="B43" s="27" t="inlineStr">
        <is>
          <t>Repossession Process</t>
        </is>
      </c>
      <c r="C43" s="27" t="inlineStr">
        <is>
          <t>LRN/PRN not issued</t>
        </is>
      </c>
      <c r="D43" s="28" t="inlineStr">
        <is>
          <t>Loan recall notice/Pre repossession notice must be issued before initiation of repossession. Has the LRN cooling-off period been followed before repossession?</t>
        </is>
      </c>
      <c r="E43" s="33">
        <f>IF(F43="Yes",1,"0")</f>
        <v/>
      </c>
      <c r="F43" s="29" t="inlineStr">
        <is>
          <t>Yes</t>
        </is>
      </c>
      <c r="G43" s="27" t="inlineStr">
        <is>
          <t>Observation recorded for checkpoint 35 during audit review.</t>
        </is>
      </c>
      <c r="H43" s="31" t="inlineStr">
        <is>
          <t>Not Applicable</t>
        </is>
      </c>
      <c r="I43" s="31" t="inlineStr"/>
      <c r="J43" s="31" t="inlineStr"/>
    </row>
    <row r="44" ht="90" customHeight="1">
      <c r="A44" s="26" t="n">
        <v>37</v>
      </c>
      <c r="B44" s="27" t="inlineStr">
        <is>
          <t>Repossession Process</t>
        </is>
      </c>
      <c r="C44" s="27" t="inlineStr">
        <is>
          <t>Repo kits were not filled correctly/Cutting/overwriting on repo kits</t>
        </is>
      </c>
      <c r="D44" s="28" t="inlineStr">
        <is>
          <t>Have the repo kits been filled completely and correctly &amp; no cuttings/alterations/ over writing on the repo kits. Also check whether proper Notarization is done and valid date and sign available wherever required and Pre/Post police  intimation is done within TAT.</t>
        </is>
      </c>
      <c r="E44" s="33">
        <f>IF(F44="Yes",4,"0")</f>
        <v/>
      </c>
      <c r="F44" s="29" t="inlineStr">
        <is>
          <t>Yes</t>
        </is>
      </c>
      <c r="G44" s="27" t="inlineStr">
        <is>
          <t>Observation recorded for checkpoint 35 during audit review.</t>
        </is>
      </c>
      <c r="H44" s="31" t="inlineStr">
        <is>
          <t>Not Applicable</t>
        </is>
      </c>
      <c r="I44" s="31" t="inlineStr"/>
      <c r="J44" s="31" t="inlineStr"/>
    </row>
    <row r="45" ht="90" customHeight="1">
      <c r="A45" s="26" t="n">
        <v>38</v>
      </c>
      <c r="B45" s="27" t="inlineStr">
        <is>
          <t>Repossession Process</t>
        </is>
      </c>
      <c r="C45" s="27" t="inlineStr">
        <is>
          <t>Repo Kit issuance request are not placed on email/letter head</t>
        </is>
      </c>
      <c r="D45" s="28" t="inlineStr">
        <is>
          <t>Whether the agency has raised standard repo kit issuance request through its registered Email ID/ Letter Head in case of offline repo kit used on Exceptional cases?</t>
        </is>
      </c>
      <c r="E45" s="33">
        <f>IF(F45="Yes",1,"0")</f>
        <v/>
      </c>
      <c r="F45" s="29" t="inlineStr">
        <is>
          <t>Yes</t>
        </is>
      </c>
      <c r="G45" s="27" t="inlineStr">
        <is>
          <t>Observation recorded for checkpoint 35 during audit review.</t>
        </is>
      </c>
      <c r="H45" s="31" t="inlineStr">
        <is>
          <t>Not Applicable</t>
        </is>
      </c>
      <c r="I45" s="31" t="inlineStr"/>
      <c r="J45" s="31" t="inlineStr"/>
    </row>
    <row r="46" ht="90" customHeight="1">
      <c r="A46" s="26" t="n">
        <v>39</v>
      </c>
      <c r="B46" s="27" t="inlineStr">
        <is>
          <t>Repossession Process</t>
        </is>
      </c>
      <c r="C46" s="27" t="inlineStr">
        <is>
          <t>Repo Kit Tracker data maintained</t>
        </is>
      </c>
      <c r="D46" s="28" t="inlineStr">
        <is>
          <t>Whether the agency maintains Repo kit Tracker in the blue book every month?</t>
        </is>
      </c>
      <c r="E46" s="33">
        <f>IF(F46="Yes",2,"0")</f>
        <v/>
      </c>
      <c r="F46" s="29" t="inlineStr">
        <is>
          <t>Yes</t>
        </is>
      </c>
      <c r="G46" s="27" t="inlineStr">
        <is>
          <t>Observation recorded for checkpoint 35 during audit review.</t>
        </is>
      </c>
      <c r="H46" s="31" t="inlineStr">
        <is>
          <t>Not Applicable</t>
        </is>
      </c>
      <c r="I46" s="31" t="inlineStr"/>
      <c r="J46" s="31" t="inlineStr"/>
    </row>
    <row r="47" ht="90" customHeight="1">
      <c r="A47" s="26" t="n">
        <v>40</v>
      </c>
      <c r="B47" s="27" t="inlineStr">
        <is>
          <t>Repossession Process</t>
        </is>
      </c>
      <c r="C47" s="27" t="inlineStr">
        <is>
          <t>Repo Kit register not maintained by agency</t>
        </is>
      </c>
      <c r="D47" s="28" t="inlineStr">
        <is>
          <t>Whether agency fill all the necessary details in the Repo Tracker which is available in the blue book every month?</t>
        </is>
      </c>
      <c r="E47" s="33">
        <f>IF(F47="Yes",2,"0")</f>
        <v/>
      </c>
      <c r="F47" s="29" t="inlineStr">
        <is>
          <t>Yes</t>
        </is>
      </c>
      <c r="G47" s="27" t="inlineStr">
        <is>
          <t>Observation recorded for checkpoint 35 during audit review.</t>
        </is>
      </c>
      <c r="H47" s="31" t="inlineStr">
        <is>
          <t>Not Applicable</t>
        </is>
      </c>
      <c r="I47" s="31" t="inlineStr"/>
      <c r="J47" s="31" t="inlineStr"/>
    </row>
    <row r="48" ht="90" customHeight="1">
      <c r="A48" s="26" t="n">
        <v>41</v>
      </c>
      <c r="B48" s="27" t="inlineStr">
        <is>
          <t>Repossession Process</t>
        </is>
      </c>
      <c r="C48" s="27" t="inlineStr">
        <is>
          <t>Vehicles deposited in the yard within TAT</t>
        </is>
      </c>
      <c r="D48" s="28" t="inlineStr">
        <is>
          <t>Are all the vehicles deposited in the yard within the TAT?</t>
        </is>
      </c>
      <c r="E48" s="33">
        <f>IF(F48="Yes",1,"0")</f>
        <v/>
      </c>
      <c r="F48" s="29" t="inlineStr">
        <is>
          <t>Yes</t>
        </is>
      </c>
      <c r="G48" s="27" t="inlineStr">
        <is>
          <t>Observation recorded for checkpoint 35 during audit review.</t>
        </is>
      </c>
      <c r="H48" s="31" t="inlineStr">
        <is>
          <t>Not Applicable</t>
        </is>
      </c>
      <c r="I48" s="31" t="inlineStr"/>
      <c r="J48" s="31" t="inlineStr"/>
    </row>
    <row r="49" ht="90" customHeight="1">
      <c r="A49" s="26" t="n">
        <v>42</v>
      </c>
      <c r="B49" s="27" t="inlineStr">
        <is>
          <t>Record Management</t>
        </is>
      </c>
      <c r="C49" s="27" t="inlineStr">
        <is>
          <t>Collection Deposit sheets not maintained by agency office</t>
        </is>
      </c>
      <c r="D49" s="28" t="inlineStr">
        <is>
          <t>Whether Collection deposit slips maintain by agency?</t>
        </is>
      </c>
      <c r="E49" s="33" t="inlineStr">
        <is>
          <t>Only Observation Point</t>
        </is>
      </c>
      <c r="F49" s="29" t="inlineStr">
        <is>
          <t>Yes</t>
        </is>
      </c>
      <c r="G49" s="27" t="inlineStr">
        <is>
          <t>Observation recorded for checkpoint 35 during audit review.</t>
        </is>
      </c>
      <c r="H49" s="31" t="inlineStr">
        <is>
          <t>Not Applicable</t>
        </is>
      </c>
      <c r="I49" s="31" t="inlineStr"/>
      <c r="J49" s="31" t="inlineStr"/>
    </row>
    <row r="50" ht="90" customHeight="1">
      <c r="A50" s="26" t="n">
        <v>43</v>
      </c>
      <c r="B50" s="27" t="inlineStr">
        <is>
          <t>Record Management</t>
        </is>
      </c>
      <c r="C50" s="27" t="inlineStr">
        <is>
          <t>Feedback file not shared on daily basis</t>
        </is>
      </c>
      <c r="D50" s="28" t="inlineStr">
        <is>
          <t>Whether all allocated cases feedback are getting reviewed by collection manager every month?</t>
        </is>
      </c>
      <c r="E50" s="33">
        <f>IF(F50="Yes",1,"0")</f>
        <v/>
      </c>
      <c r="F50" s="29" t="inlineStr">
        <is>
          <t>Yes</t>
        </is>
      </c>
      <c r="G50" s="27" t="inlineStr">
        <is>
          <t>Observation recorded for checkpoint 35 during audit review.</t>
        </is>
      </c>
      <c r="H50" s="31" t="inlineStr">
        <is>
          <t>Not Applicable</t>
        </is>
      </c>
      <c r="I50" s="31" t="inlineStr"/>
      <c r="J50" s="31" t="inlineStr"/>
    </row>
    <row r="51" ht="90" customHeight="1">
      <c r="A51" s="26" t="n">
        <v>44</v>
      </c>
      <c r="B51" s="27" t="inlineStr">
        <is>
          <t>Record Management</t>
        </is>
      </c>
      <c r="C51" s="27" t="inlineStr">
        <is>
          <t xml:space="preserve">TCOC training not recorded </t>
        </is>
      </c>
      <c r="D51" s="28" t="inlineStr">
        <is>
          <t>Whether Training tracker in the Blue Book has been properly filled with all necessary fields and maintained at agency?</t>
        </is>
      </c>
      <c r="E51" s="33">
        <f>IF(F51="Yes",2,"0")</f>
        <v/>
      </c>
      <c r="F51" s="29" t="inlineStr">
        <is>
          <t>Yes</t>
        </is>
      </c>
      <c r="G51" s="27" t="inlineStr">
        <is>
          <t>Observation recorded for checkpoint 35 during audit review.</t>
        </is>
      </c>
      <c r="H51" s="31" t="inlineStr">
        <is>
          <t>Not Applicable</t>
        </is>
      </c>
      <c r="I51" s="31" t="inlineStr"/>
      <c r="J51" s="31" t="inlineStr"/>
    </row>
    <row r="52" ht="90" customHeight="1">
      <c r="A52" s="26" t="n">
        <v>45</v>
      </c>
      <c r="B52" s="27" t="inlineStr">
        <is>
          <t>Record Management</t>
        </is>
      </c>
      <c r="C52" s="27" t="inlineStr">
        <is>
          <t>Trails are not being updated at 100%</t>
        </is>
      </c>
      <c r="D52" s="28" t="inlineStr">
        <is>
          <t>Whether 100% of trails uploaded by agency for cases allocated to them? All trails are uploaded should be quality trails.</t>
        </is>
      </c>
      <c r="E52" s="33">
        <f>IF(F52="Yes",1,"0")</f>
        <v/>
      </c>
      <c r="F52" s="29" t="inlineStr">
        <is>
          <t>Yes</t>
        </is>
      </c>
      <c r="G52" s="27" t="inlineStr">
        <is>
          <t>Observation recorded for checkpoint 35 during audit review.</t>
        </is>
      </c>
      <c r="H52" s="31" t="inlineStr">
        <is>
          <t>Not Applicable</t>
        </is>
      </c>
      <c r="I52" s="31" t="inlineStr"/>
      <c r="J52" s="31" t="inlineStr"/>
    </row>
    <row r="53" ht="90" customHeight="1">
      <c r="A53" s="26" t="n">
        <v>46</v>
      </c>
      <c r="B53" s="27" t="inlineStr">
        <is>
          <t>Record Management</t>
        </is>
      </c>
      <c r="C53" s="27" t="inlineStr">
        <is>
          <t>Vendor agreement not available at agency office</t>
        </is>
      </c>
      <c r="D53" s="28" t="inlineStr">
        <is>
          <t xml:space="preserve">Whether the valid vendor agreement and the latest pay-out grid maintained at the agency? </t>
        </is>
      </c>
      <c r="E53" s="33">
        <f>IF(F53="Yes",1,"0")</f>
        <v/>
      </c>
      <c r="F53" s="29" t="inlineStr">
        <is>
          <t>Yes</t>
        </is>
      </c>
      <c r="G53" s="27" t="inlineStr">
        <is>
          <t>Observation recorded for checkpoint 35 during audit review.</t>
        </is>
      </c>
      <c r="H53" s="31" t="inlineStr">
        <is>
          <t>Not Applicable</t>
        </is>
      </c>
      <c r="I53" s="31" t="inlineStr"/>
      <c r="J53" s="31" t="inlineStr"/>
    </row>
    <row r="54" ht="90" customHeight="1">
      <c r="A54" s="26" t="n">
        <v>47</v>
      </c>
      <c r="B54" s="27" t="inlineStr">
        <is>
          <t>Record Management</t>
        </is>
      </c>
      <c r="C54" s="27" t="inlineStr">
        <is>
          <t>Collection agents are DRA Certified</t>
        </is>
      </c>
      <c r="D54" s="28" t="inlineStr">
        <is>
          <t>Check whether all CRE's are DRA Certified?</t>
        </is>
      </c>
      <c r="E54" s="33">
        <f>IF(F54="Yes",1,"0")</f>
        <v/>
      </c>
      <c r="F54" s="29" t="inlineStr">
        <is>
          <t>Yes</t>
        </is>
      </c>
      <c r="G54" s="27" t="inlineStr">
        <is>
          <t>Observation recorded for checkpoint 35 during audit review.</t>
        </is>
      </c>
      <c r="H54" s="31" t="inlineStr">
        <is>
          <t>Not Applicable</t>
        </is>
      </c>
      <c r="I54" s="31" t="inlineStr"/>
      <c r="J54" s="31" t="inlineStr"/>
    </row>
    <row r="55" ht="90" customHeight="1">
      <c r="A55" s="26" t="n">
        <v>48</v>
      </c>
      <c r="B55" s="27" t="inlineStr">
        <is>
          <t>Record Management</t>
        </is>
      </c>
      <c r="C55" s="27" t="inlineStr">
        <is>
          <t>Blue Book</t>
        </is>
      </c>
      <c r="D55" s="28" t="inlineStr">
        <is>
          <t>Whether blue book is available at the Agency?</t>
        </is>
      </c>
      <c r="E55" s="33">
        <f>IF(F55="Yes",1,"0")</f>
        <v/>
      </c>
      <c r="F55" s="29" t="inlineStr">
        <is>
          <t>Yes</t>
        </is>
      </c>
      <c r="G55" s="27" t="inlineStr">
        <is>
          <t>Observation recorded for checkpoint 35 during audit review.</t>
        </is>
      </c>
      <c r="H55" s="31" t="inlineStr">
        <is>
          <t>Corrective action required</t>
        </is>
      </c>
      <c r="I55" s="31" t="inlineStr"/>
      <c r="J55" s="31" t="inlineStr"/>
    </row>
    <row r="56" ht="90" customHeight="1">
      <c r="A56" s="26" t="n">
        <v>49</v>
      </c>
      <c r="B56" s="27" t="inlineStr">
        <is>
          <t>Record Management</t>
        </is>
      </c>
      <c r="C56" s="27" t="inlineStr">
        <is>
          <t>Declaration cum undertaking in blue book</t>
        </is>
      </c>
      <c r="D56" s="28" t="inlineStr">
        <is>
          <t>Whether Declaration Cum Undertaking is filled and signed by the agency and CM/CCM in the Blue Book every month?</t>
        </is>
      </c>
      <c r="E56" s="33">
        <f>IF(F56="Yes",1,"0")</f>
        <v/>
      </c>
      <c r="F56" s="29" t="inlineStr">
        <is>
          <t>Yes</t>
        </is>
      </c>
      <c r="G56" s="27" t="inlineStr">
        <is>
          <t>Observation recorded for checkpoint 35 during audit review.</t>
        </is>
      </c>
      <c r="H56" s="31" t="inlineStr">
        <is>
          <t>Corrective action required</t>
        </is>
      </c>
      <c r="I56" s="31" t="inlineStr"/>
      <c r="J56" s="31" t="inlineStr"/>
    </row>
    <row r="57" ht="90" customHeight="1">
      <c r="A57" s="26" t="n">
        <v>50</v>
      </c>
      <c r="B57" s="27" t="inlineStr">
        <is>
          <t>Record Management</t>
        </is>
      </c>
      <c r="C57" s="27" t="inlineStr">
        <is>
          <t>Monthly Audit and Compliance Checkpoints</t>
        </is>
      </c>
      <c r="D57" s="28" t="inlineStr">
        <is>
          <t>Monthly Audit and Compliance checkpoints have been done and details to be correctly/completely filled and maintained at agency in the Blue Book?</t>
        </is>
      </c>
      <c r="E57" s="33">
        <f>IF(F57="Yes",1,"0")</f>
        <v/>
      </c>
      <c r="F57" s="29" t="inlineStr">
        <is>
          <t>No</t>
        </is>
      </c>
      <c r="G57" s="27" t="inlineStr">
        <is>
          <t>Observation recorded for checkpoint 35 during audit review.</t>
        </is>
      </c>
      <c r="H57" s="31" t="inlineStr">
        <is>
          <t>Corrective action required</t>
        </is>
      </c>
      <c r="I57" s="31" t="inlineStr"/>
      <c r="J57" s="31" t="inlineStr"/>
    </row>
    <row r="58" ht="90" customHeight="1">
      <c r="A58" s="26" t="n">
        <v>51</v>
      </c>
      <c r="B58" s="27" t="inlineStr">
        <is>
          <t>Record Management</t>
        </is>
      </c>
      <c r="C58" s="27" t="inlineStr">
        <is>
          <t xml:space="preserve">Infrastructure declaration </t>
        </is>
      </c>
      <c r="D58" s="28" t="inlineStr">
        <is>
          <t>Infrastructure declaration to be submitted by the agency every month in the blue book</t>
        </is>
      </c>
      <c r="E58" s="33">
        <f>IF(F58="Yes",1,"0")</f>
        <v/>
      </c>
      <c r="F58" s="29" t="inlineStr">
        <is>
          <t>Yes</t>
        </is>
      </c>
      <c r="G58" s="27" t="inlineStr">
        <is>
          <t>Observation recorded for checkpoint 35 during audit review.</t>
        </is>
      </c>
      <c r="H58" s="31" t="inlineStr">
        <is>
          <t>Corrective action required</t>
        </is>
      </c>
      <c r="I58" s="31" t="inlineStr"/>
      <c r="J58" s="31" t="inlineStr"/>
    </row>
    <row r="59" ht="90" customHeight="1">
      <c r="A59" s="26" t="n">
        <v>52</v>
      </c>
      <c r="B59" s="27" t="inlineStr">
        <is>
          <t>Record Management</t>
        </is>
      </c>
      <c r="C59" s="27" t="inlineStr">
        <is>
          <t>NDC not shared</t>
        </is>
      </c>
      <c r="D59" s="28" t="inlineStr">
        <is>
          <t>Whether NDC is provided by the agency on quarterly basis? 
Whether any pending bill is available at agency?(Only Observation)</t>
        </is>
      </c>
      <c r="E59" s="33">
        <f>IF(F59="Yes",1,"0")</f>
        <v/>
      </c>
      <c r="F59" s="29" t="inlineStr">
        <is>
          <t>Yes</t>
        </is>
      </c>
      <c r="G59" s="27" t="inlineStr">
        <is>
          <t>Observation recorded for checkpoint 35 during audit review.</t>
        </is>
      </c>
      <c r="H59" s="31" t="inlineStr">
        <is>
          <t>Corrective action required</t>
        </is>
      </c>
      <c r="I59" s="31" t="inlineStr"/>
      <c r="J59" s="31" t="inlineStr"/>
    </row>
    <row r="60" ht="90" customHeight="1">
      <c r="A60" s="26" t="n">
        <v>53</v>
      </c>
      <c r="B60" s="27" t="inlineStr">
        <is>
          <t>Record Management</t>
        </is>
      </c>
      <c r="C60" s="27" t="inlineStr">
        <is>
          <t>NDC not recorded in Blue Book</t>
        </is>
      </c>
      <c r="D60" s="28" t="inlineStr">
        <is>
          <t>No Dues Certificate to be printed and maintained and data to be recorded in the Blue Book.</t>
        </is>
      </c>
      <c r="E60" s="33">
        <f>IF(F60="Yes",1,"0")</f>
        <v/>
      </c>
      <c r="F60" s="29" t="inlineStr">
        <is>
          <t>Yes</t>
        </is>
      </c>
      <c r="G60" s="27" t="inlineStr">
        <is>
          <t>Observation recorded for checkpoint 35 during audit review.</t>
        </is>
      </c>
      <c r="H60" s="31" t="inlineStr">
        <is>
          <t>Corrective action required</t>
        </is>
      </c>
      <c r="I60" s="31" t="inlineStr"/>
      <c r="J60" s="31" t="inlineStr"/>
    </row>
    <row r="61" ht="90" customHeight="1">
      <c r="A61" s="26" t="n">
        <v>54</v>
      </c>
      <c r="B61" s="27" t="inlineStr">
        <is>
          <t>Record Management</t>
        </is>
      </c>
      <c r="C61" s="27" t="inlineStr">
        <is>
          <t>KYC of all agents not available</t>
        </is>
      </c>
      <c r="D61" s="28" t="inlineStr">
        <is>
          <t>Check whether All CRE's , Backend, Supervisor KYC maintained and Aadhaar masking done at Agency ? Also check whether OSV done For CRE's by Collection Team?</t>
        </is>
      </c>
      <c r="E61" s="33">
        <f>IF(F61="Yes",1,"0")</f>
        <v/>
      </c>
      <c r="F61" s="29" t="inlineStr">
        <is>
          <t>Yes</t>
        </is>
      </c>
      <c r="G61" s="27" t="inlineStr">
        <is>
          <t>Observation recorded for checkpoint 35 during audit review.</t>
        </is>
      </c>
      <c r="H61" s="31" t="inlineStr">
        <is>
          <t>Corrective action required</t>
        </is>
      </c>
      <c r="I61" s="31" t="inlineStr">
        <is>
          <t>Open</t>
        </is>
      </c>
      <c r="J61" s="31" t="inlineStr">
        <is>
          <t>None</t>
        </is>
      </c>
    </row>
    <row r="62" ht="90" customHeight="1">
      <c r="A62" s="26" t="n">
        <v>55</v>
      </c>
      <c r="B62" s="27" t="inlineStr">
        <is>
          <t>Record Management</t>
        </is>
      </c>
      <c r="C62" s="27" t="inlineStr">
        <is>
          <t xml:space="preserve">Data Purging Declaration </t>
        </is>
      </c>
      <c r="D62" s="28" t="inlineStr">
        <is>
          <t>Whether agency has submitted Data Purging Declaration and recorded in the blue book every month? (T+3 months)</t>
        </is>
      </c>
      <c r="E62" s="33">
        <f>IF(F62="Yes",1,"0")</f>
        <v/>
      </c>
      <c r="F62" s="29" t="inlineStr">
        <is>
          <t>Yes</t>
        </is>
      </c>
      <c r="G62" s="27" t="inlineStr">
        <is>
          <t>Observation recorded for checkpoint 35 during audit review.</t>
        </is>
      </c>
      <c r="H62" s="31" t="inlineStr">
        <is>
          <t>Corrective action required</t>
        </is>
      </c>
      <c r="I62" s="31" t="inlineStr"/>
      <c r="J62" s="31" t="inlineStr"/>
    </row>
    <row r="63" ht="90" customHeight="1">
      <c r="A63" s="26" t="n">
        <v>56</v>
      </c>
      <c r="B63" s="27" t="inlineStr">
        <is>
          <t>Record Management</t>
        </is>
      </c>
      <c r="C63" s="27" t="inlineStr">
        <is>
          <t>Agency Manpower Register</t>
        </is>
      </c>
      <c r="D63" s="28" t="inlineStr">
        <is>
          <t>Whether all CRE details are captured in the agency manpower register in the Blue Book ?</t>
        </is>
      </c>
      <c r="E63" s="33">
        <f>IF(F63="Yes",1,"0")</f>
        <v/>
      </c>
      <c r="F63" s="29" t="inlineStr">
        <is>
          <t>Yes</t>
        </is>
      </c>
      <c r="G63" s="27" t="inlineStr">
        <is>
          <t>Observation recorded for checkpoint 35 during audit review.</t>
        </is>
      </c>
      <c r="H63" s="31" t="inlineStr">
        <is>
          <t>Corrective action required</t>
        </is>
      </c>
      <c r="I63" s="31" t="inlineStr"/>
      <c r="J63" s="31" t="inlineStr"/>
    </row>
    <row r="64" ht="90" customHeight="1">
      <c r="A64" s="26" t="n">
        <v>57</v>
      </c>
      <c r="B64" s="27" t="inlineStr">
        <is>
          <t>Record Management</t>
        </is>
      </c>
      <c r="C64" s="27" t="inlineStr">
        <is>
          <t>Vendor performance document not available at agency office</t>
        </is>
      </c>
      <c r="D64" s="28" t="inlineStr">
        <is>
          <t>Whether monthly vendor performance review is documented with complete &amp; correct details in blue book every month. All Allocated cases to be documented in blue book correctly. (To check/validate the same during audit).</t>
        </is>
      </c>
      <c r="E64" s="33">
        <f>IF(F64="Yes",1,"0")</f>
        <v/>
      </c>
      <c r="F64" s="29" t="inlineStr">
        <is>
          <t>Yes</t>
        </is>
      </c>
      <c r="G64" s="27" t="inlineStr">
        <is>
          <t>Observation recorded for checkpoint 35 during audit review.</t>
        </is>
      </c>
      <c r="H64" s="31" t="inlineStr">
        <is>
          <t>Corrective action required</t>
        </is>
      </c>
      <c r="I64" s="31" t="inlineStr"/>
      <c r="J64" s="31" t="inlineStr"/>
    </row>
    <row r="65" ht="90" customHeight="1">
      <c r="A65" s="26" t="n">
        <v>58</v>
      </c>
      <c r="B65" s="27" t="inlineStr">
        <is>
          <t>Record Management</t>
        </is>
      </c>
      <c r="C65" s="27" t="inlineStr">
        <is>
          <t>Visitor register not available</t>
        </is>
      </c>
      <c r="D65" s="28" t="inlineStr">
        <is>
          <t>Whether agency maintains TCL visitor details in in Blue Book every month? Also, check if Manager / Senior manager visiting the agency signs the visiting register maintained at the agency.</t>
        </is>
      </c>
      <c r="E65" s="33">
        <f>IF(F65="Yes",1,"0")</f>
        <v/>
      </c>
      <c r="F65" s="29" t="inlineStr">
        <is>
          <t>Yes</t>
        </is>
      </c>
      <c r="G65" s="27" t="inlineStr">
        <is>
          <t>Observation recorded for checkpoint 35 during audit review.</t>
        </is>
      </c>
      <c r="H65" s="31" t="inlineStr">
        <is>
          <t>Corrective action required</t>
        </is>
      </c>
      <c r="I65" s="31" t="inlineStr"/>
      <c r="J65" s="31" t="inlineStr"/>
    </row>
    <row r="66" ht="90" customHeight="1">
      <c r="A66" s="26" t="n">
        <v>59</v>
      </c>
      <c r="B66" s="27" t="inlineStr">
        <is>
          <t>Settlement Compliance</t>
        </is>
      </c>
      <c r="C66" s="27" t="inlineStr">
        <is>
          <t>Settlement non-compliance reported at agency</t>
        </is>
      </c>
      <c r="D66" s="28" t="inlineStr">
        <is>
          <t>Whether any Settlement non-compliance reported in agency? If yes then how many cases were there?
(Sample check of settlement cases to checked - required to verify this point)
For e.g. Is there any instances of money collected before settlement approval or void settlement?</t>
        </is>
      </c>
      <c r="E66" s="33">
        <f>IF(F66="Yes",2,"0")</f>
        <v/>
      </c>
      <c r="F66" s="29" t="inlineStr">
        <is>
          <t>Yes</t>
        </is>
      </c>
      <c r="G66" s="27" t="inlineStr">
        <is>
          <t>Observation recorded for checkpoint 35 during audit review.</t>
        </is>
      </c>
      <c r="H66" s="31" t="inlineStr">
        <is>
          <t>Corrective action required</t>
        </is>
      </c>
      <c r="I66" s="31" t="inlineStr">
        <is>
          <t>Open</t>
        </is>
      </c>
      <c r="J66" s="31" t="inlineStr">
        <is>
          <t>10 days</t>
        </is>
      </c>
    </row>
    <row r="67" ht="90" customHeight="1">
      <c r="A67" s="26" t="n">
        <v>60</v>
      </c>
      <c r="B67" s="27" t="inlineStr">
        <is>
          <t>Settlement Compliance</t>
        </is>
      </c>
      <c r="C67" s="27" t="inlineStr">
        <is>
          <t>Settlement requests are not being shared with CM/RCM over email</t>
        </is>
      </c>
      <c r="D67" s="28" t="inlineStr">
        <is>
          <t>Whether Settlement requests being raised only after informing CM/RCM over email with proper details?</t>
        </is>
      </c>
      <c r="E67" s="33" t="inlineStr">
        <is>
          <t>Only Observation Point</t>
        </is>
      </c>
      <c r="F67" s="29" t="inlineStr">
        <is>
          <t>Yes</t>
        </is>
      </c>
      <c r="G67" s="27" t="inlineStr">
        <is>
          <t>Observation recorded for checkpoint 35 during audit review.</t>
        </is>
      </c>
      <c r="H67" s="31" t="inlineStr">
        <is>
          <t>Corrective action required</t>
        </is>
      </c>
      <c r="I67" s="31" t="inlineStr"/>
      <c r="J67" s="31" t="inlineStr"/>
    </row>
    <row r="68" ht="159.9" customHeight="1">
      <c r="A68" s="26" t="n">
        <v>61</v>
      </c>
      <c r="B68" s="27" t="inlineStr">
        <is>
          <t>Miscellaneous</t>
        </is>
      </c>
      <c r="C68" s="27" t="inlineStr">
        <is>
          <t>Customer Escalations received</t>
        </is>
      </c>
      <c r="D68" s="28" t="inlineStr">
        <is>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is>
      </c>
      <c r="E68" s="33" t="inlineStr">
        <is>
          <t>Only Observation Point</t>
        </is>
      </c>
      <c r="F68" s="29" t="inlineStr">
        <is>
          <t>No</t>
        </is>
      </c>
      <c r="G68" s="27" t="inlineStr">
        <is>
          <t>Observation recorded for checkpoint 35 during audit review.</t>
        </is>
      </c>
      <c r="H68" s="31" t="inlineStr">
        <is>
          <t>Corrective action required</t>
        </is>
      </c>
      <c r="I68" s="31" t="inlineStr">
        <is>
          <t>Open</t>
        </is>
      </c>
      <c r="J68" s="31" t="inlineStr">
        <is>
          <t>10 days</t>
        </is>
      </c>
    </row>
    <row r="69">
      <c r="B69" s="34" t="n"/>
    </row>
    <row r="70">
      <c r="B70" s="34" t="n"/>
    </row>
    <row r="71">
      <c r="B71" s="34" t="n"/>
    </row>
    <row r="72">
      <c r="B72" s="34" t="n"/>
      <c r="E72" s="35" t="n"/>
    </row>
  </sheetData>
  <dataValidations disablePrompts="1" count="2">
    <dataValidation sqref="D5:E5" showDropDown="0" showInputMessage="1" showErrorMessage="1" allowBlank="1" type="list">
      <formula1>"Collection Agency, Collection &amp; Repo Agency, Repo Agency"</formula1>
    </dataValidation>
    <dataValidation sqref="F8:F68" showDropDown="0" showInputMessage="1" showErrorMessage="1" allowBlank="1" type="list">
      <formula1>"Yes, No"</formula1>
    </dataValidation>
  </dataValidations>
  <pageMargins left="0.2362204724409449" right="0.2362204724409449" top="0.7480314960629921" bottom="0.7480314960629921" header="0.3149606299212598" footer="0.3149606299212598"/>
  <pageSetup orientation="portrait" paperSize="9" scale="50" fitToHeight="0"/>
</worksheet>
</file>

<file path=xl/worksheets/sheet2.xml><?xml version="1.0" encoding="utf-8"?>
<worksheet xmlns="http://schemas.openxmlformats.org/spreadsheetml/2006/main">
  <sheetPr>
    <outlinePr summaryBelow="1" summaryRight="1"/>
    <pageSetUpPr/>
  </sheetPr>
  <dimension ref="A1:G22"/>
  <sheetViews>
    <sheetView showGridLines="0" zoomScaleNormal="100" workbookViewId="0">
      <selection activeCell="E9" sqref="E9"/>
    </sheetView>
  </sheetViews>
  <sheetFormatPr baseColWidth="8" defaultColWidth="8.6640625" defaultRowHeight="13.8"/>
  <cols>
    <col width="10" bestFit="1" customWidth="1" style="9" min="1" max="1"/>
    <col width="19.109375" bestFit="1" customWidth="1" style="9" min="2" max="2"/>
    <col width="13.6640625" bestFit="1" customWidth="1" style="9" min="3" max="3"/>
    <col width="14" bestFit="1" customWidth="1" style="9" min="4" max="4"/>
    <col width="10.44140625" bestFit="1" customWidth="1" style="9" min="5" max="5"/>
    <col width="14.44140625" bestFit="1" customWidth="1" style="9" min="6" max="6"/>
    <col width="8.6640625" customWidth="1" style="9" min="7" max="16384"/>
  </cols>
  <sheetData>
    <row r="1">
      <c r="A1" s="3" t="inlineStr">
        <is>
          <t>S. No.</t>
        </is>
      </c>
      <c r="B1" s="4" t="inlineStr">
        <is>
          <t>Particulars</t>
        </is>
      </c>
      <c r="C1" s="3" t="inlineStr">
        <is>
          <t>Key Points</t>
        </is>
      </c>
      <c r="D1" s="3" t="inlineStr">
        <is>
          <t>Weightage</t>
        </is>
      </c>
      <c r="E1" s="3" t="inlineStr">
        <is>
          <t>Actual</t>
        </is>
      </c>
      <c r="F1" s="3" t="inlineStr">
        <is>
          <t>Percentage</t>
        </is>
      </c>
    </row>
    <row r="2">
      <c r="A2" s="5" t="n">
        <v>1</v>
      </c>
      <c r="B2" s="19" t="inlineStr">
        <is>
          <t>Allocation Compliance</t>
        </is>
      </c>
      <c r="C2" s="2">
        <f>COUNTIF(Checklist!$B$7:$B$77,B2)</f>
        <v/>
      </c>
      <c r="D2" s="6" t="n">
        <v>2</v>
      </c>
      <c r="E2" s="6">
        <f>SUMIF(Checklist!$B$7:$B$68,'Score Parameters'!B2,Checklist!$E$7:$E$68)</f>
        <v/>
      </c>
      <c r="F2" s="7">
        <f>IFERROR(E2/D2,"-")</f>
        <v/>
      </c>
      <c r="G2" s="10" t="n"/>
    </row>
    <row r="3">
      <c r="A3" s="5" t="n">
        <v>2</v>
      </c>
      <c r="B3" s="19" t="inlineStr">
        <is>
          <t>Call recording</t>
        </is>
      </c>
      <c r="C3" s="2">
        <f>COUNTIF(Checklist!$B$7:$B$77,B3)</f>
        <v/>
      </c>
      <c r="D3" s="6" t="n">
        <v>8</v>
      </c>
      <c r="E3" s="6">
        <f>SUMIF(Checklist!$B$7:$B$68,'Score Parameters'!B3,Checklist!$E$7:$E$68)</f>
        <v/>
      </c>
      <c r="F3" s="7">
        <f>IFERROR(E3/D3,"-")</f>
        <v/>
      </c>
      <c r="G3" s="10" t="n"/>
    </row>
    <row r="4">
      <c r="A4" s="5" t="n">
        <v>3</v>
      </c>
      <c r="B4" s="19" t="inlineStr">
        <is>
          <t>TCOC</t>
        </is>
      </c>
      <c r="C4" s="2">
        <f>COUNTIF(Checklist!$B$7:$B$77,B4)</f>
        <v/>
      </c>
      <c r="D4" s="6" t="n">
        <v>10</v>
      </c>
      <c r="E4" s="6">
        <f>SUMIF(Checklist!$B$7:$B$68,'Score Parameters'!B4,Checklist!$E$7:$E$68)</f>
        <v/>
      </c>
      <c r="F4" s="7">
        <f>IFERROR(E4/D4,"-")</f>
        <v/>
      </c>
      <c r="G4" s="10" t="n"/>
    </row>
    <row r="5">
      <c r="A5" s="5" t="n">
        <v>4</v>
      </c>
      <c r="B5" s="19" t="inlineStr">
        <is>
          <t>Cash Collection</t>
        </is>
      </c>
      <c r="C5" s="2">
        <f>COUNTIF(Checklist!$B$7:$B$77,B5)</f>
        <v/>
      </c>
      <c r="D5" s="6" t="n">
        <v>14</v>
      </c>
      <c r="E5" s="6">
        <f>SUMIF(Checklist!$B$7:$B$68,'Score Parameters'!B5,Checklist!$E$7:$E$68)</f>
        <v/>
      </c>
      <c r="F5" s="7">
        <f>IFERROR(E5/D5,"-")</f>
        <v/>
      </c>
      <c r="G5" s="10" t="n"/>
    </row>
    <row r="6">
      <c r="A6" s="5" t="n">
        <v>5</v>
      </c>
      <c r="B6" s="19" t="inlineStr">
        <is>
          <t>Data Security</t>
        </is>
      </c>
      <c r="C6" s="2">
        <f>COUNTIF(Checklist!$B$7:$B$77,B6)</f>
        <v/>
      </c>
      <c r="D6" s="6" t="n">
        <v>17</v>
      </c>
      <c r="E6" s="6">
        <f>SUMIF(Checklist!$B$7:$B$68,'Score Parameters'!B6,Checklist!$E$7:$E$68)</f>
        <v/>
      </c>
      <c r="F6" s="7">
        <f>IFERROR(E6/D6,"-")</f>
        <v/>
      </c>
      <c r="G6" s="10" t="n"/>
    </row>
    <row r="7">
      <c r="A7" s="5" t="n">
        <v>6</v>
      </c>
      <c r="B7" s="19" t="inlineStr">
        <is>
          <t>Infra and others</t>
        </is>
      </c>
      <c r="C7" s="2">
        <f>COUNTIF(Checklist!$B$7:$B$77,B7)</f>
        <v/>
      </c>
      <c r="D7" s="6" t="n">
        <v>4</v>
      </c>
      <c r="E7" s="6">
        <f>SUMIF(Checklist!$B$7:$B$68,'Score Parameters'!B7,Checklist!$E$7:$E$68)</f>
        <v/>
      </c>
      <c r="F7" s="7">
        <f>IFERROR(E7/D7,"-")</f>
        <v/>
      </c>
      <c r="G7" s="10" t="n"/>
    </row>
    <row r="8">
      <c r="A8" s="5" t="n">
        <v>7</v>
      </c>
      <c r="B8" s="19" t="inlineStr">
        <is>
          <t>Identity cards</t>
        </is>
      </c>
      <c r="C8" s="2">
        <f>COUNTIF(Checklist!$B$7:$B$77,B8)</f>
        <v/>
      </c>
      <c r="D8" s="6" t="n">
        <v>11</v>
      </c>
      <c r="E8" s="6">
        <f>SUMIF(Checklist!$B$7:$B$68,'Score Parameters'!B8,Checklist!$E$7:$E$68)</f>
        <v/>
      </c>
      <c r="F8" s="7">
        <f>IFERROR(E8/D8,"-")</f>
        <v/>
      </c>
      <c r="G8" s="10" t="n"/>
    </row>
    <row r="9">
      <c r="A9" s="5" t="n">
        <v>8</v>
      </c>
      <c r="B9" s="19" t="inlineStr">
        <is>
          <t>Repossession Process</t>
        </is>
      </c>
      <c r="C9" s="2">
        <f>COUNTIF(Checklist!$B$7:$B$77,B9)</f>
        <v/>
      </c>
      <c r="D9" s="6" t="n">
        <v>15</v>
      </c>
      <c r="E9" s="6">
        <f>SUMIF(Checklist!$B$7:$B$68,'Score Parameters'!B9,Checklist!$E$7:$E$68)</f>
        <v/>
      </c>
      <c r="F9" s="7">
        <f>IFERROR(E9/D9,"-")</f>
        <v/>
      </c>
      <c r="G9" s="10" t="n"/>
    </row>
    <row r="10">
      <c r="A10" s="5" t="n">
        <v>9</v>
      </c>
      <c r="B10" s="19" t="inlineStr">
        <is>
          <t>Record Management</t>
        </is>
      </c>
      <c r="C10" s="2">
        <f>COUNTIF(Checklist!$B$7:$B$77,B10)</f>
        <v/>
      </c>
      <c r="D10" s="6" t="n">
        <v>17</v>
      </c>
      <c r="E10" s="6">
        <f>SUMIF(Checklist!$B$7:$B$68,'Score Parameters'!B10,Checklist!$E$7:$E$68)</f>
        <v/>
      </c>
      <c r="F10" s="7">
        <f>IFERROR(E10/D10,"-")</f>
        <v/>
      </c>
      <c r="G10" s="10" t="n"/>
    </row>
    <row r="11" ht="27.6" customHeight="1">
      <c r="A11" s="5" t="n">
        <v>10</v>
      </c>
      <c r="B11" s="19" t="inlineStr">
        <is>
          <t>Settlement Compliance</t>
        </is>
      </c>
      <c r="C11" s="2">
        <f>COUNTIF(Checklist!$B$7:$B$77,B11)</f>
        <v/>
      </c>
      <c r="D11" s="6" t="n">
        <v>2</v>
      </c>
      <c r="E11" s="6">
        <f>SUMIF(Checklist!$B$7:$B$68,'Score Parameters'!B11,Checklist!$E$7:$E$68)</f>
        <v/>
      </c>
      <c r="F11" s="7">
        <f>IFERROR(E11/D11,"-")</f>
        <v/>
      </c>
      <c r="G11" s="10" t="n"/>
    </row>
    <row r="12">
      <c r="A12" s="5" t="n">
        <v>11</v>
      </c>
      <c r="B12" s="19" t="inlineStr">
        <is>
          <t>Miscellaneous</t>
        </is>
      </c>
      <c r="C12" s="2">
        <f>COUNTIF(Checklist!$B$7:$B$77,B12)</f>
        <v/>
      </c>
      <c r="D12" s="6" t="n">
        <v>0</v>
      </c>
      <c r="E12" s="6">
        <f>SUMIF(Checklist!$B$7:$B$68,'Score Parameters'!B12,Checklist!$E$7:$E$68)</f>
        <v/>
      </c>
      <c r="F12" s="7">
        <f>IFERROR(E12/D12,"-")</f>
        <v/>
      </c>
      <c r="G12" s="10" t="n"/>
    </row>
    <row r="13">
      <c r="A13" s="11" t="n"/>
      <c r="B13" s="3" t="inlineStr">
        <is>
          <t>Total</t>
        </is>
      </c>
      <c r="C13" s="3">
        <f>SUM(C2:C12)</f>
        <v/>
      </c>
      <c r="D13" s="3">
        <f>SUM(D2:D12)</f>
        <v/>
      </c>
      <c r="E13" s="3">
        <f>SUM(E2:E12)</f>
        <v/>
      </c>
      <c r="F13" s="8">
        <f>E13/D13</f>
        <v/>
      </c>
    </row>
    <row r="14">
      <c r="A14" s="3" t="inlineStr">
        <is>
          <t>FINAL RATING</t>
        </is>
      </c>
      <c r="B14" s="40" t="n"/>
      <c r="C14" s="40" t="n"/>
      <c r="D14" s="40" t="n"/>
      <c r="E14" s="41" t="n"/>
      <c r="F14" s="3">
        <f t="array" ref="F14">_xlfn.IFS(F13&gt;=80%,B17,F13&gt;=70%,B18,F13&gt;=60%,B19,F13&gt;=50%,B20,F13&lt;=49%,B21)</f>
        <v/>
      </c>
    </row>
    <row r="15">
      <c r="A15" s="12" t="n"/>
      <c r="B15" s="12" t="n"/>
      <c r="C15" s="12" t="n"/>
      <c r="D15" s="13" t="n"/>
      <c r="E15" s="12" t="n"/>
      <c r="F15" s="12" t="n"/>
    </row>
    <row r="16" hidden="1">
      <c r="A16" s="12" t="n"/>
      <c r="B16" s="3" t="inlineStr">
        <is>
          <t>Rating</t>
        </is>
      </c>
      <c r="C16" s="3" t="inlineStr">
        <is>
          <t>Scoring Segmentation</t>
        </is>
      </c>
      <c r="D16" s="13" t="n"/>
      <c r="E16" s="12" t="n"/>
      <c r="F16" s="12" t="n"/>
    </row>
    <row r="17" hidden="1">
      <c r="A17" s="12" t="n"/>
      <c r="B17" s="14" t="inlineStr">
        <is>
          <t>A</t>
        </is>
      </c>
      <c r="C17" s="1" t="inlineStr">
        <is>
          <t>&gt;=80</t>
        </is>
      </c>
      <c r="D17" s="13" t="n"/>
      <c r="E17" s="12" t="n"/>
      <c r="F17" s="12" t="n"/>
    </row>
    <row r="18" hidden="1">
      <c r="A18" s="12" t="n"/>
      <c r="B18" s="15" t="inlineStr">
        <is>
          <t>B</t>
        </is>
      </c>
      <c r="C18" s="1" t="inlineStr">
        <is>
          <t>&gt;=70 and &lt;=79</t>
        </is>
      </c>
      <c r="D18" s="13" t="n"/>
      <c r="E18" s="12" t="n"/>
      <c r="F18" s="12" t="n"/>
    </row>
    <row r="19" hidden="1">
      <c r="A19" s="12" t="n"/>
      <c r="B19" s="16" t="inlineStr">
        <is>
          <t>C</t>
        </is>
      </c>
      <c r="C19" s="1" t="inlineStr">
        <is>
          <t>&gt;=60 and &lt;=69</t>
        </is>
      </c>
      <c r="D19" s="13" t="n"/>
      <c r="E19" s="12" t="n"/>
      <c r="F19" s="12" t="n"/>
    </row>
    <row r="20" hidden="1">
      <c r="A20" s="12" t="n"/>
      <c r="B20" s="17" t="inlineStr">
        <is>
          <t>D</t>
        </is>
      </c>
      <c r="C20" s="1" t="inlineStr">
        <is>
          <t>&gt;=50 and &lt;=59</t>
        </is>
      </c>
      <c r="D20" s="13" t="n"/>
      <c r="E20" s="12" t="n"/>
      <c r="F20" s="12" t="n"/>
    </row>
    <row r="21" hidden="1">
      <c r="A21" s="12" t="n"/>
      <c r="B21" s="18" t="inlineStr">
        <is>
          <t>E</t>
        </is>
      </c>
      <c r="C21" s="1" t="inlineStr">
        <is>
          <t>&lt;=49</t>
        </is>
      </c>
      <c r="D21" s="13" t="n"/>
      <c r="E21" s="12" t="n"/>
      <c r="F21" s="12" t="n"/>
    </row>
    <row r="22">
      <c r="A22" s="12" t="n"/>
      <c r="B22" s="12" t="n"/>
      <c r="C22" s="12" t="n"/>
      <c r="D22" s="13" t="n"/>
      <c r="E22" s="12" t="n"/>
      <c r="F22" s="12" t="n"/>
    </row>
  </sheetData>
  <mergeCells count="1">
    <mergeCell ref="A14:E14"/>
  </mergeCells>
  <conditionalFormatting sqref="B17:B21">
    <cfRule type="colorScale" priority="1">
      <colorScale>
        <cfvo type="min"/>
        <cfvo type="percentile" val="50"/>
        <cfvo type="max"/>
        <color rgb="FFF8696B"/>
        <color rgb="FFFFEB84"/>
        <color rgb="FF63BE7B"/>
      </colorScale>
    </cfRule>
  </conditionalFormatting>
  <conditionalFormatting sqref="F13">
    <cfRule type="cellIs" priority="2" operator="greaterThan" dxfId="2">
      <formula>0.8</formula>
    </cfRule>
    <cfRule type="cellIs" priority="3" operator="between" dxfId="1">
      <formula>0.6</formula>
      <formula>0.8</formula>
    </cfRule>
    <cfRule type="cellIs" priority="4" operator="between" dxfId="0">
      <formula>0</formula>
      <formula>0.5999</formula>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view="pageLayout" zoomScaleNormal="100" workbookViewId="0">
      <selection activeCell="A1" sqref="A1"/>
    </sheetView>
  </sheetViews>
  <sheetFormatPr baseColWidth="8" defaultColWidth="9.109375" defaultRowHeight="13.8"/>
  <cols>
    <col width="100.6640625" customWidth="1" style="20" min="1" max="1"/>
    <col width="9.109375" customWidth="1" style="20" min="2" max="16384"/>
  </cols>
  <sheetData>
    <row r="1">
      <c r="A1" s="21" t="inlineStr">
        <is>
          <t>Observation</t>
        </is>
      </c>
    </row>
  </sheetData>
  <pageMargins left="0.25" right="0.25"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Himanshu16.Sharma@tatacapital.com</dc:creator>
  <dcterms:created xsi:type="dcterms:W3CDTF">2023-04-03T05:27:31Z</dcterms:created>
  <dcterms:modified xsi:type="dcterms:W3CDTF">2026-06-20T12:47:12Z</dcterms:modified>
  <cp:lastModifiedBy>Rachit Goyal</cp:lastModifiedBy>
  <cp:lastPrinted>2026-04-23T07:21:31Z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0x010100B89E9B38EF334341B754D8F8D6A719DA</vt:lpwstr>
  </property>
</Properties>
</file>