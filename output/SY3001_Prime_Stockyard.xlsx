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Repo Checklist" sheetId="1" state="visible" r:id="rId1"/>
    <sheet name="Score Parameters" sheetId="2" state="visible" r:id="rId2"/>
  </sheets>
  <definedNames>
    <definedName name="_xlnm.Print_Titles" localSheetId="0">'Repo Checklist'!$7:$7</definedName>
  </definedNames>
  <calcPr calcId="191029" fullCalcOnLoad="1"/>
</workbook>
</file>

<file path=xl/styles.xml><?xml version="1.0" encoding="utf-8"?>
<styleSheet xmlns="http://schemas.openxmlformats.org/spreadsheetml/2006/main">
  <numFmts count="0"/>
  <fonts count="12">
    <font>
      <name val="Arial"/>
      <family val="2"/>
      <color theme="1"/>
      <sz val="8"/>
    </font>
    <font>
      <name val="Arial"/>
      <family val="2"/>
      <color theme="1"/>
      <sz val="8"/>
    </font>
    <font>
      <name val="Arial"/>
      <family val="2"/>
      <sz val="10"/>
    </font>
    <font>
      <name val="Calibri"/>
      <family val="2"/>
      <b val="1"/>
      <color theme="0"/>
      <sz val="10"/>
      <scheme val="minor"/>
    </font>
    <font>
      <name val="Calibri"/>
      <family val="2"/>
      <color theme="1"/>
      <sz val="10"/>
      <scheme val="minor"/>
    </font>
    <font>
      <name val="Calibri"/>
      <family val="2"/>
      <color theme="3" tint="-0.499984740745262"/>
      <sz val="10"/>
      <scheme val="minor"/>
    </font>
    <font>
      <name val="Calibri"/>
      <family val="2"/>
      <sz val="10"/>
      <scheme val="minor"/>
    </font>
    <font>
      <name val="Calibri"/>
      <family val="2"/>
      <b val="1"/>
      <color theme="3" tint="-0.499984740745262"/>
      <sz val="10"/>
      <scheme val="minor"/>
    </font>
    <font>
      <name val="Calibri"/>
      <family val="2"/>
      <b val="1"/>
      <color theme="0"/>
      <sz val="9"/>
      <scheme val="minor"/>
    </font>
    <font>
      <name val="Calibri"/>
      <family val="2"/>
      <color theme="1"/>
      <sz val="9"/>
      <scheme val="minor"/>
    </font>
    <font>
      <name val="Calibri"/>
      <family val="2"/>
      <color theme="1"/>
      <sz val="11"/>
      <scheme val="minor"/>
    </font>
    <font>
      <name val="Calibri"/>
      <family val="2"/>
      <b val="1"/>
      <color theme="1"/>
      <sz val="9"/>
      <scheme val="minor"/>
    </font>
  </fonts>
  <fills count="10">
    <fill>
      <patternFill/>
    </fill>
    <fill>
      <patternFill patternType="gray125"/>
    </fill>
    <fill>
      <patternFill patternType="solid">
        <fgColor theme="4" tint="0.7999816888943144"/>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rgb="FFFB7D7D"/>
        <bgColor indexed="64"/>
      </patternFill>
    </fill>
    <fill>
      <patternFill patternType="solid">
        <fgColor rgb="FFFF111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1" fillId="0" borderId="0"/>
    <xf numFmtId="9" fontId="1" fillId="0" borderId="0"/>
    <xf numFmtId="0" fontId="2" fillId="0" borderId="0"/>
    <xf numFmtId="0" fontId="10" fillId="0" borderId="0"/>
  </cellStyleXfs>
  <cellXfs count="40">
    <xf numFmtId="0" fontId="0" fillId="0" borderId="0" pivotButton="0" quotePrefix="0" xfId="0"/>
    <xf numFmtId="0" fontId="3" fillId="4" borderId="1" applyAlignment="1" pivotButton="0" quotePrefix="0" xfId="0">
      <alignment horizontal="center" vertical="center"/>
    </xf>
    <xf numFmtId="0" fontId="4" fillId="0" borderId="1" applyAlignment="1" pivotButton="0" quotePrefix="0" xfId="0">
      <alignment horizontal="center" vertical="center" wrapText="1"/>
    </xf>
    <xf numFmtId="1" fontId="6" fillId="3" borderId="1" applyAlignment="1" pivotButton="0" quotePrefix="0" xfId="0">
      <alignment horizontal="center" vertical="center" wrapText="1"/>
    </xf>
    <xf numFmtId="0" fontId="3" fillId="4" borderId="2" applyAlignment="1" pivotButton="0" quotePrefix="0" xfId="0">
      <alignment horizontal="left" vertical="center"/>
    </xf>
    <xf numFmtId="0" fontId="3" fillId="4" borderId="3" applyAlignment="1" pivotButton="0" quotePrefix="0" xfId="0">
      <alignment horizontal="left" vertical="center"/>
    </xf>
    <xf numFmtId="0" fontId="4" fillId="0" borderId="0" applyAlignment="1" pivotButton="0" quotePrefix="0" xfId="0">
      <alignment horizontal="left" vertical="center" wrapText="1"/>
    </xf>
    <xf numFmtId="0" fontId="4" fillId="0" borderId="1" applyAlignment="1" pivotButton="0" quotePrefix="0" xfId="0">
      <alignment horizontal="left" vertical="center" wrapText="1"/>
    </xf>
    <xf numFmtId="0" fontId="3" fillId="4" borderId="1" applyAlignment="1" pivotButton="0" quotePrefix="0" xfId="0">
      <alignment horizontal="left" vertical="center"/>
    </xf>
    <xf numFmtId="0" fontId="6" fillId="5" borderId="4" applyAlignment="1" pivotButton="0" quotePrefix="0" xfId="0">
      <alignment horizontal="left" vertical="center"/>
    </xf>
    <xf numFmtId="0" fontId="4" fillId="0" borderId="5" applyAlignment="1" pivotButton="0" quotePrefix="0" xfId="0">
      <alignment horizontal="left" vertical="center"/>
    </xf>
    <xf numFmtId="0" fontId="6" fillId="6" borderId="4" applyAlignment="1" pivotButton="0" quotePrefix="0" xfId="0">
      <alignment horizontal="left" vertical="center"/>
    </xf>
    <xf numFmtId="0" fontId="6" fillId="7" borderId="4" applyAlignment="1" pivotButton="0" quotePrefix="0" xfId="0">
      <alignment horizontal="left" vertical="center"/>
    </xf>
    <xf numFmtId="0" fontId="6" fillId="8" borderId="4" applyAlignment="1" pivotButton="0" quotePrefix="0" xfId="0">
      <alignment horizontal="left" vertical="center"/>
    </xf>
    <xf numFmtId="0" fontId="6" fillId="9" borderId="6" applyAlignment="1" pivotButton="0" quotePrefix="0" xfId="0">
      <alignment horizontal="left" vertical="center"/>
    </xf>
    <xf numFmtId="0" fontId="4" fillId="0" borderId="7" applyAlignment="1" pivotButton="0" quotePrefix="0" xfId="0">
      <alignment horizontal="left" vertical="center"/>
    </xf>
    <xf numFmtId="0" fontId="5" fillId="0" borderId="1" applyAlignment="1" pivotButton="0" quotePrefix="0" xfId="0">
      <alignment horizontal="left" vertical="center" wrapText="1"/>
    </xf>
    <xf numFmtId="9" fontId="7" fillId="0" borderId="1" applyAlignment="1" pivotButton="0" quotePrefix="0" xfId="1">
      <alignment horizontal="center" vertical="center" wrapText="1"/>
    </xf>
    <xf numFmtId="9" fontId="7" fillId="2" borderId="1" applyAlignment="1" pivotButton="0" quotePrefix="0" xfId="1">
      <alignment horizontal="center" vertical="center" wrapText="1"/>
    </xf>
    <xf numFmtId="0" fontId="5" fillId="0" borderId="1" applyAlignment="1" pivotButton="0" quotePrefix="0" xfId="0">
      <alignment horizontal="center" vertical="center" wrapText="1"/>
    </xf>
    <xf numFmtId="1" fontId="3" fillId="4" borderId="1" applyAlignment="1" pivotButton="0" quotePrefix="0" xfId="0">
      <alignment horizontal="center" vertical="center"/>
    </xf>
    <xf numFmtId="0" fontId="8" fillId="4" borderId="1" applyAlignment="1" pivotButton="0" quotePrefix="0" xfId="0">
      <alignment horizontal="left" vertical="top" wrapText="1"/>
    </xf>
    <xf numFmtId="0" fontId="9" fillId="0" borderId="1" applyAlignment="1" pivotButton="0" quotePrefix="0" xfId="0">
      <alignment horizontal="left" vertical="top"/>
    </xf>
    <xf numFmtId="0" fontId="8" fillId="4" borderId="1" applyAlignment="1" pivotButton="0" quotePrefix="0" xfId="0">
      <alignment horizontal="left" vertical="top"/>
    </xf>
    <xf numFmtId="0" fontId="8" fillId="4" borderId="1" applyAlignment="1" pivotButton="0" quotePrefix="0" xfId="0">
      <alignment horizontal="center"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3" borderId="1" applyAlignment="1" pivotButton="0" quotePrefix="0" xfId="0">
      <alignment horizontal="left" vertical="top" wrapText="1"/>
    </xf>
    <xf numFmtId="1" fontId="9" fillId="3"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0" applyAlignment="1" pivotButton="0" quotePrefix="0" xfId="0">
      <alignment horizontal="left"/>
    </xf>
    <xf numFmtId="14" fontId="9" fillId="0" borderId="0" applyAlignment="1" pivotButton="0" quotePrefix="0" xfId="0">
      <alignment horizontal="left"/>
    </xf>
    <xf numFmtId="0" fontId="9" fillId="3" borderId="0" applyAlignment="1" pivotButton="0" quotePrefix="0" xfId="0">
      <alignment horizontal="left"/>
    </xf>
    <xf numFmtId="0" fontId="9" fillId="0" borderId="0" applyAlignment="1" pivotButton="0" quotePrefix="0" xfId="0">
      <alignment horizontal="left" wrapText="1"/>
    </xf>
    <xf numFmtId="0" fontId="3" fillId="4" borderId="1" applyAlignment="1" pivotButton="0" quotePrefix="0" xfId="0">
      <alignment horizontal="center" vertical="center"/>
    </xf>
    <xf numFmtId="0" fontId="11" fillId="3" borderId="1" applyAlignment="1" pivotButton="0" quotePrefix="0" xfId="0">
      <alignment horizontal="center" vertical="top" wrapText="1"/>
    </xf>
    <xf numFmtId="0" fontId="11" fillId="0" borderId="1" applyAlignment="1" pivotButton="0" quotePrefix="0" xfId="0">
      <alignment horizontal="left" vertical="top" wrapText="1"/>
    </xf>
    <xf numFmtId="0" fontId="11" fillId="0" borderId="1" applyAlignment="1" pivotButton="0" quotePrefix="0" xfId="0">
      <alignment horizontal="left" vertical="top"/>
    </xf>
    <xf numFmtId="0" fontId="0" fillId="0" borderId="10" pivotButton="0" quotePrefix="0" xfId="0"/>
    <xf numFmtId="0" fontId="0" fillId="0" borderId="11" pivotButton="0" quotePrefix="0" xfId="0"/>
  </cellXfs>
  <cellStyles count="4">
    <cellStyle name="Normal" xfId="0" builtinId="0"/>
    <cellStyle name="Percent" xfId="1" builtinId="5"/>
    <cellStyle name="Normal 2" xfId="2"/>
    <cellStyle name="Normal 3" xfId="3"/>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2:J39"/>
  <sheetViews>
    <sheetView showGridLines="0" tabSelected="1" workbookViewId="0">
      <selection activeCell="C5" sqref="C5"/>
    </sheetView>
  </sheetViews>
  <sheetFormatPr baseColWidth="8" defaultColWidth="9.28515625" defaultRowHeight="12"/>
  <cols>
    <col width="6.140625" bestFit="1" customWidth="1" style="30" min="1" max="1"/>
    <col width="20.140625" bestFit="1" customWidth="1" style="30" min="2" max="2"/>
    <col width="25" bestFit="1" customWidth="1" style="30" min="3" max="3"/>
    <col width="49.85546875" customWidth="1" style="33" min="4" max="4"/>
    <col hidden="1" width="16.85546875" customWidth="1" style="30" min="5" max="5"/>
    <col width="21.7109375" bestFit="1" customWidth="1" style="30" min="6" max="6"/>
    <col width="35.28515625" customWidth="1" style="30" min="7" max="7"/>
    <col width="32.85546875" customWidth="1" style="30" min="8" max="8"/>
    <col width="13.7109375" bestFit="1" customWidth="1" style="30" min="9" max="9"/>
    <col width="16" bestFit="1" customWidth="1" style="30" min="10" max="10"/>
    <col width="21.28515625" customWidth="1" style="30" min="11" max="11"/>
    <col width="9.28515625" customWidth="1" style="30" min="12" max="16384"/>
  </cols>
  <sheetData>
    <row r="2" ht="39.9" customHeight="1">
      <c r="C2" s="21" t="inlineStr">
        <is>
          <t>Agency Code</t>
        </is>
      </c>
      <c r="D2" s="22" t="inlineStr">
        <is>
          <t>SY3001</t>
        </is>
      </c>
      <c r="E2" s="22" t="n"/>
      <c r="F2" s="21" t="inlineStr">
        <is>
          <t>Auditor Name</t>
        </is>
      </c>
      <c r="G2" s="22" t="inlineStr">
        <is>
          <t>Amit</t>
        </is>
      </c>
    </row>
    <row r="3" ht="39.9" customHeight="1">
      <c r="C3" s="21" t="inlineStr">
        <is>
          <t>Agency Name</t>
        </is>
      </c>
      <c r="D3" s="22" t="inlineStr">
        <is>
          <t>Prime Stockyard</t>
        </is>
      </c>
      <c r="E3" s="22" t="n"/>
      <c r="F3" s="21" t="inlineStr">
        <is>
          <t>Audit Date</t>
        </is>
      </c>
      <c r="G3" s="22" t="inlineStr">
        <is>
          <t>18/06/2026</t>
        </is>
      </c>
      <c r="H3" s="31" t="n"/>
    </row>
    <row r="4" ht="39.9" customHeight="1">
      <c r="C4" s="21" t="inlineStr">
        <is>
          <t>Agency Address</t>
        </is>
      </c>
      <c r="D4" s="22" t="inlineStr">
        <is>
          <t>Xyz</t>
        </is>
      </c>
      <c r="E4" s="22" t="n"/>
      <c r="F4" s="21" t="inlineStr">
        <is>
          <t>Collection Manager</t>
        </is>
      </c>
      <c r="G4" s="22" t="inlineStr">
        <is>
          <t>Pradeep</t>
        </is>
      </c>
    </row>
    <row r="5" ht="39.9" customHeight="1">
      <c r="C5" s="21" t="inlineStr">
        <is>
          <t>Type of agency</t>
        </is>
      </c>
      <c r="D5" s="22" t="inlineStr">
        <is>
          <t>Collection &amp; Repo Agency</t>
        </is>
      </c>
      <c r="E5" s="22" t="n"/>
      <c r="F5" s="21" t="inlineStr">
        <is>
          <t>Agency Manager</t>
        </is>
      </c>
      <c r="G5" s="22" t="inlineStr">
        <is>
          <t>Pradeep</t>
        </is>
      </c>
    </row>
    <row r="7" ht="48" customFormat="1" customHeight="1" s="32">
      <c r="A7" s="24" t="inlineStr">
        <is>
          <t>Sr.No.</t>
        </is>
      </c>
      <c r="B7" s="21" t="inlineStr">
        <is>
          <t>Rating Category</t>
        </is>
      </c>
      <c r="C7" s="21" t="inlineStr">
        <is>
          <t>Short Segmentation</t>
        </is>
      </c>
      <c r="D7" s="21" t="inlineStr">
        <is>
          <t>Particular</t>
        </is>
      </c>
      <c r="E7" s="21" t="inlineStr">
        <is>
          <t>Final Score</t>
        </is>
      </c>
      <c r="F7" s="24" t="inlineStr">
        <is>
          <t>Compliance status
 (Yes / No)</t>
        </is>
      </c>
      <c r="G7" s="21" t="inlineStr">
        <is>
          <t>Observation</t>
        </is>
      </c>
      <c r="H7" s="23" t="inlineStr">
        <is>
          <t>Closing Meeting Comments</t>
        </is>
      </c>
      <c r="I7" s="24" t="inlineStr">
        <is>
          <t>Pending Status
(Open/ Closed)</t>
        </is>
      </c>
      <c r="J7" s="24" t="inlineStr">
        <is>
          <t>Timelines for 
Non-Closure Point</t>
        </is>
      </c>
    </row>
    <row r="8" ht="90" customHeight="1">
      <c r="A8" s="25" t="n">
        <v>1</v>
      </c>
      <c r="B8" s="26" t="inlineStr">
        <is>
          <t>Allocation Compliance</t>
        </is>
      </c>
      <c r="C8" s="26" t="inlineStr">
        <is>
          <t>Not All cases allocated to agency CREs</t>
        </is>
      </c>
      <c r="D8" s="27" t="inlineStr">
        <is>
          <t>Verify whether all the cases that were repossessed were indeed those allocated to the repossession agency. (Open allocation needs to be highlighted)</t>
        </is>
      </c>
      <c r="E8" s="28">
        <f>IF(F8="Yes",4,"0")</f>
        <v/>
      </c>
      <c r="F8" s="29" t="inlineStr">
        <is>
          <t>Yes</t>
        </is>
      </c>
      <c r="G8" s="26" t="inlineStr">
        <is>
          <t>Observation recorded for checkpoint 1 during audit review.</t>
        </is>
      </c>
      <c r="H8" s="22" t="inlineStr">
        <is>
          <t>None</t>
        </is>
      </c>
      <c r="I8" s="22" t="inlineStr"/>
      <c r="J8" s="22" t="inlineStr"/>
    </row>
    <row r="9" ht="90" customHeight="1">
      <c r="A9" s="25" t="n">
        <v>2</v>
      </c>
      <c r="B9" s="26" t="inlineStr">
        <is>
          <t>TCOC</t>
        </is>
      </c>
      <c r="C9" s="26" t="inlineStr">
        <is>
          <t>TCOC Guidelines/Other communication not available</t>
        </is>
      </c>
      <c r="D9" s="27" t="inlineStr">
        <is>
          <t>Whether the Repo Do's &amp; Don'ts  poster displayed/Code of Conduct posters/ any other communication displayed in the offices ?</t>
        </is>
      </c>
      <c r="E9" s="28">
        <f>IF(F9="Yes",3,"0")</f>
        <v/>
      </c>
      <c r="F9" s="29" t="inlineStr">
        <is>
          <t>Yes</t>
        </is>
      </c>
      <c r="G9" s="26" t="inlineStr">
        <is>
          <t>Observation recorded for checkpoint 2 during audit review.</t>
        </is>
      </c>
      <c r="H9" s="22" t="inlineStr">
        <is>
          <t>None</t>
        </is>
      </c>
      <c r="I9" s="22" t="inlineStr"/>
      <c r="J9" s="22" t="inlineStr"/>
    </row>
    <row r="10" ht="90" customHeight="1">
      <c r="A10" s="25" t="n">
        <v>3</v>
      </c>
      <c r="B10" s="26" t="inlineStr">
        <is>
          <t>TCOC</t>
        </is>
      </c>
      <c r="C10" s="26" t="inlineStr">
        <is>
          <t>TCOC training not given by TCL Collection Manager</t>
        </is>
      </c>
      <c r="D10" s="27" t="inlineStr">
        <is>
          <t>Whether all agents are trained on the code of conduct &amp; repossession and are well dressed while on field ? (Need to check the acknowledgement of the training given by CM) 
Authorisation Letter - Signed by Collection Manager must required with CREs /Owner details?</t>
        </is>
      </c>
      <c r="E10" s="28">
        <f>IF(F10="Yes",3,"0")</f>
        <v/>
      </c>
      <c r="F10" s="29" t="inlineStr">
        <is>
          <t>Yes</t>
        </is>
      </c>
      <c r="G10" s="26" t="inlineStr">
        <is>
          <t>Observation recorded for checkpoint 3 during audit review.</t>
        </is>
      </c>
      <c r="H10" s="22" t="inlineStr">
        <is>
          <t>None</t>
        </is>
      </c>
      <c r="I10" s="22" t="inlineStr"/>
      <c r="J10" s="22" t="inlineStr"/>
    </row>
    <row r="11" ht="90" customHeight="1">
      <c r="A11" s="25" t="n">
        <v>4</v>
      </c>
      <c r="B11" s="26" t="inlineStr">
        <is>
          <t>Data Security</t>
        </is>
      </c>
      <c r="C11" s="26" t="inlineStr">
        <is>
          <t>Data files were not password protected</t>
        </is>
      </c>
      <c r="D11" s="27" t="inlineStr">
        <is>
          <t>Whether data shared through mail are password protected / appropriate security measures are adopted by agency ?</t>
        </is>
      </c>
      <c r="E11" s="28">
        <f>IF(F11="Yes",3,"0")</f>
        <v/>
      </c>
      <c r="F11" s="29" t="inlineStr">
        <is>
          <t>Yes</t>
        </is>
      </c>
      <c r="G11" s="26" t="inlineStr">
        <is>
          <t>Observation recorded for checkpoint 4 during audit review.</t>
        </is>
      </c>
      <c r="H11" s="22" t="inlineStr">
        <is>
          <t>None</t>
        </is>
      </c>
      <c r="I11" s="22" t="inlineStr"/>
      <c r="J11" s="22" t="inlineStr"/>
    </row>
    <row r="12" ht="90" customHeight="1">
      <c r="A12" s="25" t="n">
        <v>5</v>
      </c>
      <c r="B12" s="26" t="inlineStr">
        <is>
          <t>Data Security</t>
        </is>
      </c>
      <c r="C12" s="26" t="inlineStr">
        <is>
          <t>Data is being shared on unregistered email ids</t>
        </is>
      </c>
      <c r="D12" s="27" t="inlineStr">
        <is>
          <t>Whether any mail containing financial institution's data sent to third party / unregistered mail Ids / unauthorized sharing? Customer Call/Chat on unauthorized channels like What's ap/Facebook or any other unauthorized mode of communication</t>
        </is>
      </c>
      <c r="E12" s="28">
        <f>IF(F12="Yes",3,"0")</f>
        <v/>
      </c>
      <c r="F12" s="29" t="inlineStr">
        <is>
          <t>Yes</t>
        </is>
      </c>
      <c r="G12" s="26" t="inlineStr">
        <is>
          <t>Observation recorded for checkpoint 5 during audit review.</t>
        </is>
      </c>
      <c r="H12" s="22" t="inlineStr">
        <is>
          <t>None</t>
        </is>
      </c>
      <c r="I12" s="22" t="inlineStr"/>
      <c r="J12" s="22" t="inlineStr"/>
    </row>
    <row r="13" ht="90" customHeight="1">
      <c r="A13" s="25" t="n">
        <v>6</v>
      </c>
      <c r="B13" s="26" t="inlineStr">
        <is>
          <t>Data Security</t>
        </is>
      </c>
      <c r="C13" s="26" t="inlineStr">
        <is>
          <t>Agency system has no restrictions hence data may fall into wrong hands</t>
        </is>
      </c>
      <c r="D13" s="27" t="inlineStr">
        <is>
          <t>Whether agency has restricted access of Desktop / Laptops/ Emails are enabled? Check whether agency do not have access of USB/Floppy/CD drives/Google Drive/Cloud storage/share drive/WhatsApp/any data sharing application for data transfer?</t>
        </is>
      </c>
      <c r="E13" s="28">
        <f>IF(F13="Yes",3,"0")</f>
        <v/>
      </c>
      <c r="F13" s="29" t="inlineStr">
        <is>
          <t>Yes</t>
        </is>
      </c>
      <c r="G13" s="26" t="inlineStr">
        <is>
          <t>Observation recorded for checkpoint 6 during audit review.</t>
        </is>
      </c>
      <c r="H13" s="22" t="inlineStr">
        <is>
          <t>None</t>
        </is>
      </c>
      <c r="I13" s="22" t="inlineStr"/>
      <c r="J13" s="22" t="inlineStr"/>
    </row>
    <row r="14" ht="90" customHeight="1">
      <c r="A14" s="25" t="n">
        <v>7</v>
      </c>
      <c r="B14" s="26" t="inlineStr">
        <is>
          <t>Data Security</t>
        </is>
      </c>
      <c r="C14" s="26" t="inlineStr">
        <is>
          <t>No exclusive system provided to TCL portfolio</t>
        </is>
      </c>
      <c r="D14" s="27" t="inlineStr">
        <is>
          <t>Whether separate/exclusive system/Email ID is provided?</t>
        </is>
      </c>
      <c r="E14" s="28">
        <f>IF(F14="Yes",3,"0")</f>
        <v/>
      </c>
      <c r="F14" s="35" t="inlineStr">
        <is>
          <t>No</t>
        </is>
      </c>
      <c r="G14" s="36" t="inlineStr">
        <is>
          <t>Observation recorded for checkpoint 7 during audit review.</t>
        </is>
      </c>
      <c r="H14" s="37" t="inlineStr">
        <is>
          <t>Corrective action required</t>
        </is>
      </c>
      <c r="I14" s="37" t="inlineStr"/>
      <c r="J14" s="37" t="inlineStr"/>
    </row>
    <row r="15" ht="90" customHeight="1">
      <c r="A15" s="25" t="n">
        <v>8</v>
      </c>
      <c r="B15" s="26" t="inlineStr">
        <is>
          <t>Data Security</t>
        </is>
      </c>
      <c r="C15" s="26" t="inlineStr">
        <is>
          <t>Data purging is not being done – Old allocation files were available in agency's system</t>
        </is>
      </c>
      <c r="D15" s="27" t="inlineStr">
        <is>
          <t>Whether agency has purged data as per policy?</t>
        </is>
      </c>
      <c r="E15" s="28">
        <f>IF(F15="Yes",3,"0")</f>
        <v/>
      </c>
      <c r="F15" s="29" t="inlineStr">
        <is>
          <t>Yes</t>
        </is>
      </c>
      <c r="G15" s="26" t="inlineStr">
        <is>
          <t>Observation recorded for checkpoint 8 during audit review.</t>
        </is>
      </c>
      <c r="H15" s="22" t="inlineStr">
        <is>
          <t>None</t>
        </is>
      </c>
      <c r="I15" s="22" t="inlineStr"/>
      <c r="J15" s="22" t="inlineStr"/>
    </row>
    <row r="16" ht="90" customHeight="1">
      <c r="A16" s="25" t="n">
        <v>9</v>
      </c>
      <c r="B16" s="26" t="inlineStr">
        <is>
          <t>Infra and others</t>
        </is>
      </c>
      <c r="C16" s="26" t="inlineStr">
        <is>
          <t>Not cooperated by agency during audit</t>
        </is>
      </c>
      <c r="D16" s="27" t="inlineStr">
        <is>
          <t>Whether full cooperation/complete &amp; timely data was received from agency for completing audit?</t>
        </is>
      </c>
      <c r="E16" s="28">
        <f>IF(F16="Yes",3,"0")</f>
        <v/>
      </c>
      <c r="F16" s="29" t="inlineStr">
        <is>
          <t>Yes</t>
        </is>
      </c>
      <c r="G16" s="26" t="inlineStr">
        <is>
          <t>Observation recorded for checkpoint 9 during audit review.</t>
        </is>
      </c>
      <c r="H16" s="22" t="inlineStr">
        <is>
          <t>None</t>
        </is>
      </c>
      <c r="I16" s="22" t="inlineStr"/>
      <c r="J16" s="22" t="inlineStr"/>
    </row>
    <row r="17" ht="90" customHeight="1">
      <c r="A17" s="25" t="n">
        <v>10</v>
      </c>
      <c r="B17" s="26" t="inlineStr">
        <is>
          <t>Infra and others</t>
        </is>
      </c>
      <c r="C17" s="26" t="inlineStr">
        <is>
          <t>Vendor code not created</t>
        </is>
      </c>
      <c r="D17" s="27" t="inlineStr">
        <is>
          <t xml:space="preserve">Whether repossession cases given to the Agency Post Vendor Code Creation only? </t>
        </is>
      </c>
      <c r="E17" s="28">
        <f>IF(F17="Yes",3,"0")</f>
        <v/>
      </c>
      <c r="F17" s="29" t="inlineStr">
        <is>
          <t>Yes</t>
        </is>
      </c>
      <c r="G17" s="26" t="inlineStr">
        <is>
          <t>Observation recorded for checkpoint 10 during audit review.</t>
        </is>
      </c>
      <c r="H17" s="22" t="inlineStr">
        <is>
          <t>None</t>
        </is>
      </c>
      <c r="I17" s="22" t="inlineStr"/>
      <c r="J17" s="22" t="inlineStr"/>
    </row>
    <row r="18" ht="90" customHeight="1">
      <c r="A18" s="25" t="n">
        <v>11</v>
      </c>
      <c r="B18" s="26" t="inlineStr">
        <is>
          <t>Infra and others</t>
        </is>
      </c>
      <c r="C18" s="26" t="inlineStr">
        <is>
          <t>Current address is not updated to TCL</t>
        </is>
      </c>
      <c r="D18" s="27" t="inlineStr">
        <is>
          <t>Whether agency has updated address &amp; other details in company records</t>
        </is>
      </c>
      <c r="E18" s="28">
        <f>IF(F18="Yes",3,"0")</f>
        <v/>
      </c>
      <c r="F18" s="35" t="inlineStr">
        <is>
          <t>NA</t>
        </is>
      </c>
      <c r="G18" s="36" t="inlineStr">
        <is>
          <t>Observation recorded for checkpoint 11 during audit review.</t>
        </is>
      </c>
      <c r="H18" s="37" t="inlineStr">
        <is>
          <t>Not Applicable</t>
        </is>
      </c>
      <c r="I18" s="37" t="inlineStr"/>
      <c r="J18" s="37" t="inlineStr"/>
    </row>
    <row r="19" ht="90" customHeight="1">
      <c r="A19" s="25" t="n">
        <v>12</v>
      </c>
      <c r="B19" s="26" t="inlineStr">
        <is>
          <t>Infra and others</t>
        </is>
      </c>
      <c r="C19" s="26" t="inlineStr">
        <is>
          <t>Tata capital's name being used in agency office</t>
        </is>
      </c>
      <c r="D19" s="27" t="inlineStr">
        <is>
          <t>Has the agency made any reference to company's name on the his's name board &amp; e-mail ?</t>
        </is>
      </c>
      <c r="E19" s="28">
        <f>IF(F19="Yes",3,"0")</f>
        <v/>
      </c>
      <c r="F19" s="29" t="inlineStr">
        <is>
          <t>Yes</t>
        </is>
      </c>
      <c r="G19" s="26" t="inlineStr">
        <is>
          <t>Observation recorded for checkpoint 12 during audit review.</t>
        </is>
      </c>
      <c r="H19" s="22" t="inlineStr">
        <is>
          <t>None</t>
        </is>
      </c>
      <c r="I19" s="22" t="inlineStr"/>
      <c r="J19" s="22" t="inlineStr"/>
    </row>
    <row r="20" ht="90" customHeight="1">
      <c r="A20" s="25" t="n">
        <v>13</v>
      </c>
      <c r="B20" s="26" t="inlineStr">
        <is>
          <t>Repossession Process</t>
        </is>
      </c>
      <c r="C20" s="26" t="inlineStr">
        <is>
          <t>Expired repo kit used/NCM Approval not taken before repossession</t>
        </is>
      </c>
      <c r="D20" s="27" t="inlineStr">
        <is>
          <t>Whether agency has returned all unused repo kits within 5 days of expiry?
Whether NCM approval taken before initiating repossession on email/System?</t>
        </is>
      </c>
      <c r="E20" s="28">
        <f>IF(F20="Yes",5,"0")</f>
        <v/>
      </c>
      <c r="F20" s="29" t="inlineStr">
        <is>
          <t>Yes</t>
        </is>
      </c>
      <c r="G20" s="26" t="inlineStr">
        <is>
          <t>Observation recorded for checkpoint 13 during audit review.</t>
        </is>
      </c>
      <c r="H20" s="22" t="inlineStr">
        <is>
          <t>None</t>
        </is>
      </c>
      <c r="I20" s="22" t="inlineStr"/>
      <c r="J20" s="22" t="inlineStr"/>
    </row>
    <row r="21" ht="90" customHeight="1">
      <c r="A21" s="25" t="n">
        <v>14</v>
      </c>
      <c r="B21" s="26" t="inlineStr">
        <is>
          <t>Repossession Process</t>
        </is>
      </c>
      <c r="C21" s="26" t="inlineStr">
        <is>
          <t>Indemnity bond and newspaper publication not issued after repo kit loss</t>
        </is>
      </c>
      <c r="D21" s="27" t="inlineStr">
        <is>
          <t>Whether FIR, indemnity bond on stamp paper &amp; Newspaper cut-out of published Notice for Loss / theft of repo kit is submitted by Agency as per format in case of lost/stolen repo kit &amp; updated in repo kit tracker ?</t>
        </is>
      </c>
      <c r="E21" s="28">
        <f>IF(F21="Yes",5,"0")</f>
        <v/>
      </c>
      <c r="F21" s="35" t="inlineStr">
        <is>
          <t>No</t>
        </is>
      </c>
      <c r="G21" s="36" t="inlineStr">
        <is>
          <t>Observation recorded for checkpoint 14 during audit review.</t>
        </is>
      </c>
      <c r="H21" s="37" t="inlineStr">
        <is>
          <t>Corrective action required</t>
        </is>
      </c>
      <c r="I21" s="37" t="inlineStr"/>
      <c r="J21" s="37" t="inlineStr"/>
    </row>
    <row r="22" ht="90" customHeight="1">
      <c r="A22" s="25" t="n">
        <v>15</v>
      </c>
      <c r="B22" s="26" t="inlineStr">
        <is>
          <t>Repossession Process</t>
        </is>
      </c>
      <c r="C22" s="26" t="inlineStr">
        <is>
          <t>Repossession done without valid Repo Kit</t>
        </is>
      </c>
      <c r="D22" s="27" t="inlineStr">
        <is>
          <t>Check whether any Repo done without valid repo kit?  The repo date and repo kit issuance date should be validated.</t>
        </is>
      </c>
      <c r="E22" s="28">
        <f>IF(F22="Yes",5,"0")</f>
        <v/>
      </c>
      <c r="F22" s="29" t="inlineStr">
        <is>
          <t>Yes</t>
        </is>
      </c>
      <c r="G22" s="26" t="inlineStr">
        <is>
          <t>Observation recorded for checkpoint 15 during audit review.</t>
        </is>
      </c>
      <c r="H22" s="22" t="inlineStr">
        <is>
          <t>None</t>
        </is>
      </c>
      <c r="I22" s="22" t="inlineStr"/>
      <c r="J22" s="22" t="inlineStr"/>
    </row>
    <row r="23" ht="90" customHeight="1">
      <c r="A23" s="25" t="n">
        <v>16</v>
      </c>
      <c r="B23" s="26" t="inlineStr">
        <is>
          <t>Repossession Process</t>
        </is>
      </c>
      <c r="C23" s="26" t="inlineStr">
        <is>
          <t>Repo Kit Return Delay by agency</t>
        </is>
      </c>
      <c r="D23" s="27" t="inlineStr">
        <is>
          <t>Whether repossession kit along with all the documents are to be dispatched to the Branch/Central team within 2 business days from the time of deposition of repossessed asset in the yard?</t>
        </is>
      </c>
      <c r="E23" s="28">
        <f>IF(F23="Yes",4,"0")</f>
        <v/>
      </c>
      <c r="F23" s="29" t="inlineStr">
        <is>
          <t>Yes</t>
        </is>
      </c>
      <c r="G23" s="26" t="inlineStr">
        <is>
          <t>Observation recorded for checkpoint 16 during audit review.</t>
        </is>
      </c>
      <c r="H23" s="22" t="inlineStr">
        <is>
          <t>None</t>
        </is>
      </c>
      <c r="I23" s="22" t="inlineStr"/>
      <c r="J23" s="22" t="inlineStr"/>
    </row>
    <row r="24" ht="90" customHeight="1">
      <c r="A24" s="25" t="n">
        <v>17</v>
      </c>
      <c r="B24" s="26" t="inlineStr">
        <is>
          <t>Repossession Process</t>
        </is>
      </c>
      <c r="C24" s="26" t="inlineStr">
        <is>
          <t>LRN/PRN not issued</t>
        </is>
      </c>
      <c r="D24" s="27" t="inlineStr">
        <is>
          <t>Loan recall notice/Pre repossession notice. must be issued before initiation of repossession. Has the LRN cooling-off period been followed before repossession?</t>
        </is>
      </c>
      <c r="E24" s="28">
        <f>IF(F24="Yes",5,"0")</f>
        <v/>
      </c>
      <c r="F24" s="29" t="inlineStr">
        <is>
          <t>Yes</t>
        </is>
      </c>
      <c r="G24" s="26" t="inlineStr">
        <is>
          <t>Observation recorded for checkpoint 17 during audit review.</t>
        </is>
      </c>
      <c r="H24" s="22" t="inlineStr">
        <is>
          <t>None</t>
        </is>
      </c>
      <c r="I24" s="22" t="inlineStr"/>
      <c r="J24" s="22" t="inlineStr"/>
    </row>
    <row r="25" ht="90" customHeight="1">
      <c r="A25" s="25" t="n">
        <v>18</v>
      </c>
      <c r="B25" s="26" t="inlineStr">
        <is>
          <t>Repossession Process</t>
        </is>
      </c>
      <c r="C25" s="26" t="inlineStr">
        <is>
          <t>Repo kits were not filled correctly/Cutting overwriting on repo kits</t>
        </is>
      </c>
      <c r="D25" s="27" t="inlineStr">
        <is>
          <t>Have the repo kits been filled completely and correctly &amp; no cuttings/alterations/ over writing on the repo kits. Also check whether proper Notarization is done and valid date and sign available wherever required and Pre/Post police  intimation is done within TAT.</t>
        </is>
      </c>
      <c r="E25" s="28">
        <f>IF(F25="Yes",6,"0")</f>
        <v/>
      </c>
      <c r="F25" s="29" t="inlineStr">
        <is>
          <t>Yes</t>
        </is>
      </c>
      <c r="G25" s="26" t="inlineStr">
        <is>
          <t>Observation recorded for checkpoint 18 during audit review.</t>
        </is>
      </c>
      <c r="H25" s="22" t="inlineStr">
        <is>
          <t>None</t>
        </is>
      </c>
      <c r="I25" s="22" t="inlineStr"/>
      <c r="J25" s="22" t="inlineStr"/>
    </row>
    <row r="26" ht="90" customHeight="1">
      <c r="A26" s="25" t="n">
        <v>19</v>
      </c>
      <c r="B26" s="26" t="inlineStr">
        <is>
          <t>Repossession Process</t>
        </is>
      </c>
      <c r="C26" s="26" t="inlineStr">
        <is>
          <t>Repo Kit issuance request are not placed on email/letter head</t>
        </is>
      </c>
      <c r="D26" s="27" t="inlineStr">
        <is>
          <t>Whether the agency has raised standard repo kit issuance request through its registered Email ID/ Letter Head in case of offline repo kit used on Exceptional cases?</t>
        </is>
      </c>
      <c r="E26" s="28">
        <f>IF(F26="Yes",4,"0")</f>
        <v/>
      </c>
      <c r="F26" s="29" t="inlineStr">
        <is>
          <t>Yes</t>
        </is>
      </c>
      <c r="G26" s="26" t="inlineStr">
        <is>
          <t>Observation recorded for checkpoint 19 during audit review.</t>
        </is>
      </c>
      <c r="H26" s="22" t="inlineStr">
        <is>
          <t>None</t>
        </is>
      </c>
      <c r="I26" s="22" t="inlineStr"/>
      <c r="J26" s="22" t="inlineStr"/>
    </row>
    <row r="27" ht="90" customHeight="1">
      <c r="A27" s="25" t="n">
        <v>20</v>
      </c>
      <c r="B27" s="26" t="inlineStr">
        <is>
          <t>Repossession Process</t>
        </is>
      </c>
      <c r="C27" s="26" t="inlineStr">
        <is>
          <t>Repo Kit Tracker data maintained</t>
        </is>
      </c>
      <c r="D27" s="27" t="inlineStr">
        <is>
          <t>Whether the agency maintains Repo kit Tracker in the blue book every month?</t>
        </is>
      </c>
      <c r="E27" s="28">
        <f>IF(F27="Yes",3,"0")</f>
        <v/>
      </c>
      <c r="F27" s="29" t="inlineStr">
        <is>
          <t>Yes</t>
        </is>
      </c>
      <c r="G27" s="26" t="inlineStr">
        <is>
          <t>Observation recorded for checkpoint 20 during audit review.</t>
        </is>
      </c>
      <c r="H27" s="22" t="inlineStr">
        <is>
          <t>None</t>
        </is>
      </c>
      <c r="I27" s="22" t="inlineStr"/>
      <c r="J27" s="22" t="inlineStr"/>
    </row>
    <row r="28" ht="90" customHeight="1">
      <c r="A28" s="25" t="n">
        <v>21</v>
      </c>
      <c r="B28" s="26" t="inlineStr">
        <is>
          <t>Repossession Process</t>
        </is>
      </c>
      <c r="C28" s="26" t="inlineStr">
        <is>
          <t>Repo Kit register not maintained by agency</t>
        </is>
      </c>
      <c r="D28" s="27" t="inlineStr">
        <is>
          <t>Whether agency fill all the necessary details in the Repo Tracker which is available in the blue book every month?</t>
        </is>
      </c>
      <c r="E28" s="28">
        <f>IF(F28="Yes",3,"0")</f>
        <v/>
      </c>
      <c r="F28" s="35" t="inlineStr">
        <is>
          <t>No</t>
        </is>
      </c>
      <c r="G28" s="36" t="inlineStr">
        <is>
          <t>Observation recorded for checkpoint 21 during audit review.</t>
        </is>
      </c>
      <c r="H28" s="37" t="inlineStr">
        <is>
          <t>Corrective action required</t>
        </is>
      </c>
      <c r="I28" s="37" t="inlineStr"/>
      <c r="J28" s="37" t="inlineStr"/>
    </row>
    <row r="29" ht="90" customHeight="1">
      <c r="A29" s="25" t="n">
        <v>22</v>
      </c>
      <c r="B29" s="26" t="inlineStr">
        <is>
          <t>Repossession Process</t>
        </is>
      </c>
      <c r="C29" s="26" t="inlineStr">
        <is>
          <t>Vehicles deposited in the yard within TAT</t>
        </is>
      </c>
      <c r="D29" s="27" t="inlineStr">
        <is>
          <t>Are all the vehicles deposited in the yard within the TAT?</t>
        </is>
      </c>
      <c r="E29" s="28">
        <f>IF(F29="Yes",6,"0")</f>
        <v/>
      </c>
      <c r="F29" s="35" t="inlineStr">
        <is>
          <t>NA</t>
        </is>
      </c>
      <c r="G29" s="36" t="inlineStr">
        <is>
          <t>Observation recorded for checkpoint 22 during audit review.</t>
        </is>
      </c>
      <c r="H29" s="37" t="inlineStr">
        <is>
          <t>Not Applicable</t>
        </is>
      </c>
      <c r="I29" s="37" t="inlineStr"/>
      <c r="J29" s="37" t="inlineStr"/>
    </row>
    <row r="30" ht="90" customHeight="1">
      <c r="A30" s="25" t="n">
        <v>23</v>
      </c>
      <c r="B30" s="26" t="inlineStr">
        <is>
          <t>Record Management</t>
        </is>
      </c>
      <c r="C30" s="26" t="inlineStr">
        <is>
          <t>Vendor agreement not available at agency office</t>
        </is>
      </c>
      <c r="D30" s="27" t="inlineStr">
        <is>
          <t>Whether the valid vendor agreement and the latest pay out grid maintained at the agency?</t>
        </is>
      </c>
      <c r="E30" s="28">
        <f>IF(F30="Yes",5,"0")</f>
        <v/>
      </c>
      <c r="F30" s="29" t="inlineStr">
        <is>
          <t>Yes</t>
        </is>
      </c>
      <c r="G30" s="26" t="inlineStr">
        <is>
          <t>Observation recorded for checkpoint 23 during audit review.</t>
        </is>
      </c>
      <c r="H30" s="22" t="inlineStr">
        <is>
          <t>None</t>
        </is>
      </c>
      <c r="I30" s="22" t="inlineStr"/>
      <c r="J30" s="22" t="inlineStr"/>
    </row>
    <row r="31" ht="90" customHeight="1">
      <c r="A31" s="25" t="n">
        <v>24</v>
      </c>
      <c r="B31" s="26" t="inlineStr">
        <is>
          <t>Record Management</t>
        </is>
      </c>
      <c r="C31" s="26" t="inlineStr">
        <is>
          <t>Visitor register not available</t>
        </is>
      </c>
      <c r="D31" s="27" t="inlineStr">
        <is>
          <t>Whether agency maintains visitor register in at their office ? Also, check if Manager / Senior manager visiting the agency signs the visiting register maintained at the agency.</t>
        </is>
      </c>
      <c r="E31" s="28">
        <f>IF(F31="Yes",2,"0")</f>
        <v/>
      </c>
      <c r="F31" s="29" t="inlineStr">
        <is>
          <t>Yes</t>
        </is>
      </c>
      <c r="G31" s="26" t="inlineStr">
        <is>
          <t>Observation recorded for checkpoint 24 during audit review.</t>
        </is>
      </c>
      <c r="H31" s="22" t="inlineStr">
        <is>
          <t>None</t>
        </is>
      </c>
      <c r="I31" s="22" t="inlineStr"/>
      <c r="J31" s="22" t="inlineStr"/>
    </row>
    <row r="32" ht="90" customHeight="1">
      <c r="A32" s="25" t="n">
        <v>25</v>
      </c>
      <c r="B32" s="26" t="inlineStr">
        <is>
          <t>Record Management</t>
        </is>
      </c>
      <c r="C32" s="26" t="inlineStr">
        <is>
          <t>Blue Book</t>
        </is>
      </c>
      <c r="D32" s="27" t="inlineStr">
        <is>
          <t>Whether blue book is available at the Agency?</t>
        </is>
      </c>
      <c r="E32" s="28">
        <f>IF(F32="Yes",1,"0")</f>
        <v/>
      </c>
      <c r="F32" s="29" t="inlineStr">
        <is>
          <t>Yes</t>
        </is>
      </c>
      <c r="G32" s="26" t="inlineStr">
        <is>
          <t>Observation recorded for checkpoint 25 during audit review.</t>
        </is>
      </c>
      <c r="H32" s="22" t="inlineStr">
        <is>
          <t>None</t>
        </is>
      </c>
      <c r="I32" s="22" t="inlineStr"/>
      <c r="J32" s="22" t="inlineStr"/>
    </row>
    <row r="33" ht="90" customHeight="1">
      <c r="A33" s="25" t="n">
        <v>26</v>
      </c>
      <c r="B33" s="26" t="inlineStr">
        <is>
          <t>Record Management</t>
        </is>
      </c>
      <c r="C33" s="26" t="inlineStr">
        <is>
          <t>Declaration cum undertaking in blue book</t>
        </is>
      </c>
      <c r="D33" s="27" t="inlineStr">
        <is>
          <t>Whether Declaration Cum Undertaking is filled and signed by the agency and CM/CCM in the Blue Book every month?</t>
        </is>
      </c>
      <c r="E33" s="28">
        <f>IF(F33="Yes",1,"0")</f>
        <v/>
      </c>
      <c r="F33" s="29" t="inlineStr">
        <is>
          <t>Yes</t>
        </is>
      </c>
      <c r="G33" s="26" t="inlineStr">
        <is>
          <t>Observation recorded for checkpoint 26 during audit review.</t>
        </is>
      </c>
      <c r="H33" s="22" t="inlineStr">
        <is>
          <t>None</t>
        </is>
      </c>
      <c r="I33" s="22" t="inlineStr"/>
      <c r="J33" s="22" t="inlineStr"/>
    </row>
    <row r="34" ht="90" customHeight="1">
      <c r="A34" s="25" t="n">
        <v>27</v>
      </c>
      <c r="B34" s="26" t="inlineStr">
        <is>
          <t>Record Management</t>
        </is>
      </c>
      <c r="C34" s="26" t="inlineStr">
        <is>
          <t>Monthly Audit and Compliance Checkpoints</t>
        </is>
      </c>
      <c r="D34" s="27" t="inlineStr">
        <is>
          <t>Monthly Audit and Compliance checkpoints have been done and details to be correctly/completely filled and maintained at agency in the Blue Book?</t>
        </is>
      </c>
      <c r="E34" s="28">
        <f>IF(F34="Yes",1,"0")</f>
        <v/>
      </c>
      <c r="F34" s="29" t="inlineStr">
        <is>
          <t>Yes</t>
        </is>
      </c>
      <c r="G34" s="26" t="inlineStr">
        <is>
          <t>Observation recorded for checkpoint 27 during audit review.</t>
        </is>
      </c>
      <c r="H34" s="22" t="inlineStr">
        <is>
          <t>None</t>
        </is>
      </c>
      <c r="I34" s="22" t="inlineStr"/>
      <c r="J34" s="22" t="inlineStr"/>
    </row>
    <row r="35" ht="90" customHeight="1">
      <c r="A35" s="25" t="n">
        <v>28</v>
      </c>
      <c r="B35" s="26" t="inlineStr">
        <is>
          <t>Record Management</t>
        </is>
      </c>
      <c r="C35" s="26" t="inlineStr">
        <is>
          <t xml:space="preserve">Infrastructure declaration </t>
        </is>
      </c>
      <c r="D35" s="27" t="inlineStr">
        <is>
          <t>Infrastructure declaration to be submitted by the agency every month in the blue book</t>
        </is>
      </c>
      <c r="E35" s="28">
        <f>IF(F35="Yes",1,"0")</f>
        <v/>
      </c>
      <c r="F35" s="35" t="inlineStr">
        <is>
          <t>No</t>
        </is>
      </c>
      <c r="G35" s="36" t="inlineStr">
        <is>
          <t>Observation recorded for checkpoint 28 during audit review.</t>
        </is>
      </c>
      <c r="H35" s="37" t="inlineStr">
        <is>
          <t>Corrective action required</t>
        </is>
      </c>
      <c r="I35" s="37" t="inlineStr"/>
      <c r="J35" s="37" t="inlineStr"/>
    </row>
    <row r="36" ht="90" customHeight="1">
      <c r="A36" s="25" t="n">
        <v>29</v>
      </c>
      <c r="B36" s="26" t="inlineStr">
        <is>
          <t>Record Management</t>
        </is>
      </c>
      <c r="C36" s="26" t="inlineStr">
        <is>
          <t>NDC not shared</t>
        </is>
      </c>
      <c r="D36" s="27" t="inlineStr">
        <is>
          <t>Whether NDC is provided by the agency on quarterly basis? 
Whether any pending bill is available at agency?(Only Observation)</t>
        </is>
      </c>
      <c r="E36" s="28">
        <f>IF(F36="Yes",3,"0")</f>
        <v/>
      </c>
      <c r="F36" s="29" t="inlineStr">
        <is>
          <t>Yes</t>
        </is>
      </c>
      <c r="G36" s="26" t="inlineStr">
        <is>
          <t>Observation recorded for checkpoint 29 during audit review.</t>
        </is>
      </c>
      <c r="H36" s="22" t="inlineStr">
        <is>
          <t>None</t>
        </is>
      </c>
      <c r="I36" s="22" t="inlineStr"/>
      <c r="J36" s="22" t="inlineStr"/>
    </row>
    <row r="37" ht="90" customHeight="1">
      <c r="A37" s="25" t="n">
        <v>30</v>
      </c>
      <c r="B37" s="26" t="inlineStr">
        <is>
          <t>Record Management</t>
        </is>
      </c>
      <c r="C37" s="26" t="inlineStr">
        <is>
          <t>NDC not recorded in Blue Book</t>
        </is>
      </c>
      <c r="D37" s="27" t="inlineStr">
        <is>
          <t>No Dues Certificate to be printed and maintained and data to be recorded in the Blue Book.</t>
        </is>
      </c>
      <c r="E37" s="28">
        <f>IF(F37="Yes",1,"0")</f>
        <v/>
      </c>
      <c r="F37" s="29" t="inlineStr">
        <is>
          <t>Yes</t>
        </is>
      </c>
      <c r="G37" s="26" t="inlineStr">
        <is>
          <t>Observation recorded for checkpoint 30 during audit review.</t>
        </is>
      </c>
      <c r="H37" s="22" t="inlineStr">
        <is>
          <t>None</t>
        </is>
      </c>
      <c r="I37" s="22" t="inlineStr"/>
      <c r="J37" s="22" t="inlineStr"/>
    </row>
    <row r="38" ht="90" customHeight="1">
      <c r="A38" s="25" t="n">
        <v>31</v>
      </c>
      <c r="B38" s="26" t="inlineStr">
        <is>
          <t>Record Management</t>
        </is>
      </c>
      <c r="C38" s="26" t="inlineStr">
        <is>
          <t xml:space="preserve">Data Purging Declaration </t>
        </is>
      </c>
      <c r="D38" s="27" t="inlineStr">
        <is>
          <t>Whether agency has submitted Data Purging Declaration and recorded in the blue book every month? (T+3 months)</t>
        </is>
      </c>
      <c r="E38" s="28">
        <f>IF(F38="Yes",2,"0")</f>
        <v/>
      </c>
      <c r="F38" s="29" t="inlineStr">
        <is>
          <t>Yes</t>
        </is>
      </c>
      <c r="G38" s="26" t="inlineStr">
        <is>
          <t>Observation recorded for checkpoint 31 during audit review.</t>
        </is>
      </c>
      <c r="H38" s="22" t="inlineStr">
        <is>
          <t>None</t>
        </is>
      </c>
      <c r="I38" s="22" t="inlineStr"/>
      <c r="J38" s="22" t="inlineStr"/>
    </row>
    <row r="39" ht="150" customHeight="1">
      <c r="A39" s="25" t="n">
        <v>32</v>
      </c>
      <c r="B39" s="26" t="inlineStr">
        <is>
          <t>Miscellaneous</t>
        </is>
      </c>
      <c r="C39" s="26" t="inlineStr">
        <is>
          <t>Customer Escalations received</t>
        </is>
      </c>
      <c r="D39" s="27" t="inlineStr">
        <is>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 case any penalty has been levied same has been implemented or not, for e.g. Any CRE need to be removed as per Penalty matrix revert, need to check whether that CRE has been removed or not from TCL portfolios</t>
        </is>
      </c>
      <c r="E39" s="28" t="inlineStr">
        <is>
          <t>Only Observation Point</t>
        </is>
      </c>
      <c r="F39" s="29" t="inlineStr">
        <is>
          <t>Yes</t>
        </is>
      </c>
      <c r="G39" s="26" t="inlineStr">
        <is>
          <t>Observation recorded for checkpoint 32 during audit review.</t>
        </is>
      </c>
      <c r="H39" s="22" t="inlineStr">
        <is>
          <t>None</t>
        </is>
      </c>
      <c r="I39" s="22" t="inlineStr"/>
      <c r="J39" s="22" t="inlineStr"/>
    </row>
  </sheetData>
  <dataValidations disablePrompts="1" count="2">
    <dataValidation sqref="D5:E5" showDropDown="0" showInputMessage="1" showErrorMessage="1" allowBlank="1" type="list">
      <formula1>"Collection Agency, Collection &amp; Repo Agency, Repo Agency"</formula1>
    </dataValidation>
    <dataValidation sqref="F8:F39" showDropDown="0" showInputMessage="1" showErrorMessage="1" allowBlank="1" type="list">
      <formula1>"Yes, No"</formula1>
    </dataValidation>
  </dataValidations>
  <pageMargins left="0.2362204724409449" right="0.2362204724409449" top="0.7480314960629921" bottom="0.7480314960629921" header="0.3149606299212598" footer="0.3149606299212598"/>
  <pageSetup orientation="portrait" paperSize="9" scale="57" fitToHeight="0"/>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ColWidth="33.42578125" defaultRowHeight="13.8"/>
  <cols>
    <col width="9" bestFit="1" customWidth="1" style="6" min="1" max="1"/>
    <col width="22.42578125" bestFit="1" customWidth="1" style="6" min="2" max="2"/>
    <col width="16" bestFit="1" customWidth="1" style="6" min="3" max="3"/>
    <col width="16.28515625" bestFit="1" customWidth="1" style="6" min="4" max="4"/>
    <col width="12.140625" bestFit="1" customWidth="1" style="6" min="5" max="5"/>
    <col width="16.85546875" bestFit="1" customWidth="1" style="6" min="6" max="6"/>
    <col width="33.42578125" customWidth="1" style="6" min="7" max="7"/>
    <col width="6.140625" customWidth="1" style="6" min="8" max="8"/>
    <col width="5.42578125" customWidth="1" style="6" min="9" max="9"/>
    <col width="6.28515625" customWidth="1" style="6" min="10" max="10"/>
    <col width="8.7109375" customWidth="1" style="6" min="11" max="11"/>
    <col width="33.42578125" customWidth="1" style="6" min="12" max="16384"/>
  </cols>
  <sheetData>
    <row r="1">
      <c r="A1" s="34" t="inlineStr">
        <is>
          <t>S. No.</t>
        </is>
      </c>
      <c r="B1" s="8" t="inlineStr">
        <is>
          <t>Particulars</t>
        </is>
      </c>
      <c r="C1" s="34" t="inlineStr">
        <is>
          <t>Key Points</t>
        </is>
      </c>
      <c r="D1" s="34" t="inlineStr">
        <is>
          <t>Weightage</t>
        </is>
      </c>
      <c r="E1" s="34" t="inlineStr">
        <is>
          <t>Actual</t>
        </is>
      </c>
      <c r="F1" s="34" t="inlineStr">
        <is>
          <t>Percentage</t>
        </is>
      </c>
    </row>
    <row r="2" ht="27.6" customHeight="1">
      <c r="A2" s="19" t="n">
        <v>1</v>
      </c>
      <c r="B2" s="7" t="inlineStr">
        <is>
          <t>Allocation Compliance</t>
        </is>
      </c>
      <c r="C2" s="2">
        <f>COUNTIF('Repo Checklist'!$B$7:$B$39,B2)</f>
        <v/>
      </c>
      <c r="D2" s="3" t="n">
        <v>4</v>
      </c>
      <c r="E2" s="3">
        <f>SUMIF('Repo Checklist'!$B$7:$B$39,'Score Parameters'!B2,'Repo Checklist'!$E$7:$E$39)</f>
        <v/>
      </c>
      <c r="F2" s="17">
        <f>IFERROR(E2/D2,"-")</f>
        <v/>
      </c>
    </row>
    <row r="3">
      <c r="A3" s="19" t="n">
        <v>2</v>
      </c>
      <c r="B3" s="7" t="inlineStr">
        <is>
          <t>TCOC</t>
        </is>
      </c>
      <c r="C3" s="2">
        <f>COUNTIF('Repo Checklist'!$B$7:$B$39,B3)</f>
        <v/>
      </c>
      <c r="D3" s="3" t="n">
        <v>6</v>
      </c>
      <c r="E3" s="3">
        <f>SUMIF('Repo Checklist'!$B$7:$B$39,'Score Parameters'!B3,'Repo Checklist'!$E$7:$E$39)</f>
        <v/>
      </c>
      <c r="F3" s="17">
        <f>IFERROR(E3/D3,"-")</f>
        <v/>
      </c>
    </row>
    <row r="4">
      <c r="A4" s="19" t="n">
        <v>3</v>
      </c>
      <c r="B4" s="7" t="inlineStr">
        <is>
          <t>Data Security</t>
        </is>
      </c>
      <c r="C4" s="2">
        <f>COUNTIF('Repo Checklist'!$B$7:$B$39,B4)</f>
        <v/>
      </c>
      <c r="D4" s="3" t="n">
        <v>15</v>
      </c>
      <c r="E4" s="3">
        <f>SUMIF('Repo Checklist'!$B$7:$B$39,'Score Parameters'!B4,'Repo Checklist'!$E$7:$E$39)</f>
        <v/>
      </c>
      <c r="F4" s="17">
        <f>IFERROR(E4/D4,"-")</f>
        <v/>
      </c>
    </row>
    <row r="5">
      <c r="A5" s="19" t="n">
        <v>4</v>
      </c>
      <c r="B5" s="7" t="inlineStr">
        <is>
          <t>Infra and others</t>
        </is>
      </c>
      <c r="C5" s="2">
        <f>COUNTIF('Repo Checklist'!$B$7:$B$39,B5)</f>
        <v/>
      </c>
      <c r="D5" s="3" t="n">
        <v>12</v>
      </c>
      <c r="E5" s="3">
        <f>SUMIF('Repo Checklist'!$B$7:$B$39,'Score Parameters'!B5,'Repo Checklist'!$E$7:$E$39)</f>
        <v/>
      </c>
      <c r="F5" s="17">
        <f>IFERROR(E5/D5,"-")</f>
        <v/>
      </c>
    </row>
    <row r="6" ht="27.6" customHeight="1">
      <c r="A6" s="19" t="n">
        <v>6</v>
      </c>
      <c r="B6" s="7" t="inlineStr">
        <is>
          <t>Repossession Process</t>
        </is>
      </c>
      <c r="C6" s="2">
        <f>COUNTIF('Repo Checklist'!$B$7:$B$39,B6)</f>
        <v/>
      </c>
      <c r="D6" s="3" t="n">
        <v>46</v>
      </c>
      <c r="E6" s="3">
        <f>SUMIF('Repo Checklist'!$B$7:$B$39,'Score Parameters'!B6,'Repo Checklist'!$E$7:$E$39)</f>
        <v/>
      </c>
      <c r="F6" s="17">
        <f>IFERROR(E6/D6,"-")</f>
        <v/>
      </c>
    </row>
    <row r="7">
      <c r="A7" s="19" t="n">
        <v>7</v>
      </c>
      <c r="B7" s="7" t="inlineStr">
        <is>
          <t>Record Management</t>
        </is>
      </c>
      <c r="C7" s="2">
        <f>COUNTIF('Repo Checklist'!$B$7:$B$39,B7)</f>
        <v/>
      </c>
      <c r="D7" s="3" t="n">
        <v>17</v>
      </c>
      <c r="E7" s="3">
        <f>SUMIF('Repo Checklist'!$B$7:$B$39,'Score Parameters'!B7,'Repo Checklist'!$E$7:$E$39)</f>
        <v/>
      </c>
      <c r="F7" s="17">
        <f>IFERROR(E7/D7,"-")</f>
        <v/>
      </c>
    </row>
    <row r="8">
      <c r="A8" s="19" t="n">
        <v>8</v>
      </c>
      <c r="B8" s="7" t="inlineStr">
        <is>
          <t>Miscellaneous</t>
        </is>
      </c>
      <c r="C8" s="2">
        <f>COUNTIF('Repo Checklist'!$B$7:$B$39,B8)</f>
        <v/>
      </c>
      <c r="D8" s="3" t="n">
        <v>0</v>
      </c>
      <c r="E8" s="3">
        <f>SUMIF('Repo Checklist'!$B$7:$B$39,'Score Parameters'!B8,'Repo Checklist'!$E$7:$E$39)</f>
        <v/>
      </c>
      <c r="F8" s="17">
        <f>IFERROR(E8/D8,"-")</f>
        <v/>
      </c>
    </row>
    <row r="9">
      <c r="A9" s="16" t="n"/>
      <c r="B9" s="8" t="inlineStr">
        <is>
          <t>Total</t>
        </is>
      </c>
      <c r="C9" s="34">
        <f>SUM(C2:C8)</f>
        <v/>
      </c>
      <c r="D9" s="20">
        <f>SUM(D2:D8)</f>
        <v/>
      </c>
      <c r="E9" s="20">
        <f>SUM(E2:E8)</f>
        <v/>
      </c>
      <c r="F9" s="18">
        <f>E9/D9</f>
        <v/>
      </c>
    </row>
    <row r="10">
      <c r="A10" s="34" t="inlineStr">
        <is>
          <t>FINAL RATING</t>
        </is>
      </c>
      <c r="B10" s="38" t="n"/>
      <c r="C10" s="38" t="n"/>
      <c r="D10" s="38" t="n"/>
      <c r="E10" s="39" t="n"/>
      <c r="F10" s="34">
        <f t="array" ref="F10">_xlfn.IFS(F9&gt;=80%,B13,F9&gt;=70%,B14,F9&gt;=60%,B15,F9&gt;=50%,B16,F9&lt;=49%,B17)</f>
        <v/>
      </c>
    </row>
    <row r="12" hidden="1">
      <c r="B12" s="4" t="inlineStr">
        <is>
          <t>Rating</t>
        </is>
      </c>
      <c r="C12" s="5" t="inlineStr">
        <is>
          <t>Scoring Segmentation</t>
        </is>
      </c>
    </row>
    <row r="13" hidden="1">
      <c r="B13" s="9" t="inlineStr">
        <is>
          <t>A</t>
        </is>
      </c>
      <c r="C13" s="10" t="inlineStr">
        <is>
          <t>&gt;=80</t>
        </is>
      </c>
    </row>
    <row r="14" hidden="1">
      <c r="B14" s="11" t="inlineStr">
        <is>
          <t>B</t>
        </is>
      </c>
      <c r="C14" s="10" t="inlineStr">
        <is>
          <t>&gt;=70 and &lt;=79</t>
        </is>
      </c>
    </row>
    <row r="15" hidden="1">
      <c r="B15" s="12" t="inlineStr">
        <is>
          <t>C</t>
        </is>
      </c>
      <c r="C15" s="10" t="inlineStr">
        <is>
          <t>&gt;=60 and &lt;=69</t>
        </is>
      </c>
    </row>
    <row r="16" hidden="1">
      <c r="B16" s="13" t="inlineStr">
        <is>
          <t>D</t>
        </is>
      </c>
      <c r="C16" s="10" t="inlineStr">
        <is>
          <t>&gt;=50 and &lt;=59</t>
        </is>
      </c>
    </row>
    <row r="17" hidden="1" ht="14.4" customHeight="1" thickBot="1">
      <c r="B17" s="14" t="inlineStr">
        <is>
          <t>E</t>
        </is>
      </c>
      <c r="C17" s="15" t="inlineStr">
        <is>
          <t>&lt;=49</t>
        </is>
      </c>
    </row>
    <row r="18" hidden="1"/>
  </sheetData>
  <mergeCells count="1">
    <mergeCell ref="A10:E10"/>
  </mergeCells>
  <conditionalFormatting sqref="B13:B17">
    <cfRule type="colorScale" priority="1">
      <colorScale>
        <cfvo type="min"/>
        <cfvo type="percentile" val="50"/>
        <cfvo type="max"/>
        <color rgb="FFF8696B"/>
        <color rgb="FFFFEB84"/>
        <color rgb="FF63BE7B"/>
      </colorScale>
    </cfRule>
  </conditionalFormatting>
  <conditionalFormatting sqref="F9">
    <cfRule type="cellIs" priority="5" operator="greaterThan" dxfId="2">
      <formula>0.8</formula>
    </cfRule>
    <cfRule type="cellIs" priority="6" operator="between" dxfId="1">
      <formula>0.6</formula>
      <formula>0.8</formula>
    </cfRule>
    <cfRule type="cellIs" priority="7" operator="between" dxfId="0">
      <formula>0</formula>
      <formula>0.5999</formula>
    </cfRule>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Himanshu16.Sharma@tatacapital.com</dc:creator>
  <dcterms:created xsi:type="dcterms:W3CDTF">2022-09-05T09:55:28Z</dcterms:created>
  <dcterms:modified xsi:type="dcterms:W3CDTF">2026-06-23T13:56:35Z</dcterms:modified>
  <cp:lastModifiedBy>Rachit Goyal</cp:lastModifiedBy>
  <cp:lastPrinted>2026-04-23T07:47:46Z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0x010100B89E9B38EF334341B754D8F8D6A719DA</vt:lpwstr>
  </property>
</Properties>
</file>