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chit Goyal\Downloads\"/>
    </mc:Choice>
  </mc:AlternateContent>
  <xr:revisionPtr revIDLastSave="0" documentId="13_ncr:1_{CFE7F28C-CDC4-49B1-882B-F01B74AB3738}" xr6:coauthVersionLast="47" xr6:coauthVersionMax="47" xr10:uidLastSave="{00000000-0000-0000-0000-000000000000}"/>
  <bookViews>
    <workbookView xWindow="-108" yWindow="-108" windowWidth="23256" windowHeight="12456" xr2:uid="{00000000-000D-0000-FFFF-FFFF00000000}"/>
  </bookViews>
  <sheets>
    <sheet name="Repo Checklist" sheetId="5" r:id="rId1"/>
    <sheet name="Score Parameters" sheetId="2" r:id="rId2"/>
  </sheets>
  <definedNames>
    <definedName name="_xlnm._FilterDatabase" localSheetId="0" hidden="1">'Repo Checklist'!$A$7:$J$39</definedName>
    <definedName name="_xlnm._FilterDatabase" localSheetId="1" hidden="1">'Score Parameters'!$A$1:$F$10</definedName>
    <definedName name="_xlnm.Print_Titles" localSheetId="0">'Repo Checklist'!$7:$7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E8" i="2"/>
  <c r="F8" i="2" s="1"/>
  <c r="C8" i="2"/>
  <c r="C7" i="2"/>
  <c r="C6" i="2"/>
  <c r="C5" i="2"/>
  <c r="C4" i="2"/>
  <c r="C3" i="2"/>
  <c r="C2" i="2"/>
  <c r="E28" i="5"/>
  <c r="E27" i="5"/>
  <c r="C9" i="2" l="1"/>
  <c r="E23" i="5"/>
  <c r="E26" i="5"/>
  <c r="E22" i="5"/>
  <c r="E36" i="5"/>
  <c r="E38" i="5" l="1"/>
  <c r="E37" i="5"/>
  <c r="E25" i="5"/>
  <c r="E31" i="5"/>
  <c r="E35" i="5"/>
  <c r="E34" i="5"/>
  <c r="E33" i="5"/>
  <c r="E32" i="5"/>
  <c r="E30" i="5" l="1"/>
  <c r="E7" i="2" s="1"/>
  <c r="F7" i="2" s="1"/>
  <c r="E29" i="5"/>
  <c r="E24" i="5"/>
  <c r="E21" i="5"/>
  <c r="E20" i="5"/>
  <c r="E6" i="2" s="1"/>
  <c r="F6" i="2" s="1"/>
  <c r="E19" i="5"/>
  <c r="E18" i="5"/>
  <c r="E17" i="5"/>
  <c r="E16" i="5"/>
  <c r="E5" i="2" s="1"/>
  <c r="F5" i="2" s="1"/>
  <c r="E13" i="5"/>
  <c r="E12" i="5"/>
  <c r="E15" i="5" l="1"/>
  <c r="E11" i="5"/>
  <c r="E4" i="2" s="1"/>
  <c r="F4" i="2" s="1"/>
  <c r="E10" i="5"/>
  <c r="E9" i="5"/>
  <c r="E8" i="5"/>
  <c r="E2" i="2" s="1"/>
  <c r="E14" i="5"/>
  <c r="E3" i="2" l="1"/>
  <c r="F3" i="2" s="1"/>
  <c r="F2" i="2"/>
  <c r="E9" i="2" l="1"/>
  <c r="F9" i="2" s="1"/>
  <c r="F10" i="2"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<sst xmlns="http://schemas.openxmlformats.org/spreadsheetml/2006/main" count="175" uniqueCount="112">
  <si>
    <t>Sr.No.</t>
  </si>
  <si>
    <t>Rating Category</t>
  </si>
  <si>
    <t>Particular</t>
  </si>
  <si>
    <t>Compliance status
 (Yes / No)</t>
  </si>
  <si>
    <t>Observation</t>
  </si>
  <si>
    <t>Final Score</t>
  </si>
  <si>
    <t>Allocation Compliance</t>
  </si>
  <si>
    <t>Not All cases allocated to agency CREs</t>
  </si>
  <si>
    <t>TCOC Guidelines/Other communication not available</t>
  </si>
  <si>
    <t>Data Security</t>
  </si>
  <si>
    <t>Data purging is not being done – Old allocation files were available in agency's system</t>
  </si>
  <si>
    <t>Whether data shared through mail are password protected / appropriate security measures are adopted by agency ?</t>
  </si>
  <si>
    <t>Data is being shared on unregistered email ids</t>
  </si>
  <si>
    <t>Has the agency made any reference to company's name on the his's name board &amp; e-mail ?</t>
  </si>
  <si>
    <t>Tata capital's name being used in agency office</t>
  </si>
  <si>
    <t>Whether agency has updated address &amp; other details in company records</t>
  </si>
  <si>
    <t>NDC not shared</t>
  </si>
  <si>
    <t>Whether full cooperation/complete &amp; timely data was received from agency for completing audit?</t>
  </si>
  <si>
    <t>Not cooperated by agency during audit</t>
  </si>
  <si>
    <t>Repo Kit Return Delay by agency</t>
  </si>
  <si>
    <t>Indemnity bond and newspaper publication not issued after repo kit loss</t>
  </si>
  <si>
    <t>Visitor register not available</t>
  </si>
  <si>
    <t>Repo Kit issuance request are not placed on email/letter head</t>
  </si>
  <si>
    <t>Vendor agreement not available at agency office</t>
  </si>
  <si>
    <t>Short Segmentation</t>
  </si>
  <si>
    <t>S. No.</t>
  </si>
  <si>
    <t>Particulars</t>
  </si>
  <si>
    <t>Key Points</t>
  </si>
  <si>
    <t>Weightage</t>
  </si>
  <si>
    <t>Actual</t>
  </si>
  <si>
    <t>Percentage</t>
  </si>
  <si>
    <t>Total</t>
  </si>
  <si>
    <t>FINAL RATING</t>
  </si>
  <si>
    <t>A</t>
  </si>
  <si>
    <t>&gt;=80</t>
  </si>
  <si>
    <t>B</t>
  </si>
  <si>
    <t>&gt;=70 and &lt;=79</t>
  </si>
  <si>
    <t>C</t>
  </si>
  <si>
    <t>D</t>
  </si>
  <si>
    <t>&gt;=50 and &lt;=59</t>
  </si>
  <si>
    <t>E</t>
  </si>
  <si>
    <t>&lt;=49</t>
  </si>
  <si>
    <t>Rating</t>
  </si>
  <si>
    <t>Scoring Segmentation</t>
  </si>
  <si>
    <t>TCOC</t>
  </si>
  <si>
    <t>Infra and others</t>
  </si>
  <si>
    <t>Repossession Process</t>
  </si>
  <si>
    <t>Record Management</t>
  </si>
  <si>
    <t>Agency Code</t>
  </si>
  <si>
    <t>Auditor Name</t>
  </si>
  <si>
    <t>Agency Name</t>
  </si>
  <si>
    <t>Audit Date</t>
  </si>
  <si>
    <t>Agency Address</t>
  </si>
  <si>
    <t>Collection Manager</t>
  </si>
  <si>
    <t>Type of agency</t>
  </si>
  <si>
    <t>Agency Manager</t>
  </si>
  <si>
    <t>Vendor code not created</t>
  </si>
  <si>
    <t>Yes</t>
  </si>
  <si>
    <t>Data files were not password protected</t>
  </si>
  <si>
    <t>Whether agency has purged data as per policy?</t>
  </si>
  <si>
    <t xml:space="preserve">Whether repossession cases given to the Agency Post Vendor Code Creation only? </t>
  </si>
  <si>
    <t>Are all the vehicles deposited in the yard within the TAT?</t>
  </si>
  <si>
    <t>Vehicles deposited in the yard within TAT</t>
  </si>
  <si>
    <t>Repo Agency</t>
  </si>
  <si>
    <t>TCOC training not given by TCL Collection Manager</t>
  </si>
  <si>
    <t>Current address is not updated to TCL</t>
  </si>
  <si>
    <t>&gt;=60 and &lt;=69</t>
  </si>
  <si>
    <t>Agency system has no restrictions hence data may fall into wrong hands</t>
  </si>
  <si>
    <t>Whether agency has restricted access of Desktop / Laptops/ Emails are enabled? Check whether agency do not have access of USB/Floppy/CD drives/Google Drive/Cloud storage/share drive/WhatsApp/any data sharing application for data transfer?</t>
  </si>
  <si>
    <t>No exclusive system provided to TCL portfolio</t>
  </si>
  <si>
    <t>Whether separate/exclusive system/Email ID is provided?</t>
  </si>
  <si>
    <t>Expired repo kit used/NCM Approval not taken before repossession</t>
  </si>
  <si>
    <t>Whether agency has returned all unused repo kits within 5 days of expiry?
Whether NCM approval taken before initiating repossession on email/System?</t>
  </si>
  <si>
    <t>Whether FIR, indemnity bond on stamp paper &amp; Newspaper cut-out of published Notice for Loss / theft of repo kit is submitted by Agency as per format in case of lost/stolen repo kit &amp; updated in repo kit tracker ?</t>
  </si>
  <si>
    <t>Repossession done without valid Repo Kit</t>
  </si>
  <si>
    <t>Verify whether all the cases that were repossessed were indeed those allocated to the repossession agency. (Open allocation needs to be highlighted)</t>
  </si>
  <si>
    <t>Whether all agents are trained on the code of conduct &amp; repossession and are well dressed while on field ? (Need to check the acknowledgement of the training given by CM) 
Authorisation Letter - Signed by Collection Manager must required with CREs /Owner details?</t>
  </si>
  <si>
    <t>Whether repossession kit along with all the documents are to be dispatched to the Branch/Central team within 2 business days from the time of deposition of repossessed asset in the yard?</t>
  </si>
  <si>
    <t>Repo kits were not filled correctly/Cutting overwriting on repo kits</t>
  </si>
  <si>
    <t>Check whether any Repo done without valid repo kit?  The repo date and repo kit issuance date should be validated.</t>
  </si>
  <si>
    <t>LRN/PRN not issued</t>
  </si>
  <si>
    <t>Loan recall notice/Pre repossession notice. must be issued before initiation of repossession. Has the LRN cooling-off period been followed before repossession?</t>
  </si>
  <si>
    <t>Whether the agency has raised standard repo kit issuance request through its registered Email ID/ Letter Head in case of offline repo kit used on Exceptional cases?</t>
  </si>
  <si>
    <t>Repo Kit register not maintained by agency</t>
  </si>
  <si>
    <t>Whether agency fill all the necessary details in the Repo Tracker which is available in the blue book every month?</t>
  </si>
  <si>
    <t>Whether any mail containing financial institution's data sent to third party / unregistered mail Ids / unauthorized sharing? Customer Call/Chat on unauthorized channels like What's ap/Facebook or any other unauthorized mode of communication</t>
  </si>
  <si>
    <t>Have the repo kits been filled completely and correctly &amp; no cuttings/alterations/ over writing on the repo kits. Also check whether proper Notarization is done and valid date and sign available wherever required and Pre/Post police  intimation is done within TAT.</t>
  </si>
  <si>
    <t>Whether the valid vendor agreement and the latest pay out grid maintained at the agency?</t>
  </si>
  <si>
    <t>Whether agency maintains visitor register in at their office ? Also, check if Manager / Senior manager visiting the agency signs the visiting register maintained at the agency.</t>
  </si>
  <si>
    <t>Whether the Repo Do's &amp; Don'ts  poster displayed/Code of Conduct posters/ any other communication displayed in the offices ?</t>
  </si>
  <si>
    <t>Blue Book</t>
  </si>
  <si>
    <t>Whether blue book is available at the Agency?</t>
  </si>
  <si>
    <t>Declaration cum undertaking in blue book</t>
  </si>
  <si>
    <t>Whether Declaration Cum Undertaking is filled and signed by the agency and CM/CCM in the Blue Book every month?</t>
  </si>
  <si>
    <t>Monthly Audit and Compliance Checkpoints</t>
  </si>
  <si>
    <t>Monthly Audit and Compliance checkpoints have been done and details to be correctly/completely filled and maintained at agency in the Blue Book?</t>
  </si>
  <si>
    <t xml:space="preserve">Infrastructure declaration </t>
  </si>
  <si>
    <t>Infrastructure declaration to be submitted by the agency every month in the blue book</t>
  </si>
  <si>
    <t>Whether NDC is provided by the agency on quarterly basis? 
Whether any pending bill is available at agency?(Only Observation)</t>
  </si>
  <si>
    <t>NDC not recorded in Blue Book</t>
  </si>
  <si>
    <t>No Dues Certificate to be printed and maintained and data to be recorded in the Blue Book.</t>
  </si>
  <si>
    <t xml:space="preserve">Data Purging Declaration </t>
  </si>
  <si>
    <t>Whether agency has submitted Data Purging Declaration and recorded in the blue book every month? (T+3 months)</t>
  </si>
  <si>
    <t>Miscellaneous</t>
  </si>
  <si>
    <t>Customer Escalations received</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</si>
  <si>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</si>
  <si>
    <t>Only Observation Point</t>
  </si>
  <si>
    <t>Repo Kit Tracker data maintained</t>
  </si>
  <si>
    <t>Whether the agency maintains Repo kit Tracker in the blue book every month?</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</si>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</sst>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8"/>
      <color theme="1"/>
      <name val="Arial"/>
      <family val="2"/>
    </font>
    <font>
      <sz val="8"/>
      <color theme="1"/>
      <name val="Arial"/>
      <family val="2"/>
    </font>
    <font>
      <sz val="10"/>
      <name val="Arial"/>
      <family val="2"/>
    </font>
    <font>
      <b/>
      <sz val="10"/>
      <color theme="0"/>
      <name val="Calibri"/>
      <family val="2"/>
      <scheme val="minor"/>
    </font>
    <font>
      <sz val="10"/>
      <color theme="1"/>
      <name val="Calibri"/>
      <family val="2"/>
      <scheme val="minor"/>
    </font>
    <font>
      <sz val="10"/>
      <color theme="3" tint="-0.499984740745262"/>
      <name val="Calibri"/>
      <family val="2"/>
      <scheme val="minor"/>
    </font>
    <font>
      <sz val="10"/>
      <name val="Calibri"/>
      <family val="2"/>
      <scheme val="minor"/>
    </font>
    <font>
      <b/>
      <sz val="10"/>
      <color theme="3" tint="-0.499984740745262"/>
      <name val="Calibri"/>
      <family val="2"/>
      <scheme val="minor"/>
    </font>
    <font>
      <b/>
      <sz val="9"/>
      <color theme="0"/>
      <name val="Calibri"/>
      <family val="2"/>
      <scheme val="minor"/>
    </font>
    <font>
      <sz val="9"/>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0" fontId="2" fillId="0" borderId="0"/>
    <xf numFmtId="0" fontId="10" fillId="0" borderId="0"/>
  </cellStyleXfs>
  <cellXfs count="35">
    <xf numFmtId="0" fontId="0" fillId="0" borderId="0" xfId="0"/>
    <xf numFmtId="0" fontId="3" fillId="4" borderId="1" xfId="0" applyFont="1" applyFill="1" applyBorder="1" applyAlignment="1">
      <alignment horizontal="center" vertical="center"/>
    </xf>
    <xf numFmtId="0" fontId="4" fillId="0" borderId="1" xfId="0" applyFont="1" applyBorder="1" applyAlignment="1">
      <alignment horizontal="center" vertical="center" wrapText="1"/>
    </xf>
    <xf numFmtId="1" fontId="6" fillId="3" borderId="1" xfId="0" applyNumberFormat="1" applyFont="1" applyFill="1" applyBorder="1" applyAlignment="1">
      <alignment horizontal="center" vertical="center" wrapText="1"/>
    </xf>
    <xf numFmtId="0" fontId="3" fillId="4" borderId="2" xfId="0" applyFont="1" applyFill="1" applyBorder="1" applyAlignment="1">
      <alignment horizontal="left" vertical="center"/>
    </xf>
    <xf numFmtId="0" fontId="3" fillId="4" borderId="3" xfId="0" applyFont="1" applyFill="1" applyBorder="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4" borderId="1" xfId="0" applyFont="1" applyFill="1" applyBorder="1" applyAlignment="1">
      <alignment horizontal="left" vertical="center"/>
    </xf>
    <xf numFmtId="0" fontId="6" fillId="5" borderId="4" xfId="0" applyFont="1" applyFill="1" applyBorder="1" applyAlignment="1">
      <alignment horizontal="left" vertical="center"/>
    </xf>
    <xf numFmtId="0" fontId="4" fillId="0" borderId="5" xfId="0" applyFont="1" applyBorder="1" applyAlignment="1">
      <alignment horizontal="left" vertical="center"/>
    </xf>
    <xf numFmtId="0" fontId="6" fillId="6" borderId="4" xfId="0" applyFont="1" applyFill="1" applyBorder="1" applyAlignment="1">
      <alignment horizontal="left" vertical="center"/>
    </xf>
    <xf numFmtId="0" fontId="6" fillId="7" borderId="4" xfId="0" applyFont="1" applyFill="1" applyBorder="1" applyAlignment="1">
      <alignment horizontal="left" vertical="center"/>
    </xf>
    <xf numFmtId="0" fontId="6" fillId="8" borderId="4" xfId="0" applyFont="1" applyFill="1" applyBorder="1" applyAlignment="1">
      <alignment horizontal="left" vertical="center"/>
    </xf>
    <xf numFmtId="0" fontId="6" fillId="9" borderId="6" xfId="0" applyFont="1" applyFill="1" applyBorder="1" applyAlignment="1">
      <alignment horizontal="left" vertical="center"/>
    </xf>
    <xf numFmtId="0" fontId="4" fillId="0" borderId="7" xfId="0" applyFont="1" applyBorder="1" applyAlignment="1">
      <alignment horizontal="left" vertical="center"/>
    </xf>
    <xf numFmtId="0" fontId="5" fillId="0" borderId="1" xfId="0" applyFont="1" applyBorder="1" applyAlignment="1">
      <alignment horizontal="left" vertical="center" wrapText="1"/>
    </xf>
    <xf numFmtId="9" fontId="7" fillId="0" borderId="1" xfId="1" applyFont="1" applyFill="1" applyBorder="1" applyAlignment="1">
      <alignment horizontal="center" vertical="center" wrapText="1"/>
    </xf>
    <xf numFmtId="9" fontId="7"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1" fontId="3" fillId="4" borderId="1" xfId="0" applyNumberFormat="1" applyFont="1" applyFill="1" applyBorder="1" applyAlignment="1">
      <alignment horizontal="center" vertical="center"/>
    </xf>
    <xf numFmtId="0" fontId="8" fillId="4" borderId="1" xfId="0" applyFont="1" applyFill="1" applyBorder="1" applyAlignment="1">
      <alignment horizontal="left" vertical="top" wrapText="1"/>
    </xf>
    <xf numFmtId="0" fontId="9" fillId="0" borderId="1" xfId="0" applyFont="1" applyBorder="1" applyAlignment="1">
      <alignment horizontal="left" vertical="top"/>
    </xf>
    <xf numFmtId="0" fontId="8" fillId="4" borderId="1" xfId="0" applyFont="1" applyFill="1" applyBorder="1" applyAlignment="1">
      <alignment horizontal="left" vertical="top"/>
    </xf>
    <xf numFmtId="0" fontId="8" fillId="4" borderId="1" xfId="0" applyFont="1" applyFill="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1" fontId="9" fillId="3" borderId="1" xfId="0" applyNumberFormat="1" applyFont="1" applyFill="1" applyBorder="1" applyAlignment="1">
      <alignment horizontal="left" vertical="top" wrapText="1"/>
    </xf>
    <xf numFmtId="0" fontId="9" fillId="3" borderId="1" xfId="0" applyFont="1" applyFill="1" applyBorder="1" applyAlignment="1">
      <alignment horizontal="center" vertical="top" wrapText="1"/>
    </xf>
    <xf numFmtId="0" fontId="9" fillId="0" borderId="0" xfId="0" applyFont="1" applyAlignment="1">
      <alignment horizontal="left"/>
    </xf>
    <xf numFmtId="14" fontId="9" fillId="0" borderId="0" xfId="0" applyNumberFormat="1" applyFont="1" applyAlignment="1">
      <alignment horizontal="left"/>
    </xf>
    <xf numFmtId="0" fontId="9" fillId="3" borderId="0" xfId="0" applyFont="1" applyFill="1" applyAlignment="1">
      <alignment horizontal="left"/>
    </xf>
    <xf numFmtId="0" fontId="9" fillId="0" borderId="0" xfId="0" applyFont="1" applyAlignment="1">
      <alignment horizontal="left" wrapText="1"/>
    </xf>
    <xf numFmtId="0" fontId="3" fillId="4" borderId="1" xfId="0" applyFont="1" applyFill="1" applyBorder="1" applyAlignment="1">
      <alignment horizontal="center" vertical="center"/>
    </xf>
  </cellXfs>
  <cellStyles count="4">
    <cellStyle name="Normal" xfId="0" builtinId="0"/>
    <cellStyle name="Normal 2" xfId="2" xr:uid="{00000000-0005-0000-0000-000001000000}"/>
    <cellStyle name="Normal 3" xfId="3" xr:uid="{AA4ECC7D-D534-4863-8088-3413E7F6DABD}"/>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colors>
    <mruColors>
      <color rgb="FFFFC91D"/>
      <color rgb="FFA4D76B"/>
      <color rgb="FFFF2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J39"/>
  <sheetViews>
    <sheetView showGridLines="0" tabSelected="1" workbookViewId="0">
      <selection activeCell="C5" sqref="C5"/>
    </sheetView>
  </sheetViews>
  <sheetFormatPr defaultColWidth="9.28515625" defaultRowHeight="12" x14ac:dyDescent="0.25"/>
  <cols>
    <col min="1" max="1" width="6.140625" style="30" bestFit="1" customWidth="1"/>
    <col min="2" max="2" width="20.140625" style="30" bestFit="1" customWidth="1"/>
    <col min="3" max="3" width="25" style="30" bestFit="1" customWidth="1"/>
    <col min="4" max="4" width="49.85546875" style="33" customWidth="1"/>
    <col min="5" max="5" width="16.85546875" style="30" hidden="1" customWidth="1"/>
    <col min="6" max="6" width="21.7109375" style="30" bestFit="1" customWidth="1"/>
    <col min="7" max="7" width="35.28515625" style="30" customWidth="1"/>
    <col min="8" max="8" width="32.85546875" style="30" customWidth="1"/>
    <col min="9" max="9" width="13.7109375" style="30" bestFit="1" customWidth="1"/>
    <col min="10" max="10" width="16" style="30" bestFit="1" customWidth="1"/>
    <col min="11" max="11" width="21.28515625" style="30" customWidth="1"/>
    <col min="12" max="16384" width="9.28515625" style="30"/>
  </cols>
  <sheetData>
    <row r="2" spans="1:10" ht="39.9" customHeight="1" x14ac:dyDescent="0.25">
      <c r="C2" s="21" t="s">
        <v>48</v>
      </c>
      <c r="D2" s="22"/>
      <c r="E2" s="22"/>
      <c r="F2" s="21" t="s">
        <v>49</v>
      </c>
      <c r="G2" s="22"/>
    </row>
    <row r="3" spans="1:10" ht="39.9" customHeight="1" x14ac:dyDescent="0.25">
      <c r="C3" s="21" t="s">
        <v>50</v>
      </c>
      <c r="D3" s="22"/>
      <c r="E3" s="22"/>
      <c r="F3" s="21" t="s">
        <v>51</v>
      </c>
      <c r="G3" s="22"/>
      <c r="H3" s="31"/>
    </row>
    <row r="4" spans="1:10" ht="39.9" customHeight="1" x14ac:dyDescent="0.25">
      <c r="C4" s="21" t="s">
        <v>52</v>
      </c>
      <c r="D4" s="22"/>
      <c r="E4" s="22"/>
      <c r="F4" s="21" t="s">
        <v>53</v>
      </c>
      <c r="G4" s="22"/>
    </row>
    <row r="5" spans="1:10" ht="39.9" customHeight="1" x14ac:dyDescent="0.25">
      <c r="C5" s="21" t="s">
        <v>54</v>
      </c>
      <c r="D5" s="22" t="s">
        <v>63</v>
      </c>
      <c r="E5" s="22"/>
      <c r="F5" s="21" t="s">
        <v>55</v>
      </c>
      <c r="G5" s="22"/>
    </row>
    <row r="7" spans="1:10" s="32" customFormat="1" ht="48" x14ac:dyDescent="0.25">
      <c r="A7" s="24" t="s">
        <v>0</v>
      </c>
      <c r="B7" s="21" t="s">
        <v>1</v>
      </c>
      <c r="C7" s="21" t="s">
        <v>24</v>
      </c>
      <c r="D7" s="21" t="s">
        <v>2</v>
      </c>
      <c r="E7" s="21" t="s">
        <v>5</v>
      </c>
      <c r="F7" s="24" t="s">
        <v>3</v>
      </c>
      <c r="G7" s="21" t="s">
        <v>4</v>
      </c>
      <c r="H7" s="23" t="s">
        <v>109</v>
      </c>
      <c r="I7" s="24" t="s">
        <v>110</v>
      </c>
      <c r="J7" s="24" t="s">
        <v>111</v>
      </c>
    </row>
    <row r="8" spans="1:10" ht="90" customHeight="1" x14ac:dyDescent="0.25">
      <c r="A8" s="25">
        <v>1</v>
      </c>
      <c r="B8" s="26" t="s">
        <v>6</v>
      </c>
      <c r="C8" s="26" t="s">
        <v>7</v>
      </c>
      <c r="D8" s="27" t="s">
        <v>75</v>
      </c>
      <c r="E8" s="28">
        <f>IF(F8="Yes",4,"0")</f>
        <v>4</v>
      </c>
      <c r="F8" s="29" t="s">
        <v>57</v>
      </c>
      <c r="G8" s="26"/>
      <c r="H8" s="22"/>
      <c r="I8" s="22"/>
      <c r="J8" s="22"/>
    </row>
    <row r="9" spans="1:10" ht="90" customHeight="1" x14ac:dyDescent="0.25">
      <c r="A9" s="25">
        <v>2</v>
      </c>
      <c r="B9" s="26" t="s">
        <v>44</v>
      </c>
      <c r="C9" s="26" t="s">
        <v>8</v>
      </c>
      <c r="D9" s="27" t="s">
        <v>89</v>
      </c>
      <c r="E9" s="28">
        <f t="shared" ref="E9:E19" si="0">IF(F9="Yes",3,"0")</f>
        <v>3</v>
      </c>
      <c r="F9" s="29" t="s">
        <v>57</v>
      </c>
      <c r="G9" s="26"/>
      <c r="H9" s="22"/>
      <c r="I9" s="22"/>
      <c r="J9" s="22"/>
    </row>
    <row r="10" spans="1:10" ht="90" customHeight="1" x14ac:dyDescent="0.25">
      <c r="A10" s="25">
        <v>3</v>
      </c>
      <c r="B10" s="26" t="s">
        <v>44</v>
      </c>
      <c r="C10" s="26" t="s">
        <v>64</v>
      </c>
      <c r="D10" s="27" t="s">
        <v>76</v>
      </c>
      <c r="E10" s="28">
        <f t="shared" si="0"/>
        <v>3</v>
      </c>
      <c r="F10" s="29" t="s">
        <v>57</v>
      </c>
      <c r="G10" s="26"/>
      <c r="H10" s="22"/>
      <c r="I10" s="22"/>
      <c r="J10" s="22"/>
    </row>
    <row r="11" spans="1:10" ht="90" customHeight="1" x14ac:dyDescent="0.25">
      <c r="A11" s="25">
        <v>4</v>
      </c>
      <c r="B11" s="26" t="s">
        <v>9</v>
      </c>
      <c r="C11" s="26" t="s">
        <v>58</v>
      </c>
      <c r="D11" s="27" t="s">
        <v>11</v>
      </c>
      <c r="E11" s="28">
        <f t="shared" si="0"/>
        <v>3</v>
      </c>
      <c r="F11" s="29" t="s">
        <v>57</v>
      </c>
      <c r="G11" s="26"/>
      <c r="H11" s="22"/>
      <c r="I11" s="22"/>
      <c r="J11" s="22"/>
    </row>
    <row r="12" spans="1:10" ht="90" customHeight="1" x14ac:dyDescent="0.25">
      <c r="A12" s="25">
        <v>5</v>
      </c>
      <c r="B12" s="26" t="s">
        <v>9</v>
      </c>
      <c r="C12" s="26" t="s">
        <v>12</v>
      </c>
      <c r="D12" s="27" t="s">
        <v>85</v>
      </c>
      <c r="E12" s="28">
        <f t="shared" si="0"/>
        <v>3</v>
      </c>
      <c r="F12" s="29" t="s">
        <v>57</v>
      </c>
      <c r="G12" s="26"/>
      <c r="H12" s="22"/>
      <c r="I12" s="22"/>
      <c r="J12" s="22"/>
    </row>
    <row r="13" spans="1:10" ht="90" customHeight="1" x14ac:dyDescent="0.25">
      <c r="A13" s="25">
        <v>6</v>
      </c>
      <c r="B13" s="26" t="s">
        <v>9</v>
      </c>
      <c r="C13" s="26" t="s">
        <v>67</v>
      </c>
      <c r="D13" s="27" t="s">
        <v>68</v>
      </c>
      <c r="E13" s="28">
        <f t="shared" si="0"/>
        <v>3</v>
      </c>
      <c r="F13" s="29" t="s">
        <v>57</v>
      </c>
      <c r="G13" s="26"/>
      <c r="H13" s="22"/>
      <c r="I13" s="22"/>
      <c r="J13" s="22"/>
    </row>
    <row r="14" spans="1:10" ht="90" customHeight="1" x14ac:dyDescent="0.25">
      <c r="A14" s="25">
        <v>7</v>
      </c>
      <c r="B14" s="26" t="s">
        <v>9</v>
      </c>
      <c r="C14" s="26" t="s">
        <v>69</v>
      </c>
      <c r="D14" s="27" t="s">
        <v>70</v>
      </c>
      <c r="E14" s="28">
        <f t="shared" si="0"/>
        <v>3</v>
      </c>
      <c r="F14" s="29" t="s">
        <v>57</v>
      </c>
      <c r="G14" s="26"/>
      <c r="H14" s="22"/>
      <c r="I14" s="22"/>
      <c r="J14" s="22"/>
    </row>
    <row r="15" spans="1:10" ht="90" customHeight="1" x14ac:dyDescent="0.25">
      <c r="A15" s="25">
        <v>8</v>
      </c>
      <c r="B15" s="26" t="s">
        <v>9</v>
      </c>
      <c r="C15" s="26" t="s">
        <v>10</v>
      </c>
      <c r="D15" s="27" t="s">
        <v>59</v>
      </c>
      <c r="E15" s="28">
        <f t="shared" si="0"/>
        <v>3</v>
      </c>
      <c r="F15" s="29" t="s">
        <v>57</v>
      </c>
      <c r="G15" s="26"/>
      <c r="H15" s="22"/>
      <c r="I15" s="22"/>
      <c r="J15" s="22"/>
    </row>
    <row r="16" spans="1:10" ht="90" customHeight="1" x14ac:dyDescent="0.25">
      <c r="A16" s="25">
        <v>9</v>
      </c>
      <c r="B16" s="26" t="s">
        <v>45</v>
      </c>
      <c r="C16" s="26" t="s">
        <v>18</v>
      </c>
      <c r="D16" s="27" t="s">
        <v>17</v>
      </c>
      <c r="E16" s="28">
        <f t="shared" si="0"/>
        <v>3</v>
      </c>
      <c r="F16" s="29" t="s">
        <v>57</v>
      </c>
      <c r="G16" s="26"/>
      <c r="H16" s="22"/>
      <c r="I16" s="22"/>
      <c r="J16" s="22"/>
    </row>
    <row r="17" spans="1:10" ht="90" customHeight="1" x14ac:dyDescent="0.25">
      <c r="A17" s="25">
        <v>10</v>
      </c>
      <c r="B17" s="26" t="s">
        <v>45</v>
      </c>
      <c r="C17" s="26" t="s">
        <v>56</v>
      </c>
      <c r="D17" s="27" t="s">
        <v>60</v>
      </c>
      <c r="E17" s="28">
        <f t="shared" si="0"/>
        <v>3</v>
      </c>
      <c r="F17" s="29" t="s">
        <v>57</v>
      </c>
      <c r="G17" s="26"/>
      <c r="H17" s="22"/>
      <c r="I17" s="22"/>
      <c r="J17" s="22"/>
    </row>
    <row r="18" spans="1:10" ht="90" customHeight="1" x14ac:dyDescent="0.25">
      <c r="A18" s="25">
        <v>11</v>
      </c>
      <c r="B18" s="26" t="s">
        <v>45</v>
      </c>
      <c r="C18" s="26" t="s">
        <v>65</v>
      </c>
      <c r="D18" s="27" t="s">
        <v>15</v>
      </c>
      <c r="E18" s="28">
        <f t="shared" si="0"/>
        <v>3</v>
      </c>
      <c r="F18" s="29" t="s">
        <v>57</v>
      </c>
      <c r="G18" s="26"/>
      <c r="H18" s="22"/>
      <c r="I18" s="22"/>
      <c r="J18" s="22"/>
    </row>
    <row r="19" spans="1:10" ht="90" customHeight="1" x14ac:dyDescent="0.25">
      <c r="A19" s="25">
        <v>12</v>
      </c>
      <c r="B19" s="26" t="s">
        <v>45</v>
      </c>
      <c r="C19" s="26" t="s">
        <v>14</v>
      </c>
      <c r="D19" s="27" t="s">
        <v>13</v>
      </c>
      <c r="E19" s="28">
        <f t="shared" si="0"/>
        <v>3</v>
      </c>
      <c r="F19" s="29" t="s">
        <v>57</v>
      </c>
      <c r="G19" s="26"/>
      <c r="H19" s="22"/>
      <c r="I19" s="22"/>
      <c r="J19" s="22"/>
    </row>
    <row r="20" spans="1:10" ht="90" customHeight="1" x14ac:dyDescent="0.25">
      <c r="A20" s="25">
        <v>13</v>
      </c>
      <c r="B20" s="26" t="s">
        <v>46</v>
      </c>
      <c r="C20" s="26" t="s">
        <v>71</v>
      </c>
      <c r="D20" s="27" t="s">
        <v>72</v>
      </c>
      <c r="E20" s="28">
        <f>IF(F20="Yes",5,"0")</f>
        <v>5</v>
      </c>
      <c r="F20" s="29" t="s">
        <v>57</v>
      </c>
      <c r="G20" s="26"/>
      <c r="H20" s="22"/>
      <c r="I20" s="22"/>
      <c r="J20" s="22"/>
    </row>
    <row r="21" spans="1:10" ht="90" customHeight="1" x14ac:dyDescent="0.25">
      <c r="A21" s="25">
        <v>14</v>
      </c>
      <c r="B21" s="26" t="s">
        <v>46</v>
      </c>
      <c r="C21" s="26" t="s">
        <v>20</v>
      </c>
      <c r="D21" s="27" t="s">
        <v>73</v>
      </c>
      <c r="E21" s="28">
        <f>IF(F21="Yes",5,"0")</f>
        <v>5</v>
      </c>
      <c r="F21" s="29" t="s">
        <v>57</v>
      </c>
      <c r="G21" s="26"/>
      <c r="H21" s="22"/>
      <c r="I21" s="22"/>
      <c r="J21" s="22"/>
    </row>
    <row r="22" spans="1:10" ht="90" customHeight="1" x14ac:dyDescent="0.25">
      <c r="A22" s="25">
        <v>15</v>
      </c>
      <c r="B22" s="26" t="s">
        <v>46</v>
      </c>
      <c r="C22" s="26" t="s">
        <v>74</v>
      </c>
      <c r="D22" s="27" t="s">
        <v>79</v>
      </c>
      <c r="E22" s="28">
        <f>IF(F22="Yes",5,"0")</f>
        <v>5</v>
      </c>
      <c r="F22" s="29" t="s">
        <v>57</v>
      </c>
      <c r="G22" s="26"/>
      <c r="H22" s="22"/>
      <c r="I22" s="22"/>
      <c r="J22" s="22"/>
    </row>
    <row r="23" spans="1:10" ht="90" customHeight="1" x14ac:dyDescent="0.25">
      <c r="A23" s="25">
        <v>16</v>
      </c>
      <c r="B23" s="26" t="s">
        <v>46</v>
      </c>
      <c r="C23" s="26" t="s">
        <v>19</v>
      </c>
      <c r="D23" s="27" t="s">
        <v>77</v>
      </c>
      <c r="E23" s="28">
        <f>IF(F23="Yes",4,"0")</f>
        <v>4</v>
      </c>
      <c r="F23" s="29" t="s">
        <v>57</v>
      </c>
      <c r="G23" s="26"/>
      <c r="H23" s="22"/>
      <c r="I23" s="22"/>
      <c r="J23" s="22"/>
    </row>
    <row r="24" spans="1:10" ht="90" customHeight="1" x14ac:dyDescent="0.25">
      <c r="A24" s="25">
        <v>17</v>
      </c>
      <c r="B24" s="26" t="s">
        <v>46</v>
      </c>
      <c r="C24" s="26" t="s">
        <v>80</v>
      </c>
      <c r="D24" s="27" t="s">
        <v>81</v>
      </c>
      <c r="E24" s="28">
        <f>IF(F24="Yes",5,"0")</f>
        <v>5</v>
      </c>
      <c r="F24" s="29" t="s">
        <v>57</v>
      </c>
      <c r="G24" s="26"/>
      <c r="H24" s="22"/>
      <c r="I24" s="22"/>
      <c r="J24" s="22"/>
    </row>
    <row r="25" spans="1:10" ht="90" customHeight="1" x14ac:dyDescent="0.25">
      <c r="A25" s="25">
        <v>18</v>
      </c>
      <c r="B25" s="26" t="s">
        <v>46</v>
      </c>
      <c r="C25" s="26" t="s">
        <v>78</v>
      </c>
      <c r="D25" s="27" t="s">
        <v>86</v>
      </c>
      <c r="E25" s="28">
        <f>IF(F25="Yes",6,"0")</f>
        <v>6</v>
      </c>
      <c r="F25" s="29" t="s">
        <v>57</v>
      </c>
      <c r="G25" s="26"/>
      <c r="H25" s="22"/>
      <c r="I25" s="22"/>
      <c r="J25" s="22"/>
    </row>
    <row r="26" spans="1:10" ht="90" customHeight="1" x14ac:dyDescent="0.25">
      <c r="A26" s="25">
        <v>19</v>
      </c>
      <c r="B26" s="26" t="s">
        <v>46</v>
      </c>
      <c r="C26" s="26" t="s">
        <v>22</v>
      </c>
      <c r="D26" s="27" t="s">
        <v>82</v>
      </c>
      <c r="E26" s="28">
        <f>IF(F26="Yes",4,"0")</f>
        <v>4</v>
      </c>
      <c r="F26" s="29" t="s">
        <v>57</v>
      </c>
      <c r="G26" s="26"/>
      <c r="H26" s="22"/>
      <c r="I26" s="22"/>
      <c r="J26" s="22"/>
    </row>
    <row r="27" spans="1:10" ht="90" customHeight="1" x14ac:dyDescent="0.25">
      <c r="A27" s="25">
        <v>20</v>
      </c>
      <c r="B27" s="26" t="s">
        <v>46</v>
      </c>
      <c r="C27" s="26" t="s">
        <v>107</v>
      </c>
      <c r="D27" s="27" t="s">
        <v>108</v>
      </c>
      <c r="E27" s="28">
        <f>IF(F27="Yes",3,"0")</f>
        <v>3</v>
      </c>
      <c r="F27" s="29" t="s">
        <v>57</v>
      </c>
      <c r="G27" s="26"/>
      <c r="H27" s="22"/>
      <c r="I27" s="22"/>
      <c r="J27" s="22"/>
    </row>
    <row r="28" spans="1:10" ht="90" customHeight="1" x14ac:dyDescent="0.25">
      <c r="A28" s="25">
        <v>21</v>
      </c>
      <c r="B28" s="26" t="s">
        <v>46</v>
      </c>
      <c r="C28" s="26" t="s">
        <v>83</v>
      </c>
      <c r="D28" s="27" t="s">
        <v>84</v>
      </c>
      <c r="E28" s="28">
        <f>IF(F28="Yes",3,"0")</f>
        <v>3</v>
      </c>
      <c r="F28" s="29" t="s">
        <v>57</v>
      </c>
      <c r="G28" s="26"/>
      <c r="H28" s="22"/>
      <c r="I28" s="22"/>
      <c r="J28" s="22"/>
    </row>
    <row r="29" spans="1:10" ht="90" customHeight="1" x14ac:dyDescent="0.25">
      <c r="A29" s="25">
        <v>22</v>
      </c>
      <c r="B29" s="26" t="s">
        <v>46</v>
      </c>
      <c r="C29" s="26" t="s">
        <v>62</v>
      </c>
      <c r="D29" s="27" t="s">
        <v>61</v>
      </c>
      <c r="E29" s="28">
        <f>IF(F29="Yes",6,"0")</f>
        <v>6</v>
      </c>
      <c r="F29" s="29" t="s">
        <v>57</v>
      </c>
      <c r="G29" s="26"/>
      <c r="H29" s="22"/>
      <c r="I29" s="22"/>
      <c r="J29" s="22"/>
    </row>
    <row r="30" spans="1:10" ht="90" customHeight="1" x14ac:dyDescent="0.25">
      <c r="A30" s="25">
        <v>23</v>
      </c>
      <c r="B30" s="26" t="s">
        <v>47</v>
      </c>
      <c r="C30" s="26" t="s">
        <v>23</v>
      </c>
      <c r="D30" s="27" t="s">
        <v>87</v>
      </c>
      <c r="E30" s="28">
        <f>IF(F30="Yes",5,"0")</f>
        <v>5</v>
      </c>
      <c r="F30" s="29" t="s">
        <v>57</v>
      </c>
      <c r="G30" s="26"/>
      <c r="H30" s="22"/>
      <c r="I30" s="22"/>
      <c r="J30" s="22"/>
    </row>
    <row r="31" spans="1:10" ht="90" customHeight="1" x14ac:dyDescent="0.25">
      <c r="A31" s="25">
        <v>24</v>
      </c>
      <c r="B31" s="26" t="s">
        <v>47</v>
      </c>
      <c r="C31" s="26" t="s">
        <v>21</v>
      </c>
      <c r="D31" s="27" t="s">
        <v>88</v>
      </c>
      <c r="E31" s="28">
        <f>IF(F31="Yes",2,"0")</f>
        <v>2</v>
      </c>
      <c r="F31" s="29" t="s">
        <v>57</v>
      </c>
      <c r="G31" s="26"/>
      <c r="H31" s="22"/>
      <c r="I31" s="22"/>
      <c r="J31" s="22"/>
    </row>
    <row r="32" spans="1:10" ht="90" customHeight="1" x14ac:dyDescent="0.25">
      <c r="A32" s="25">
        <v>25</v>
      </c>
      <c r="B32" s="26" t="s">
        <v>47</v>
      </c>
      <c r="C32" s="26" t="s">
        <v>90</v>
      </c>
      <c r="D32" s="27" t="s">
        <v>91</v>
      </c>
      <c r="E32" s="28">
        <f>IF(F32="Yes",1,"0")</f>
        <v>1</v>
      </c>
      <c r="F32" s="29" t="s">
        <v>57</v>
      </c>
      <c r="G32" s="26"/>
      <c r="H32" s="22"/>
      <c r="I32" s="22"/>
      <c r="J32" s="22"/>
    </row>
    <row r="33" spans="1:10" ht="90" customHeight="1" x14ac:dyDescent="0.25">
      <c r="A33" s="25">
        <v>26</v>
      </c>
      <c r="B33" s="26" t="s">
        <v>47</v>
      </c>
      <c r="C33" s="26" t="s">
        <v>92</v>
      </c>
      <c r="D33" s="27" t="s">
        <v>93</v>
      </c>
      <c r="E33" s="28">
        <f>IF(F33="Yes",1,"0")</f>
        <v>1</v>
      </c>
      <c r="F33" s="29" t="s">
        <v>57</v>
      </c>
      <c r="G33" s="26"/>
      <c r="H33" s="22"/>
      <c r="I33" s="22"/>
      <c r="J33" s="22"/>
    </row>
    <row r="34" spans="1:10" ht="90" customHeight="1" x14ac:dyDescent="0.25">
      <c r="A34" s="25">
        <v>27</v>
      </c>
      <c r="B34" s="26" t="s">
        <v>47</v>
      </c>
      <c r="C34" s="26" t="s">
        <v>94</v>
      </c>
      <c r="D34" s="27" t="s">
        <v>95</v>
      </c>
      <c r="E34" s="28">
        <f>IF(F34="Yes",1,"0")</f>
        <v>1</v>
      </c>
      <c r="F34" s="29" t="s">
        <v>57</v>
      </c>
      <c r="G34" s="26"/>
      <c r="H34" s="22"/>
      <c r="I34" s="22"/>
      <c r="J34" s="22"/>
    </row>
    <row r="35" spans="1:10" ht="90" customHeight="1" x14ac:dyDescent="0.25">
      <c r="A35" s="25">
        <v>28</v>
      </c>
      <c r="B35" s="26" t="s">
        <v>47</v>
      </c>
      <c r="C35" s="26" t="s">
        <v>96</v>
      </c>
      <c r="D35" s="27" t="s">
        <v>97</v>
      </c>
      <c r="E35" s="28">
        <f>IF(F35="Yes",1,"0")</f>
        <v>1</v>
      </c>
      <c r="F35" s="29" t="s">
        <v>57</v>
      </c>
      <c r="G35" s="26"/>
      <c r="H35" s="22"/>
      <c r="I35" s="22"/>
      <c r="J35" s="22"/>
    </row>
    <row r="36" spans="1:10" ht="90" customHeight="1" x14ac:dyDescent="0.25">
      <c r="A36" s="25">
        <v>29</v>
      </c>
      <c r="B36" s="26" t="s">
        <v>47</v>
      </c>
      <c r="C36" s="26" t="s">
        <v>16</v>
      </c>
      <c r="D36" s="27" t="s">
        <v>98</v>
      </c>
      <c r="E36" s="28">
        <f>IF(F36="Yes",3,"0")</f>
        <v>3</v>
      </c>
      <c r="F36" s="29" t="s">
        <v>57</v>
      </c>
      <c r="G36" s="26"/>
      <c r="H36" s="22"/>
      <c r="I36" s="22"/>
      <c r="J36" s="22"/>
    </row>
    <row r="37" spans="1:10" ht="90" customHeight="1" x14ac:dyDescent="0.25">
      <c r="A37" s="25">
        <v>30</v>
      </c>
      <c r="B37" s="26" t="s">
        <v>47</v>
      </c>
      <c r="C37" s="26" t="s">
        <v>99</v>
      </c>
      <c r="D37" s="27" t="s">
        <v>100</v>
      </c>
      <c r="E37" s="28">
        <f>IF(F37="Yes",1,"0")</f>
        <v>1</v>
      </c>
      <c r="F37" s="29" t="s">
        <v>57</v>
      </c>
      <c r="G37" s="26"/>
      <c r="H37" s="22"/>
      <c r="I37" s="22"/>
      <c r="J37" s="22"/>
    </row>
    <row r="38" spans="1:10" ht="90" customHeight="1" x14ac:dyDescent="0.25">
      <c r="A38" s="25">
        <v>31</v>
      </c>
      <c r="B38" s="26" t="s">
        <v>47</v>
      </c>
      <c r="C38" s="26" t="s">
        <v>101</v>
      </c>
      <c r="D38" s="27" t="s">
        <v>102</v>
      </c>
      <c r="E38" s="28">
        <f>IF(F38="Yes",2,"0")</f>
        <v>2</v>
      </c>
      <c r="F38" s="29" t="s">
        <v>57</v>
      </c>
      <c r="G38" s="26"/>
      <c r="H38" s="22"/>
      <c r="I38" s="22"/>
      <c r="J38" s="22"/>
    </row>
    <row r="39" spans="1:10" ht="150" customHeight="1" x14ac:dyDescent="0.25">
      <c r="A39" s="25">
        <v>32</v>
      </c>
      <c r="B39" s="26" t="s">
        <v>103</v>
      </c>
      <c r="C39" s="26" t="s">
        <v>104</v>
      </c>
      <c r="D39" s="27" t="s">
        <v>105</v>
      </c>
      <c r="E39" s="28" t="s">
        <v>106</v>
      </c>
      <c r="F39" s="29" t="s">
        <v>57</v>
      </c>
      <c r="G39" s="26"/>
      <c r="H39" s="22"/>
      <c r="I39" s="22"/>
      <c r="J39" s="22"/>
    </row>
  </sheetData>
  <dataValidations disablePrompts="1" count="2">
    <dataValidation type="list" allowBlank="1" showInputMessage="1" showErrorMessage="1" sqref="D5:E5" xr:uid="{209844A2-BDBE-4DD2-84C3-E6C85BEDBE4A}">
      <formula1>"Collection Agency, Collection &amp; Repo Agency, Repo Agency"</formula1>
    </dataValidation>
    <dataValidation type="list" allowBlank="1" showInputMessage="1" showErrorMessage="1" sqref="F8:F39" xr:uid="{1EA5A757-2C38-4434-A177-98D4C44D778F}">
      <formula1>"Yes, No"</formula1>
    </dataValidation>
  </dataValidations>
  <pageMargins left="0.23622047244094491" right="0.23622047244094491" top="0.74803149606299213" bottom="0.74803149606299213" header="0.31496062992125984" footer="0.31496062992125984"/>
  <pageSetup paperSize="9" scale="5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showGridLines="0" workbookViewId="0"/>
  </sheetViews>
  <sheetFormatPr defaultColWidth="33.42578125" defaultRowHeight="13.8" x14ac:dyDescent="0.2"/>
  <cols>
    <col min="1" max="1" width="9" style="6" bestFit="1" customWidth="1"/>
    <col min="2" max="2" width="22.42578125" style="6" bestFit="1" customWidth="1"/>
    <col min="3" max="3" width="16" style="6" bestFit="1" customWidth="1"/>
    <col min="4" max="4" width="16.28515625" style="6" bestFit="1" customWidth="1"/>
    <col min="5" max="5" width="12.140625" style="6" bestFit="1" customWidth="1"/>
    <col min="6" max="6" width="16.85546875" style="6" bestFit="1" customWidth="1"/>
    <col min="7" max="7" width="33.42578125" style="6"/>
    <col min="8" max="8" width="6.140625" style="6" customWidth="1"/>
    <col min="9" max="9" width="5.42578125" style="6" customWidth="1"/>
    <col min="10" max="10" width="6.28515625" style="6" customWidth="1"/>
    <col min="11" max="11" width="8.7109375" style="6" customWidth="1"/>
    <col min="12" max="16384" width="33.42578125" style="6"/>
  </cols>
  <sheetData>
    <row r="1" spans="1:6" x14ac:dyDescent="0.2">
      <c r="A1" s="1" t="s">
        <v>25</v>
      </c>
      <c r="B1" s="8" t="s">
        <v>26</v>
      </c>
      <c r="C1" s="1" t="s">
        <v>27</v>
      </c>
      <c r="D1" s="1" t="s">
        <v>28</v>
      </c>
      <c r="E1" s="1" t="s">
        <v>29</v>
      </c>
      <c r="F1" s="1" t="s">
        <v>30</v>
      </c>
    </row>
    <row r="2" spans="1:6" ht="27.6" x14ac:dyDescent="0.2">
      <c r="A2" s="19">
        <v>1</v>
      </c>
      <c r="B2" s="7" t="s">
        <v>6</v>
      </c>
      <c r="C2" s="2">
        <f>COUNTIF('Repo Checklist'!$B$7:$B$39,B2)</f>
        <v>1</v>
      </c>
      <c r="D2" s="3">
        <v>4</v>
      </c>
      <c r="E2" s="3">
        <f>SUMIF('Repo Checklist'!$B$7:$B$39,'Score Parameters'!B2,'Repo Checklist'!$E$7:$E$39)</f>
        <v>4</v>
      </c>
      <c r="F2" s="17">
        <f>IFERROR(E2/D2,"-")</f>
        <v>1</v>
      </c>
    </row>
    <row r="3" spans="1:6" x14ac:dyDescent="0.2">
      <c r="A3" s="19">
        <v>2</v>
      </c>
      <c r="B3" s="7" t="s">
        <v>44</v>
      </c>
      <c r="C3" s="2">
        <f>COUNTIF('Repo Checklist'!$B$7:$B$39,B3)</f>
        <v>2</v>
      </c>
      <c r="D3" s="3">
        <v>6</v>
      </c>
      <c r="E3" s="3">
        <f>SUMIF('Repo Checklist'!$B$7:$B$39,'Score Parameters'!B3,'Repo Checklist'!$E$7:$E$39)</f>
        <v>6</v>
      </c>
      <c r="F3" s="17">
        <f t="shared" ref="F3:F8" si="0">IFERROR(E3/D3,"-")</f>
        <v>1</v>
      </c>
    </row>
    <row r="4" spans="1:6" x14ac:dyDescent="0.2">
      <c r="A4" s="19">
        <v>3</v>
      </c>
      <c r="B4" s="7" t="s">
        <v>9</v>
      </c>
      <c r="C4" s="2">
        <f>COUNTIF('Repo Checklist'!$B$7:$B$39,B4)</f>
        <v>5</v>
      </c>
      <c r="D4" s="3">
        <v>15</v>
      </c>
      <c r="E4" s="3">
        <f>SUMIF('Repo Checklist'!$B$7:$B$39,'Score Parameters'!B4,'Repo Checklist'!$E$7:$E$39)</f>
        <v>15</v>
      </c>
      <c r="F4" s="17">
        <f t="shared" si="0"/>
        <v>1</v>
      </c>
    </row>
    <row r="5" spans="1:6" x14ac:dyDescent="0.2">
      <c r="A5" s="19">
        <v>4</v>
      </c>
      <c r="B5" s="7" t="s">
        <v>45</v>
      </c>
      <c r="C5" s="2">
        <f>COUNTIF('Repo Checklist'!$B$7:$B$39,B5)</f>
        <v>4</v>
      </c>
      <c r="D5" s="3">
        <v>12</v>
      </c>
      <c r="E5" s="3">
        <f>SUMIF('Repo Checklist'!$B$7:$B$39,'Score Parameters'!B5,'Repo Checklist'!$E$7:$E$39)</f>
        <v>12</v>
      </c>
      <c r="F5" s="17">
        <f t="shared" si="0"/>
        <v>1</v>
      </c>
    </row>
    <row r="6" spans="1:6" ht="27.6" x14ac:dyDescent="0.2">
      <c r="A6" s="19">
        <v>6</v>
      </c>
      <c r="B6" s="7" t="s">
        <v>46</v>
      </c>
      <c r="C6" s="2">
        <f>COUNTIF('Repo Checklist'!$B$7:$B$39,B6)</f>
        <v>10</v>
      </c>
      <c r="D6" s="3">
        <v>46</v>
      </c>
      <c r="E6" s="3">
        <f>SUMIF('Repo Checklist'!$B$7:$B$39,'Score Parameters'!B6,'Repo Checklist'!$E$7:$E$39)</f>
        <v>46</v>
      </c>
      <c r="F6" s="17">
        <f t="shared" si="0"/>
        <v>1</v>
      </c>
    </row>
    <row r="7" spans="1:6" x14ac:dyDescent="0.2">
      <c r="A7" s="19">
        <v>7</v>
      </c>
      <c r="B7" s="7" t="s">
        <v>47</v>
      </c>
      <c r="C7" s="2">
        <f>COUNTIF('Repo Checklist'!$B$7:$B$39,B7)</f>
        <v>9</v>
      </c>
      <c r="D7" s="3">
        <v>17</v>
      </c>
      <c r="E7" s="3">
        <f>SUMIF('Repo Checklist'!$B$7:$B$39,'Score Parameters'!B7,'Repo Checklist'!$E$7:$E$39)</f>
        <v>17</v>
      </c>
      <c r="F7" s="17">
        <f t="shared" si="0"/>
        <v>1</v>
      </c>
    </row>
    <row r="8" spans="1:6" x14ac:dyDescent="0.2">
      <c r="A8" s="19">
        <v>8</v>
      </c>
      <c r="B8" s="7" t="s">
        <v>103</v>
      </c>
      <c r="C8" s="2">
        <f>COUNTIF('Repo Checklist'!$B$7:$B$39,B8)</f>
        <v>1</v>
      </c>
      <c r="D8" s="3">
        <v>0</v>
      </c>
      <c r="E8" s="3">
        <f>SUMIF('Repo Checklist'!$B$7:$B$39,'Score Parameters'!B8,'Repo Checklist'!$E$7:$E$39)</f>
        <v>0</v>
      </c>
      <c r="F8" s="17" t="str">
        <f t="shared" si="0"/>
        <v>-</v>
      </c>
    </row>
    <row r="9" spans="1:6" x14ac:dyDescent="0.2">
      <c r="A9" s="16"/>
      <c r="B9" s="8" t="s">
        <v>31</v>
      </c>
      <c r="C9" s="1">
        <f>SUM(C2:C8)</f>
        <v>32</v>
      </c>
      <c r="D9" s="20">
        <f>SUM(D2:D8)</f>
        <v>100</v>
      </c>
      <c r="E9" s="20">
        <f>SUM(E2:E8)</f>
        <v>100</v>
      </c>
      <c r="F9" s="18">
        <f>E9/D9</f>
        <v>1</v>
      </c>
    </row>
    <row r="10" spans="1:6" x14ac:dyDescent="0.2">
      <c r="A10" s="34" t="s">
        <v>32</v>
      </c>
      <c r="B10" s="34"/>
      <c r="C10" s="34"/>
      <c r="D10" s="34"/>
      <c r="E10" s="34"/>
      <c r="F10" s="1" t="str" cm="1">
        <f t="array" ref="F10">_xlfn.IFS(F9&gt;=80%,B13,F9&gt;=70%,B14,F9&gt;=60%,B15,F9&gt;=50%,B16,F9&lt;=49%,B17)</f>
        <v>A</v>
      </c>
    </row>
    <row r="12" spans="1:6" hidden="1" x14ac:dyDescent="0.2">
      <c r="B12" s="4" t="s">
        <v>42</v>
      </c>
      <c r="C12" s="5" t="s">
        <v>43</v>
      </c>
    </row>
    <row r="13" spans="1:6" hidden="1" x14ac:dyDescent="0.2">
      <c r="B13" s="9" t="s">
        <v>33</v>
      </c>
      <c r="C13" s="10" t="s">
        <v>34</v>
      </c>
    </row>
    <row r="14" spans="1:6" hidden="1" x14ac:dyDescent="0.2">
      <c r="B14" s="11" t="s">
        <v>35</v>
      </c>
      <c r="C14" s="10" t="s">
        <v>36</v>
      </c>
    </row>
    <row r="15" spans="1:6" hidden="1" x14ac:dyDescent="0.2">
      <c r="B15" s="12" t="s">
        <v>37</v>
      </c>
      <c r="C15" s="10" t="s">
        <v>66</v>
      </c>
    </row>
    <row r="16" spans="1:6" hidden="1" x14ac:dyDescent="0.2">
      <c r="B16" s="13" t="s">
        <v>38</v>
      </c>
      <c r="C16" s="10" t="s">
        <v>39</v>
      </c>
    </row>
    <row r="17" spans="2:3" ht="14.4" hidden="1" thickBot="1" x14ac:dyDescent="0.25">
      <c r="B17" s="14" t="s">
        <v>40</v>
      </c>
      <c r="C17" s="15" t="s">
        <v>41</v>
      </c>
    </row>
    <row r="18" spans="2:3" hidden="1" x14ac:dyDescent="0.2"/>
  </sheetData>
  <mergeCells count="1">
    <mergeCell ref="A10:E10"/>
  </mergeCells>
  <conditionalFormatting sqref="B13:B17">
    <cfRule type="colorScale" priority="1">
      <colorScale>
        <cfvo type="min"/>
        <cfvo type="percentile" val="50"/>
        <cfvo type="max"/>
        <color rgb="FFF8696B"/>
        <color rgb="FFFFEB84"/>
        <color rgb="FF63BE7B"/>
      </colorScale>
    </cfRule>
  </conditionalFormatting>
  <conditionalFormatting sqref="F9">
    <cfRule type="cellIs" dxfId="2" priority="5" operator="greaterThan">
      <formula>0.8</formula>
    </cfRule>
    <cfRule type="cellIs" dxfId="1" priority="6" operator="between">
      <formula>0.6</formula>
      <formula>0.8</formula>
    </cfRule>
    <cfRule type="cellIs" dxfId="0" priority="7" operator="between">
      <formula>0</formula>
      <formula>0.5999</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497B80-A936-4519-8A3E-617F634A3902}">
  <ds:schemaRefs>
    <ds:schemaRef ds:uri="http://schemas.microsoft.com/sharepoint/v3/contenttype/forms"/>
  </ds:schemaRefs>
</ds:datastoreItem>
</file>

<file path=customXml/itemProps2.xml><?xml version="1.0" encoding="utf-8"?>
<ds:datastoreItem xmlns:ds="http://schemas.openxmlformats.org/officeDocument/2006/customXml" ds:itemID="{811DE56B-2DE6-43EB-9A84-91DE4EA53BF9}">
  <ds:schemaRefs>
    <ds:schemaRef ds:uri="http://schemas.microsoft.com/office/2006/metadata/properties"/>
    <ds:schemaRef ds:uri="http://purl.org/dc/elements/1.1/"/>
    <ds:schemaRef ds:uri="http://schemas.microsoft.com/office/infopath/2007/PartnerControls"/>
    <ds:schemaRef ds:uri="http://purl.org/dc/dcmitype/"/>
    <ds:schemaRef ds:uri="http://schemas.microsoft.com/office/2006/documentManagement/types"/>
    <ds:schemaRef ds:uri="http://purl.org/dc/terms/"/>
    <ds:schemaRef ds:uri="http://schemas.openxmlformats.org/package/2006/metadata/core-properties"/>
    <ds:schemaRef ds:uri="2bc29a05-2ca3-4765-9547-41c11361a102"/>
    <ds:schemaRef ds:uri="0115396f-2e4a-4d2a-ba9c-df4d17cb71a2"/>
    <ds:schemaRef ds:uri="http://www.w3.org/XML/1998/namespace"/>
  </ds:schemaRefs>
</ds:datastoreItem>
</file>

<file path=customXml/itemProps3.xml><?xml version="1.0" encoding="utf-8"?>
<ds:datastoreItem xmlns:ds="http://schemas.openxmlformats.org/officeDocument/2006/customXml" ds:itemID="{6789A49F-30F9-49A4-A731-E5F463A99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Repo Checklist</vt:lpstr>
      <vt:lpstr>Score Parameters</vt:lpstr>
      <vt:lpstr>'Repo Checklist'!Print_Titles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2026-04-23T07:47:46Z</cp:lastPrinted>
  <dcterms:created xsi:type="dcterms:W3CDTF">2022-09-05T09:55:28Z</dcterms:created>
  <dcterms:modified xsi:type="dcterms:W3CDTF">2026-06-17T07:22:32Z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