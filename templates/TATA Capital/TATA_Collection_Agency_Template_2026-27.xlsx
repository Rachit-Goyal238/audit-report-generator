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chit Goyal\Downloads\"/>
    </mc:Choice>
  </mc:AlternateContent>
  <xr:revisionPtr revIDLastSave="0" documentId="13_ncr:1_{6443A126-8661-4BA3-868B-5DD6BCB93930}" xr6:coauthVersionLast="47" xr6:coauthVersionMax="47" xr10:uidLastSave="{00000000-0000-0000-0000-000000000000}"/>
  <bookViews>
    <workbookView xWindow="-108" yWindow="-108" windowWidth="23256" windowHeight="12456" xr2:uid="{00000000-000D-0000-FFFF-FFFF00000000}"/>
  </bookViews>
  <sheets>
    <sheet name="Checklist" sheetId="2" r:id="rId1"/>
    <sheet name="Score Parameters" sheetId="1" r:id="rId2"/>
  </sheets>
  <definedNames>
    <definedName name="_xlnm._FilterDatabase" localSheetId="0" hidden="1">Checklist!$A$7:$J$58</definedName>
    <definedName name="_xlnm._FilterDatabase" localSheetId="1" hidden="1">'Score Parameters'!$A$1:$F$13</definedName>
    <definedName name="_xlnm.Print_Titles" localSheetId="0">Checklist!$7:$7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1" l="1"/>
  <c r="F11" i="1" s="1"/>
  <c r="C11" i="1"/>
  <c r="C10" i="1"/>
  <c r="C9" i="1"/>
  <c r="C8" i="1"/>
  <c r="C7" i="1"/>
  <c r="C6" i="1"/>
  <c r="C5" i="1"/>
  <c r="C4" i="1"/>
  <c r="C3" i="1"/>
  <c r="C2" i="1"/>
  <c r="E41" i="2" l="1"/>
  <c r="E56" i="2"/>
  <c r="E10" i="1" s="1"/>
  <c r="F10" i="1" s="1"/>
  <c r="E53" i="2"/>
  <c r="E52" i="2"/>
  <c r="E51" i="2"/>
  <c r="E44" i="2"/>
  <c r="E50" i="2"/>
  <c r="E49" i="2"/>
  <c r="E55" i="2"/>
  <c r="E54" i="2"/>
  <c r="E43" i="2"/>
  <c r="E42" i="2"/>
  <c r="E48" i="2"/>
  <c r="E47" i="2"/>
  <c r="E46" i="2"/>
  <c r="E45" i="2"/>
  <c r="E40" i="2"/>
  <c r="E38" i="2"/>
  <c r="E36" i="2"/>
  <c r="E35" i="2"/>
  <c r="E34" i="2"/>
  <c r="E33" i="2"/>
  <c r="E32" i="2"/>
  <c r="E31" i="2"/>
  <c r="E30" i="2"/>
  <c r="E29" i="2"/>
  <c r="E28" i="2"/>
  <c r="E27" i="2"/>
  <c r="E26" i="2"/>
  <c r="E25" i="2"/>
  <c r="E24" i="2"/>
  <c r="E23" i="2"/>
  <c r="E21" i="2"/>
  <c r="E19" i="2"/>
  <c r="E17" i="2"/>
  <c r="E16" i="2"/>
  <c r="E15" i="2"/>
  <c r="E14" i="2"/>
  <c r="E13" i="2"/>
  <c r="E10" i="2"/>
  <c r="E9" i="1" l="1"/>
  <c r="F9" i="1" s="1"/>
  <c r="E7" i="1"/>
  <c r="F7" i="1" s="1"/>
  <c r="E6" i="1"/>
  <c r="F6" i="1" s="1"/>
  <c r="E18" i="2"/>
  <c r="E5" i="1" s="1"/>
  <c r="F5" i="1" s="1"/>
  <c r="E12" i="2"/>
  <c r="E4" i="1" s="1"/>
  <c r="F4" i="1" s="1"/>
  <c r="E37" i="2"/>
  <c r="E8" i="1" s="1"/>
  <c r="F8" i="1" s="1"/>
  <c r="E9" i="2"/>
  <c r="E2" i="1" s="1"/>
  <c r="F2" i="1" s="1"/>
  <c r="E11" i="2" l="1"/>
  <c r="E3" i="1" s="1"/>
  <c r="F3" i="1" s="1"/>
  <c r="D12" i="1" l="1"/>
  <c r="C12" i="1" l="1"/>
  <c r="E12" i="1"/>
  <c r="F12" i="1" s="1"/>
  <c r="F13" i="1"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<sst xmlns="http://schemas.openxmlformats.org/spreadsheetml/2006/main" count="207" uniqueCount="150">
  <si>
    <t>S. No.</t>
  </si>
  <si>
    <t>Particulars</t>
  </si>
  <si>
    <t>Key Points</t>
  </si>
  <si>
    <t>Weightage</t>
  </si>
  <si>
    <t>Actual</t>
  </si>
  <si>
    <t>Percentage</t>
  </si>
  <si>
    <t>Allocation Compliance</t>
  </si>
  <si>
    <t>Call recording</t>
  </si>
  <si>
    <t>Cash Collection</t>
  </si>
  <si>
    <t>Data Security</t>
  </si>
  <si>
    <t>Identity cards</t>
  </si>
  <si>
    <t>Infra and others</t>
  </si>
  <si>
    <t>Record Management</t>
  </si>
  <si>
    <t>Settlement Compliance</t>
  </si>
  <si>
    <t>TCOC</t>
  </si>
  <si>
    <t>Total</t>
  </si>
  <si>
    <t>FINAL RATING</t>
  </si>
  <si>
    <t>Rating</t>
  </si>
  <si>
    <t>Scoring Segmentation</t>
  </si>
  <si>
    <t>A</t>
  </si>
  <si>
    <t>&gt;=80</t>
  </si>
  <si>
    <t>B</t>
  </si>
  <si>
    <t>&gt;=70 and &lt;=79</t>
  </si>
  <si>
    <t>C</t>
  </si>
  <si>
    <t>D</t>
  </si>
  <si>
    <t>&gt;=50 and &lt;=59</t>
  </si>
  <si>
    <t>E</t>
  </si>
  <si>
    <t>&lt;=49</t>
  </si>
  <si>
    <t>Agency Code</t>
  </si>
  <si>
    <t>Auditor Name</t>
  </si>
  <si>
    <t>Agency Name</t>
  </si>
  <si>
    <t>Audit Date</t>
  </si>
  <si>
    <t>Agency Address</t>
  </si>
  <si>
    <t>Collection Manager</t>
  </si>
  <si>
    <t>Type of agency</t>
  </si>
  <si>
    <t>Agency Manager</t>
  </si>
  <si>
    <t>Sr.No.</t>
  </si>
  <si>
    <t>Rating Category</t>
  </si>
  <si>
    <t>Short Segmentation</t>
  </si>
  <si>
    <t>Particular</t>
  </si>
  <si>
    <t>Compliance status
 (Yes / No)</t>
  </si>
  <si>
    <t>Final Score</t>
  </si>
  <si>
    <t>Observation</t>
  </si>
  <si>
    <t>Account to Collector Ratio – Not adequate</t>
  </si>
  <si>
    <t>Account to Collector Ratio – Stats need to be mentioned</t>
  </si>
  <si>
    <t>Not All cases allocated to agency CREs</t>
  </si>
  <si>
    <t>Check whether all the cases allocated to agency in being allocated to CRE</t>
  </si>
  <si>
    <t>Only Observation Point</t>
  </si>
  <si>
    <t>Call recording facility not available</t>
  </si>
  <si>
    <t>Whether all agents are trained on the code of conduct and are well dressed while on field ? (Need to check the acknowledgement of the training given by CM) 
Authorisation Letter - Signed by Collection Manager must required with CREs details</t>
  </si>
  <si>
    <t>Deposit delay seen during sample check</t>
  </si>
  <si>
    <t>Agency system has no restrictions hence data may fall into wrong hands</t>
  </si>
  <si>
    <t>Allocation files were not password protected</t>
  </si>
  <si>
    <t>Data is being shared on unregistered email ids</t>
  </si>
  <si>
    <t>Data purging is not being done – Old allocation files were available in agency's system</t>
  </si>
  <si>
    <t>NDC not shared</t>
  </si>
  <si>
    <t>Not cooperated by agency during audit</t>
  </si>
  <si>
    <t>Whether full cooperation/complete &amp; timely data was received from agency for completing audit?</t>
  </si>
  <si>
    <t>Vendor code not created</t>
  </si>
  <si>
    <t>Tata capital's name being used in agency office</t>
  </si>
  <si>
    <t>Has the agency made any reference to company's name on the his's name board &amp; e-mail ?</t>
  </si>
  <si>
    <t>PV report not available</t>
  </si>
  <si>
    <t>Collection Deposit sheets not maintained by agency office</t>
  </si>
  <si>
    <t>Feedback file not shared on daily basis</t>
  </si>
  <si>
    <t>Trails are not being updated at 100%</t>
  </si>
  <si>
    <t>Vendor agreement not available at agency office</t>
  </si>
  <si>
    <t>Vendor performance document not available at agency office</t>
  </si>
  <si>
    <t>Whether monthly vendor performance review is documented with complete &amp; correct details in blue book every month. All Allocated cases to be documented in blue book correctly. (To check/validate the same during audit).</t>
  </si>
  <si>
    <t>Visitor register not available</t>
  </si>
  <si>
    <t>Customer Escalations received</t>
  </si>
  <si>
    <t>Settlement non-compliance reported at agency</t>
  </si>
  <si>
    <t>Settlement requests are not being shared with CM/RCM over email</t>
  </si>
  <si>
    <t>Whether Settlement requests being raised only after informing CM/RCM over email with proper details?</t>
  </si>
  <si>
    <t>Declaration cum undertaking in blue book</t>
  </si>
  <si>
    <t xml:space="preserve">Infrastructure declaration </t>
  </si>
  <si>
    <t>Infrastructure declaration to be submitted by the agency every month in the blue book</t>
  </si>
  <si>
    <t>Blue Book</t>
  </si>
  <si>
    <t>Whether data shared through mail are password protected / appropriate security measures are adopted by agency?</t>
  </si>
  <si>
    <t>Whether any Settlement non-compliance reported in agency? If yes then how many cases were there?
(Sample check of settlement cases to checked - required to verify this point)
For e.g. Is there any instances of money collected before settlement approval or void settlement?</t>
  </si>
  <si>
    <t>Whether Declaration Cum Undertaking is filled and signed by the agency and CM/CCM in the Blue Book every month?</t>
  </si>
  <si>
    <t>Unauthorized transaction in customer account</t>
  </si>
  <si>
    <t>Telephone Etiquette not followed</t>
  </si>
  <si>
    <t>Whether agency has restricted access of Desktop / Laptops/ Emails are enabled? Check whether agency do not have access of USB/Floppy/CD drives/Google Drive/Cloud storage/share drive/WhatsApp/any data sharing application for data transfer?</t>
  </si>
  <si>
    <t>Data Retention</t>
  </si>
  <si>
    <t>Whether separate/exclusive system, Place/work Station, Email ID and Manpower is provided?</t>
  </si>
  <si>
    <t>Whether blue book is available at the Agency?</t>
  </si>
  <si>
    <t>Monthly Audit and Compliance Checkpoints</t>
  </si>
  <si>
    <t>Whether data has been retained at the agency's system and Email ID as per policy (T+3 months)?</t>
  </si>
  <si>
    <t>In case of resignation / termination of any executive whether it is communicated within TAT of 24 hours; (M-collect ID should be deactivated )</t>
  </si>
  <si>
    <t xml:space="preserve">Whether all agency executives, backends, Supervisor,Proprieter, CRE's Police verification are vetted &amp; no negative Police verification CRE's are working at the agency? </t>
  </si>
  <si>
    <t>Whether all allocated cases feedback are getting reviewed by collection manager every month?</t>
  </si>
  <si>
    <t>Check whether tele callers using pseudo names?</t>
  </si>
  <si>
    <t>Whether the Code of Conduct posters/ Collections Dos and Don'ts/ any other communication displayed in the offices?</t>
  </si>
  <si>
    <t>Miscellaneous</t>
  </si>
  <si>
    <t>Whether 100% of trails uploaded by agency for cases allocated to them? All trails are uploaded should be quality trails.</t>
  </si>
  <si>
    <t>- Whether agency CRE has collected cash more than Rs. 1.99 lacs at any point in time during the Emi Months? (Sum of collected amount to be checked as per Loan No./customer name)
- PAN at the time of collecting cash more than Rs. 49k</t>
  </si>
  <si>
    <t>Any instances where the CRE collected the money from the customer but the same was not deposited In customer account/not deposited to agency/not deposited in TCL?</t>
  </si>
  <si>
    <t>Whether NDC is provided by the agency on quarterly basis? 
Whether any pending bill is available at agency?(Only Observation)</t>
  </si>
  <si>
    <t>Whether Collection deposit slips maintain by agency?</t>
  </si>
  <si>
    <t>Monthly Audit and Compliance checkpoints have been done and details to be correctly/completely filled and maintained at agency in the Blue Book?</t>
  </si>
  <si>
    <t>No Dues Certificate to be printed and maintained and data to be recorded in the Blue Book.</t>
  </si>
  <si>
    <t xml:space="preserve"> Check whether all CRE's are DRA Certified?</t>
  </si>
  <si>
    <t>Check whether All CRE's , Backend, Supervisor KYC maintained and Aadhaar masking done at Agency ? Also check whether OSV done For CRE's by Collection Team?</t>
  </si>
  <si>
    <t>TCOC training not given by TCL Collection Manager</t>
  </si>
  <si>
    <t>No exclusive system provided to TCL portfolio</t>
  </si>
  <si>
    <t>Current address is not updated to TCL</t>
  </si>
  <si>
    <t>All CREs have valid ID Cards of TCL</t>
  </si>
  <si>
    <t>If assigned CRE resigned/terminated it is not communicated to TCL</t>
  </si>
  <si>
    <t>Collection agency need to be taken declaration on code of conduct from all CRE's and this must be stored.</t>
  </si>
  <si>
    <t xml:space="preserve">Whether the valid vendor agreement and the latest pay-out grid maintained at the agency? </t>
  </si>
  <si>
    <t>Collection agents are DRA Certified</t>
  </si>
  <si>
    <t>KYC of all agents not available</t>
  </si>
  <si>
    <t>NDC not recorded in Blue Book</t>
  </si>
  <si>
    <t>Whether Call recording facility is available at the agency &amp; is in working condition? Also, check whether all calls made to the customers via M collect App?</t>
  </si>
  <si>
    <t>Whether Training tracker in the Blue Book has been properly filled with all necessary fields and maintained at agency?</t>
  </si>
  <si>
    <t>COC declaration from all Agents must be stored</t>
  </si>
  <si>
    <t xml:space="preserve">TCOC training not recorded </t>
  </si>
  <si>
    <t>Whether allocation for Collection cases given to the agency post vendor code creation only?</t>
  </si>
  <si>
    <t>&gt;=60 and &lt;=69</t>
  </si>
  <si>
    <t>Whether call recording data is maintained as per policy? Also, check whether agency has done calling via M Collect App? Whether 100% call recording is done and maintained by the agency &amp; retrieved all sample calls provided during audit?(Dialler + M-Collect)</t>
  </si>
  <si>
    <t>Cash Collection limit of 2 Lacs breached</t>
  </si>
  <si>
    <t>Multiple Receipt with Multiple Pin Code</t>
  </si>
  <si>
    <t>Receipts Issuance in Non Working Hours</t>
  </si>
  <si>
    <t xml:space="preserve">Any instance where M-Collect Receipt has been issued in Non-Working Hours </t>
  </si>
  <si>
    <t>Receipts issuance by other Agency</t>
  </si>
  <si>
    <t>Whether agency has submitted Data Purging Declaration and recorded in the blue book every month? (T+3 months)</t>
  </si>
  <si>
    <t>Whether agency has purged data as per policy?</t>
  </si>
  <si>
    <t>Check whether agency do not have access of any internal access tool like SFDC/DMS/Any other tool?</t>
  </si>
  <si>
    <t>Whether all active CRE has M-collect ID in system? (M-collect should be active)
Is there M-collect ID of any CRE being used by another CRE?</t>
  </si>
  <si>
    <t xml:space="preserve">Data Purging Declaration </t>
  </si>
  <si>
    <t>Agency Manpower Register</t>
  </si>
  <si>
    <t>Whether all CRE details are captured in the agency manpower register in the Blue Book ?</t>
  </si>
  <si>
    <t>Whether telephone etiquette is followed in calls? Any Non Compliance as per code of conduct &amp; TCOC also if any Misbehaviour observed in calls to be noted.</t>
  </si>
  <si>
    <t>TCL Posters</t>
  </si>
  <si>
    <t>Pseudo names</t>
  </si>
  <si>
    <t>Customer payment not deposited to agency or TCL</t>
  </si>
  <si>
    <t>Call recording Storage/Maintenance</t>
  </si>
  <si>
    <t>Any escalations received from customer against Agency/agency CRE during the audit period and ratification action thereon as well as repetition of such instances in future. Whether any fraud reported by Agency/CRE during the last 1 year, if yes, brief details as well as current status thereof. 
Incase any penalty has been levied same has been implemented or not, for e.g. Any CRE need to be removed as per Penalty matrix revert, need to check whether that CRE has been removed or not from TCL portfolios</t>
  </si>
  <si>
    <t>Whether the agency ensures that collections deposited within the TAT?Is there any instance of delayed deposition (More than 2 Days), If so, how many such instances are there</t>
  </si>
  <si>
    <t xml:space="preserve">Unauthorized transaction in customer account, For Example-Payment done on behalf of Customer or accepting payment in CRE's personal account (GPay, Paytm or any other wallet/bank account). </t>
  </si>
  <si>
    <t>Whether agency has updated address &amp; other details in company records and, In case agency providing services in  multiple locations to TCL Collection then it must be documented with TCL team.</t>
  </si>
  <si>
    <t>M-Collect Receipts issuance data to be reviewed, in case any CRE issuing unrealistic no. of receipts, reasons to be check</t>
  </si>
  <si>
    <t>Any Receipts issued by the agency which is not in allocation Or CM/Off role are issuing receipts instead of same agency</t>
  </si>
  <si>
    <t>Whether any mail containing financial institution's data sent to third party / unregistered mail Ids / unauthorized sharing? Customer Call/Chat on unauthorized channels like what's ap/Facebook or any other unauthorized mode of communication? In case agencies using secondary mail id, it must be documented with TCL team.</t>
  </si>
  <si>
    <t>Whether all active CREs working for TCL portfolio having Digital ID Cards with them? Also, check whether any executive using unauthorized ID card while on field?</t>
  </si>
  <si>
    <t>Not all CREs have M Collect ID's</t>
  </si>
  <si>
    <t>Whether agency maintains TCL visitor details in in Blue Book every month? Also, check if Manager / Senior manager visiting the agency signs the visiting register maintained at the agency.</t>
  </si>
  <si>
    <t>Closing Meeting Comments</t>
  </si>
  <si>
    <t>Pending Status
(Open/ Closed)</t>
  </si>
  <si>
    <t>Timelines for 
Non-Closure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</si>
</sst>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0"/>
      <color theme="1"/>
      <name val="Calibri"/>
      <family val="2"/>
      <scheme val="minor"/>
    </font>
    <font>
      <b/>
      <sz val="10"/>
      <color theme="0"/>
      <name val="Calibri"/>
      <family val="2"/>
      <scheme val="minor"/>
    </font>
    <font>
      <sz val="10"/>
      <color theme="3" tint="-0.499984740745262"/>
      <name val="Calibri"/>
      <family val="2"/>
      <scheme val="minor"/>
    </font>
    <font>
      <b/>
      <sz val="10"/>
      <color theme="3" tint="-0.499984740745262"/>
      <name val="Calibri"/>
      <family val="2"/>
      <scheme val="minor"/>
    </font>
    <font>
      <sz val="10"/>
      <name val="Calibri"/>
      <family val="2"/>
      <scheme val="minor"/>
    </font>
    <font>
      <b/>
      <sz val="9"/>
      <color theme="0"/>
      <name val="Calibri"/>
      <family val="2"/>
      <scheme val="minor"/>
    </font>
    <font>
      <sz val="9"/>
      <color theme="1"/>
      <name val="Calibri"/>
      <family val="2"/>
      <scheme val="minor"/>
    </font>
    <font>
      <b/>
      <sz val="9"/>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B7D7D"/>
        <bgColor indexed="64"/>
      </patternFill>
    </fill>
    <fill>
      <patternFill patternType="solid">
        <fgColor rgb="FFFF111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8">
    <xf numFmtId="0" fontId="0" fillId="0" borderId="0" xfId="0"/>
    <xf numFmtId="0" fontId="3" fillId="4" borderId="1" xfId="0" applyFont="1" applyFill="1" applyBorder="1" applyAlignment="1">
      <alignment horizontal="center" vertical="center"/>
    </xf>
    <xf numFmtId="0" fontId="2" fillId="0" borderId="0" xfId="0" applyFont="1"/>
    <xf numFmtId="9" fontId="2" fillId="0" borderId="0" xfId="0" applyNumberFormat="1" applyFont="1"/>
    <xf numFmtId="0" fontId="2" fillId="0" borderId="0" xfId="0" applyFont="1" applyAlignment="1">
      <alignment wrapText="1"/>
    </xf>
    <xf numFmtId="0" fontId="2" fillId="0" borderId="0" xfId="0" applyFont="1" applyAlignment="1">
      <alignment horizontal="center" wrapText="1"/>
    </xf>
    <xf numFmtId="0" fontId="3" fillId="4" borderId="1" xfId="0" applyFont="1" applyFill="1" applyBorder="1" applyAlignment="1">
      <alignment horizontal="center"/>
    </xf>
    <xf numFmtId="0" fontId="6" fillId="5" borderId="1" xfId="0" applyFont="1" applyFill="1" applyBorder="1" applyAlignment="1">
      <alignment horizontal="center"/>
    </xf>
    <xf numFmtId="0" fontId="2" fillId="0" borderId="1" xfId="0" applyFont="1" applyBorder="1" applyAlignment="1">
      <alignment horizontal="center"/>
    </xf>
    <xf numFmtId="0" fontId="6" fillId="6" borderId="1" xfId="0" applyFont="1" applyFill="1" applyBorder="1" applyAlignment="1">
      <alignment horizontal="center"/>
    </xf>
    <xf numFmtId="0" fontId="6" fillId="7" borderId="1" xfId="0" applyFont="1" applyFill="1" applyBorder="1" applyAlignment="1">
      <alignment horizontal="center"/>
    </xf>
    <xf numFmtId="0" fontId="6" fillId="8" borderId="1" xfId="0" applyFont="1" applyFill="1" applyBorder="1" applyAlignment="1">
      <alignment horizontal="center"/>
    </xf>
    <xf numFmtId="0" fontId="6" fillId="9" borderId="1" xfId="0" applyFont="1" applyFill="1" applyBorder="1" applyAlignment="1">
      <alignment horizontal="center"/>
    </xf>
    <xf numFmtId="0" fontId="4" fillId="0" borderId="1" xfId="0" applyFont="1" applyBorder="1" applyAlignment="1">
      <alignment horizontal="center"/>
    </xf>
    <xf numFmtId="0" fontId="2" fillId="0" borderId="1" xfId="0" applyFont="1" applyBorder="1" applyAlignment="1">
      <alignment vertical="center"/>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9" fontId="5" fillId="0" borderId="1" xfId="1"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xf numFmtId="9" fontId="5" fillId="2" borderId="1" xfId="1" applyFont="1" applyFill="1" applyBorder="1" applyAlignment="1">
      <alignment horizontal="center" vertical="center"/>
    </xf>
    <xf numFmtId="0" fontId="3" fillId="4" borderId="1" xfId="0" applyFont="1" applyFill="1" applyBorder="1" applyAlignment="1">
      <alignment horizontal="left" vertical="center"/>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8" fillId="0" borderId="0" xfId="0" applyFont="1" applyAlignment="1">
      <alignment horizontal="center" vertical="top"/>
    </xf>
    <xf numFmtId="0" fontId="8" fillId="0" borderId="0" xfId="0" applyFont="1" applyAlignment="1">
      <alignment vertical="top"/>
    </xf>
    <xf numFmtId="0" fontId="8" fillId="0" borderId="0" xfId="0" applyFont="1" applyAlignment="1">
      <alignment horizontal="left" vertical="top" wrapText="1"/>
    </xf>
    <xf numFmtId="0" fontId="8" fillId="0" borderId="0" xfId="0" applyFont="1" applyAlignment="1">
      <alignment vertical="top" wrapText="1"/>
    </xf>
    <xf numFmtId="0" fontId="7" fillId="4" borderId="1" xfId="0" applyFont="1" applyFill="1" applyBorder="1" applyAlignment="1">
      <alignment horizontal="left" vertical="top" wrapText="1"/>
    </xf>
    <xf numFmtId="0" fontId="8" fillId="0" borderId="1" xfId="0" applyFont="1" applyBorder="1" applyAlignment="1">
      <alignment horizontal="left" vertical="top"/>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14" fontId="8" fillId="0" borderId="1" xfId="0" applyNumberFormat="1" applyFont="1" applyBorder="1" applyAlignment="1">
      <alignment horizontal="center" vertical="top" wrapText="1"/>
    </xf>
    <xf numFmtId="14" fontId="8" fillId="0" borderId="1" xfId="0" applyNumberFormat="1" applyFont="1" applyBorder="1" applyAlignment="1">
      <alignment horizontal="left" vertical="top" wrapText="1"/>
    </xf>
    <xf numFmtId="0" fontId="8" fillId="3" borderId="1" xfId="0" applyFont="1" applyFill="1" applyBorder="1" applyAlignment="1">
      <alignment horizontal="left" vertical="top" wrapText="1"/>
    </xf>
    <xf numFmtId="1" fontId="8" fillId="3" borderId="1" xfId="0" applyNumberFormat="1" applyFont="1" applyFill="1" applyBorder="1" applyAlignment="1">
      <alignment horizontal="left" vertical="top" wrapText="1"/>
    </xf>
    <xf numFmtId="0" fontId="8" fillId="3" borderId="1" xfId="0" applyFont="1" applyFill="1" applyBorder="1" applyAlignment="1">
      <alignment horizontal="center" vertical="top" wrapText="1"/>
    </xf>
    <xf numFmtId="0" fontId="8" fillId="0" borderId="1" xfId="0" quotePrefix="1" applyFont="1" applyBorder="1" applyAlignment="1">
      <alignment horizontal="left" vertical="top" wrapText="1"/>
    </xf>
    <xf numFmtId="0" fontId="9" fillId="0" borderId="0" xfId="0" applyFont="1" applyAlignment="1">
      <alignment vertical="top"/>
    </xf>
    <xf numFmtId="0" fontId="9" fillId="3" borderId="1" xfId="0" applyFont="1" applyFill="1" applyBorder="1" applyAlignment="1">
      <alignment horizontal="center" vertical="top" wrapText="1"/>
    </xf>
    <xf numFmtId="0" fontId="9" fillId="0" borderId="1" xfId="0" applyFont="1" applyBorder="1" applyAlignment="1">
      <alignment horizontal="left" vertical="top" wrapText="1"/>
    </xf>
    <xf numFmtId="15" fontId="8" fillId="0" borderId="0" xfId="0" applyNumberFormat="1" applyFont="1" applyAlignment="1">
      <alignment horizontal="center" vertical="top"/>
    </xf>
    <xf numFmtId="15" fontId="7" fillId="4" borderId="1" xfId="0" applyNumberFormat="1" applyFont="1" applyFill="1" applyBorder="1" applyAlignment="1">
      <alignment horizontal="center" vertical="center" wrapText="1"/>
    </xf>
    <xf numFmtId="0" fontId="9" fillId="0" borderId="1" xfId="0" applyFont="1" applyBorder="1" applyAlignment="1">
      <alignment horizontal="center" vertical="top" wrapText="1"/>
    </xf>
    <xf numFmtId="15" fontId="9" fillId="0" borderId="1" xfId="0" applyNumberFormat="1" applyFont="1" applyBorder="1" applyAlignment="1">
      <alignment horizontal="center" vertical="top" wrapText="1"/>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cellXfs>
  <cellStyles count="2">
    <cellStyle name="Normal" xfId="0" builtinId="0"/>
    <cellStyle name="Percent" xfId="1" builtinId="5"/>
  </cellStyles>
  <dxfs count="3">
    <dxf>
      <fill>
        <patternFill>
          <bgColor rgb="FFFF2F2F"/>
        </patternFill>
      </fill>
    </dxf>
    <dxf>
      <fill>
        <patternFill>
          <bgColor rgb="FFFFC91D"/>
        </patternFill>
      </fill>
    </dxf>
    <dxf>
      <fill>
        <patternFill>
          <bgColor rgb="FFA4D76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62"/>
  <sheetViews>
    <sheetView showGridLines="0" tabSelected="1" topLeftCell="D1" workbookViewId="0">
      <selection activeCell="F8" sqref="F8"/>
    </sheetView>
  </sheetViews>
  <sheetFormatPr defaultColWidth="8.6640625" defaultRowHeight="12" x14ac:dyDescent="0.3"/>
  <cols>
    <col min="1" max="1" width="5.6640625" style="24" bestFit="1" customWidth="1"/>
    <col min="2" max="2" width="17.33203125" style="25" bestFit="1" customWidth="1"/>
    <col min="3" max="3" width="21.44140625" style="27" bestFit="1" customWidth="1"/>
    <col min="4" max="4" width="42.44140625" style="25" customWidth="1"/>
    <col min="5" max="5" width="17.33203125" style="25" hidden="1" customWidth="1"/>
    <col min="6" max="6" width="18.5546875" style="25" bestFit="1" customWidth="1"/>
    <col min="7" max="7" width="36.5546875" style="25" customWidth="1"/>
    <col min="8" max="8" width="33.6640625" style="25" customWidth="1"/>
    <col min="9" max="9" width="16.109375" style="24" bestFit="1" customWidth="1"/>
    <col min="10" max="10" width="18.33203125" style="41" bestFit="1" customWidth="1"/>
    <col min="11" max="16384" width="8.6640625" style="25"/>
  </cols>
  <sheetData>
    <row r="1" spans="1:10" x14ac:dyDescent="0.3">
      <c r="C1" s="26"/>
      <c r="D1" s="27"/>
    </row>
    <row r="2" spans="1:10" ht="39.9" customHeight="1" x14ac:dyDescent="0.3">
      <c r="C2" s="28" t="s">
        <v>28</v>
      </c>
      <c r="D2" s="29"/>
      <c r="E2" s="30"/>
      <c r="F2" s="28" t="s">
        <v>29</v>
      </c>
      <c r="G2" s="31"/>
    </row>
    <row r="3" spans="1:10" ht="39.9" customHeight="1" x14ac:dyDescent="0.3">
      <c r="C3" s="28" t="s">
        <v>30</v>
      </c>
      <c r="D3" s="29"/>
      <c r="E3" s="32"/>
      <c r="F3" s="28" t="s">
        <v>31</v>
      </c>
      <c r="G3" s="33"/>
    </row>
    <row r="4" spans="1:10" ht="39.9" customHeight="1" x14ac:dyDescent="0.3">
      <c r="C4" s="28" t="s">
        <v>32</v>
      </c>
      <c r="D4" s="31"/>
      <c r="E4" s="30"/>
      <c r="F4" s="28" t="s">
        <v>33</v>
      </c>
      <c r="G4" s="31"/>
    </row>
    <row r="5" spans="1:10" ht="39.9" customHeight="1" x14ac:dyDescent="0.3">
      <c r="C5" s="28" t="s">
        <v>34</v>
      </c>
      <c r="D5" s="29"/>
      <c r="E5" s="30"/>
      <c r="F5" s="28" t="s">
        <v>35</v>
      </c>
      <c r="G5" s="31"/>
    </row>
    <row r="6" spans="1:10" x14ac:dyDescent="0.3">
      <c r="C6" s="26"/>
      <c r="D6" s="27"/>
    </row>
    <row r="7" spans="1:10" ht="24" x14ac:dyDescent="0.3">
      <c r="A7" s="22" t="s">
        <v>36</v>
      </c>
      <c r="B7" s="23" t="s">
        <v>37</v>
      </c>
      <c r="C7" s="23" t="s">
        <v>38</v>
      </c>
      <c r="D7" s="23" t="s">
        <v>39</v>
      </c>
      <c r="E7" s="23" t="s">
        <v>41</v>
      </c>
      <c r="F7" s="22" t="s">
        <v>40</v>
      </c>
      <c r="G7" s="23" t="s">
        <v>42</v>
      </c>
      <c r="H7" s="23" t="s">
        <v>147</v>
      </c>
      <c r="I7" s="22" t="s">
        <v>148</v>
      </c>
      <c r="J7" s="42" t="s">
        <v>149</v>
      </c>
    </row>
    <row r="8" spans="1:10" ht="90" customHeight="1" x14ac:dyDescent="0.3">
      <c r="A8" s="30">
        <v>1</v>
      </c>
      <c r="B8" s="31" t="s">
        <v>6</v>
      </c>
      <c r="C8" s="31" t="s">
        <v>43</v>
      </c>
      <c r="D8" s="34" t="s">
        <v>44</v>
      </c>
      <c r="E8" s="35" t="s">
        <v>47</v>
      </c>
      <c r="F8" s="36"/>
      <c r="G8" s="31"/>
      <c r="H8" s="31"/>
      <c r="I8" s="30"/>
      <c r="J8" s="30"/>
    </row>
    <row r="9" spans="1:10" ht="90" customHeight="1" x14ac:dyDescent="0.3">
      <c r="A9" s="30">
        <v>2</v>
      </c>
      <c r="B9" s="31" t="s">
        <v>6</v>
      </c>
      <c r="C9" s="31" t="s">
        <v>45</v>
      </c>
      <c r="D9" s="34" t="s">
        <v>46</v>
      </c>
      <c r="E9" s="35" t="str">
        <f>IF(F9="Yes",3,"0")</f>
        <v>0</v>
      </c>
      <c r="F9" s="36"/>
      <c r="G9" s="31"/>
      <c r="H9" s="31"/>
      <c r="I9" s="30"/>
      <c r="J9" s="30"/>
    </row>
    <row r="10" spans="1:10" ht="90" customHeight="1" x14ac:dyDescent="0.3">
      <c r="A10" s="30">
        <v>3</v>
      </c>
      <c r="B10" s="31" t="s">
        <v>7</v>
      </c>
      <c r="C10" s="31" t="s">
        <v>48</v>
      </c>
      <c r="D10" s="34" t="s">
        <v>113</v>
      </c>
      <c r="E10" s="35" t="str">
        <f>IF(F10="Yes",5,"0")</f>
        <v>0</v>
      </c>
      <c r="F10" s="39"/>
      <c r="G10" s="40"/>
      <c r="H10" s="40"/>
      <c r="I10" s="43"/>
      <c r="J10" s="44"/>
    </row>
    <row r="11" spans="1:10" ht="90" customHeight="1" x14ac:dyDescent="0.3">
      <c r="A11" s="30">
        <v>4</v>
      </c>
      <c r="B11" s="31" t="s">
        <v>7</v>
      </c>
      <c r="C11" s="31" t="s">
        <v>136</v>
      </c>
      <c r="D11" s="31" t="s">
        <v>119</v>
      </c>
      <c r="E11" s="35" t="str">
        <f>IF(F11="Yes",4,"0")</f>
        <v>0</v>
      </c>
      <c r="F11" s="39"/>
      <c r="G11" s="40"/>
      <c r="H11" s="40"/>
      <c r="I11" s="43"/>
      <c r="J11" s="44"/>
    </row>
    <row r="12" spans="1:10" ht="90" customHeight="1" x14ac:dyDescent="0.3">
      <c r="A12" s="30">
        <v>5</v>
      </c>
      <c r="B12" s="31" t="s">
        <v>14</v>
      </c>
      <c r="C12" s="31" t="s">
        <v>81</v>
      </c>
      <c r="D12" s="31" t="s">
        <v>132</v>
      </c>
      <c r="E12" s="35" t="str">
        <f>IF(F12="Yes",3,"0")</f>
        <v>0</v>
      </c>
      <c r="F12" s="39"/>
      <c r="G12" s="40"/>
      <c r="H12" s="40"/>
      <c r="I12" s="43"/>
      <c r="J12" s="44"/>
    </row>
    <row r="13" spans="1:10" ht="90" customHeight="1" x14ac:dyDescent="0.3">
      <c r="A13" s="30">
        <v>6</v>
      </c>
      <c r="B13" s="31" t="s">
        <v>14</v>
      </c>
      <c r="C13" s="31" t="s">
        <v>134</v>
      </c>
      <c r="D13" s="34" t="s">
        <v>91</v>
      </c>
      <c r="E13" s="35" t="str">
        <f>IF(F13="Yes",2,"0")</f>
        <v>0</v>
      </c>
      <c r="F13" s="39"/>
      <c r="G13" s="40"/>
      <c r="H13" s="40"/>
      <c r="I13" s="43"/>
      <c r="J13" s="44"/>
    </row>
    <row r="14" spans="1:10" ht="90" customHeight="1" x14ac:dyDescent="0.3">
      <c r="A14" s="30">
        <v>7</v>
      </c>
      <c r="B14" s="31" t="s">
        <v>14</v>
      </c>
      <c r="C14" s="31" t="s">
        <v>133</v>
      </c>
      <c r="D14" s="34" t="s">
        <v>92</v>
      </c>
      <c r="E14" s="35" t="str">
        <f>IF(F14="Yes",2,"0")</f>
        <v>0</v>
      </c>
      <c r="F14" s="36"/>
      <c r="G14" s="31"/>
      <c r="H14" s="31"/>
      <c r="I14" s="30"/>
      <c r="J14" s="30"/>
    </row>
    <row r="15" spans="1:10" ht="90" customHeight="1" x14ac:dyDescent="0.3">
      <c r="A15" s="30">
        <v>8</v>
      </c>
      <c r="B15" s="31" t="s">
        <v>14</v>
      </c>
      <c r="C15" s="31" t="s">
        <v>103</v>
      </c>
      <c r="D15" s="34" t="s">
        <v>49</v>
      </c>
      <c r="E15" s="35" t="str">
        <f>IF(F15="Yes",2,"0")</f>
        <v>0</v>
      </c>
      <c r="F15" s="39"/>
      <c r="G15" s="40"/>
      <c r="H15" s="40"/>
      <c r="I15" s="43"/>
      <c r="J15" s="44"/>
    </row>
    <row r="16" spans="1:10" ht="90" customHeight="1" x14ac:dyDescent="0.3">
      <c r="A16" s="30">
        <v>9</v>
      </c>
      <c r="B16" s="31" t="s">
        <v>14</v>
      </c>
      <c r="C16" s="31" t="s">
        <v>115</v>
      </c>
      <c r="D16" s="34" t="s">
        <v>108</v>
      </c>
      <c r="E16" s="35" t="str">
        <f>IF(F16="Yes",2,"0")</f>
        <v>0</v>
      </c>
      <c r="F16" s="36"/>
      <c r="G16" s="31"/>
      <c r="H16" s="31"/>
      <c r="I16" s="30"/>
      <c r="J16" s="30"/>
    </row>
    <row r="17" spans="1:10" ht="90" customHeight="1" x14ac:dyDescent="0.3">
      <c r="A17" s="30">
        <v>10</v>
      </c>
      <c r="B17" s="31" t="s">
        <v>8</v>
      </c>
      <c r="C17" s="31" t="s">
        <v>120</v>
      </c>
      <c r="D17" s="31" t="s">
        <v>95</v>
      </c>
      <c r="E17" s="35" t="str">
        <f>IF(F17="Yes",2,"0")</f>
        <v>0</v>
      </c>
      <c r="F17" s="36"/>
      <c r="G17" s="31"/>
      <c r="H17" s="31"/>
      <c r="I17" s="30"/>
      <c r="J17" s="30"/>
    </row>
    <row r="18" spans="1:10" ht="90" customHeight="1" x14ac:dyDescent="0.3">
      <c r="A18" s="30">
        <v>11</v>
      </c>
      <c r="B18" s="31" t="s">
        <v>8</v>
      </c>
      <c r="C18" s="31" t="s">
        <v>50</v>
      </c>
      <c r="D18" s="31" t="s">
        <v>138</v>
      </c>
      <c r="E18" s="35" t="str">
        <f>IF(F18="Yes",5,"0")</f>
        <v>0</v>
      </c>
      <c r="F18" s="36"/>
      <c r="G18" s="31"/>
      <c r="H18" s="31"/>
      <c r="I18" s="30"/>
      <c r="J18" s="30"/>
    </row>
    <row r="19" spans="1:10" ht="90" customHeight="1" x14ac:dyDescent="0.3">
      <c r="A19" s="30">
        <v>12</v>
      </c>
      <c r="B19" s="31" t="s">
        <v>8</v>
      </c>
      <c r="C19" s="31" t="s">
        <v>80</v>
      </c>
      <c r="D19" s="31" t="s">
        <v>139</v>
      </c>
      <c r="E19" s="35" t="str">
        <f>IF(F19="Yes",3,"0")</f>
        <v>0</v>
      </c>
      <c r="F19" s="36"/>
      <c r="G19" s="31"/>
      <c r="H19" s="31"/>
      <c r="I19" s="30"/>
      <c r="J19" s="30"/>
    </row>
    <row r="20" spans="1:10" ht="90" customHeight="1" x14ac:dyDescent="0.3">
      <c r="A20" s="30">
        <v>13</v>
      </c>
      <c r="B20" s="31" t="s">
        <v>8</v>
      </c>
      <c r="C20" s="31" t="s">
        <v>121</v>
      </c>
      <c r="D20" s="31" t="s">
        <v>141</v>
      </c>
      <c r="E20" s="35" t="s">
        <v>47</v>
      </c>
      <c r="F20" s="36"/>
      <c r="G20" s="31"/>
      <c r="H20" s="31"/>
      <c r="I20" s="30"/>
      <c r="J20" s="30"/>
    </row>
    <row r="21" spans="1:10" ht="90" customHeight="1" x14ac:dyDescent="0.3">
      <c r="A21" s="30">
        <v>14</v>
      </c>
      <c r="B21" s="31" t="s">
        <v>8</v>
      </c>
      <c r="C21" s="31" t="s">
        <v>122</v>
      </c>
      <c r="D21" s="31" t="s">
        <v>123</v>
      </c>
      <c r="E21" s="35" t="str">
        <f>IF(F21="Yes",3,"0")</f>
        <v>0</v>
      </c>
      <c r="F21" s="36"/>
      <c r="G21" s="31"/>
      <c r="H21" s="31"/>
      <c r="I21" s="30"/>
      <c r="J21" s="30"/>
    </row>
    <row r="22" spans="1:10" ht="90" customHeight="1" x14ac:dyDescent="0.3">
      <c r="A22" s="30">
        <v>15</v>
      </c>
      <c r="B22" s="31" t="s">
        <v>8</v>
      </c>
      <c r="C22" s="31" t="s">
        <v>124</v>
      </c>
      <c r="D22" s="31" t="s">
        <v>142</v>
      </c>
      <c r="E22" s="35" t="s">
        <v>47</v>
      </c>
      <c r="F22" s="36"/>
      <c r="G22" s="31"/>
      <c r="H22" s="31"/>
      <c r="I22" s="30"/>
      <c r="J22" s="30"/>
    </row>
    <row r="23" spans="1:10" ht="90" customHeight="1" x14ac:dyDescent="0.3">
      <c r="A23" s="30">
        <v>16</v>
      </c>
      <c r="B23" s="31" t="s">
        <v>8</v>
      </c>
      <c r="C23" s="31" t="s">
        <v>135</v>
      </c>
      <c r="D23" s="34" t="s">
        <v>96</v>
      </c>
      <c r="E23" s="35" t="str">
        <f>IF(F23="Yes",3,"0")</f>
        <v>0</v>
      </c>
      <c r="F23" s="36"/>
      <c r="G23" s="31"/>
      <c r="H23" s="31"/>
      <c r="I23" s="30"/>
      <c r="J23" s="30"/>
    </row>
    <row r="24" spans="1:10" ht="90" customHeight="1" x14ac:dyDescent="0.3">
      <c r="A24" s="30">
        <v>17</v>
      </c>
      <c r="B24" s="31" t="s">
        <v>9</v>
      </c>
      <c r="C24" s="31" t="s">
        <v>51</v>
      </c>
      <c r="D24" s="34" t="s">
        <v>82</v>
      </c>
      <c r="E24" s="35" t="str">
        <f>IF(F24="Yes",4,"0")</f>
        <v>0</v>
      </c>
      <c r="F24" s="36"/>
      <c r="G24" s="31"/>
      <c r="H24" s="31"/>
      <c r="I24" s="30"/>
      <c r="J24" s="30"/>
    </row>
    <row r="25" spans="1:10" ht="90" customHeight="1" x14ac:dyDescent="0.3">
      <c r="A25" s="30">
        <v>18</v>
      </c>
      <c r="B25" s="31" t="s">
        <v>9</v>
      </c>
      <c r="C25" s="31" t="s">
        <v>52</v>
      </c>
      <c r="D25" s="34" t="s">
        <v>77</v>
      </c>
      <c r="E25" s="35" t="str">
        <f>IF(F25="Yes",2,"0")</f>
        <v>0</v>
      </c>
      <c r="F25" s="36"/>
      <c r="G25" s="31"/>
      <c r="H25" s="31"/>
      <c r="I25" s="30"/>
      <c r="J25" s="30"/>
    </row>
    <row r="26" spans="1:10" ht="110.1" customHeight="1" x14ac:dyDescent="0.3">
      <c r="A26" s="30">
        <v>19</v>
      </c>
      <c r="B26" s="31" t="s">
        <v>9</v>
      </c>
      <c r="C26" s="31" t="s">
        <v>53</v>
      </c>
      <c r="D26" s="31" t="s">
        <v>143</v>
      </c>
      <c r="E26" s="35" t="str">
        <f>IF(F26="Yes",3,"0")</f>
        <v>0</v>
      </c>
      <c r="F26" s="36"/>
      <c r="G26" s="31"/>
      <c r="H26" s="31"/>
      <c r="I26" s="30"/>
      <c r="J26" s="30"/>
    </row>
    <row r="27" spans="1:10" ht="90" customHeight="1" x14ac:dyDescent="0.3">
      <c r="A27" s="30">
        <v>20</v>
      </c>
      <c r="B27" s="31" t="s">
        <v>9</v>
      </c>
      <c r="C27" s="31" t="s">
        <v>54</v>
      </c>
      <c r="D27" s="34" t="s">
        <v>126</v>
      </c>
      <c r="E27" s="35" t="str">
        <f>IF(F27="Yes",3,"0")</f>
        <v>0</v>
      </c>
      <c r="F27" s="36"/>
      <c r="G27" s="31"/>
      <c r="H27" s="31"/>
      <c r="I27" s="30"/>
      <c r="J27" s="30"/>
    </row>
    <row r="28" spans="1:10" ht="90" customHeight="1" x14ac:dyDescent="0.3">
      <c r="A28" s="30">
        <v>21</v>
      </c>
      <c r="B28" s="31" t="s">
        <v>9</v>
      </c>
      <c r="C28" s="31" t="s">
        <v>83</v>
      </c>
      <c r="D28" s="34" t="s">
        <v>87</v>
      </c>
      <c r="E28" s="35" t="str">
        <f>IF(F28="Yes",2,"0")</f>
        <v>0</v>
      </c>
      <c r="F28" s="36"/>
      <c r="G28" s="31"/>
      <c r="H28" s="31"/>
      <c r="I28" s="30"/>
      <c r="J28" s="30"/>
    </row>
    <row r="29" spans="1:10" ht="90" customHeight="1" x14ac:dyDescent="0.3">
      <c r="A29" s="30">
        <v>22</v>
      </c>
      <c r="B29" s="31" t="s">
        <v>9</v>
      </c>
      <c r="C29" s="31" t="s">
        <v>51</v>
      </c>
      <c r="D29" s="34" t="s">
        <v>127</v>
      </c>
      <c r="E29" s="35" t="str">
        <f>IF(F29="Yes",2,"0")</f>
        <v>0</v>
      </c>
      <c r="F29" s="36"/>
      <c r="G29" s="31"/>
      <c r="H29" s="31"/>
      <c r="I29" s="30"/>
      <c r="J29" s="30"/>
    </row>
    <row r="30" spans="1:10" ht="90" customHeight="1" x14ac:dyDescent="0.3">
      <c r="A30" s="30">
        <v>23</v>
      </c>
      <c r="B30" s="31" t="s">
        <v>9</v>
      </c>
      <c r="C30" s="31" t="s">
        <v>104</v>
      </c>
      <c r="D30" s="34" t="s">
        <v>84</v>
      </c>
      <c r="E30" s="35" t="str">
        <f>IF(F30="Yes",3,"0")</f>
        <v>0</v>
      </c>
      <c r="F30" s="36"/>
      <c r="G30" s="31"/>
      <c r="H30" s="31"/>
      <c r="I30" s="30"/>
      <c r="J30" s="30"/>
    </row>
    <row r="31" spans="1:10" ht="90" customHeight="1" x14ac:dyDescent="0.3">
      <c r="A31" s="30">
        <v>24</v>
      </c>
      <c r="B31" s="31" t="s">
        <v>11</v>
      </c>
      <c r="C31" s="31" t="s">
        <v>105</v>
      </c>
      <c r="D31" s="31" t="s">
        <v>140</v>
      </c>
      <c r="E31" s="35" t="str">
        <f>IF(F31="Yes",1,"0")</f>
        <v>0</v>
      </c>
      <c r="F31" s="36"/>
      <c r="G31" s="31"/>
      <c r="H31" s="31"/>
      <c r="I31" s="30"/>
      <c r="J31" s="30"/>
    </row>
    <row r="32" spans="1:10" ht="90" customHeight="1" x14ac:dyDescent="0.3">
      <c r="A32" s="30">
        <v>25</v>
      </c>
      <c r="B32" s="31" t="s">
        <v>11</v>
      </c>
      <c r="C32" s="31" t="s">
        <v>56</v>
      </c>
      <c r="D32" s="34" t="s">
        <v>57</v>
      </c>
      <c r="E32" s="35" t="str">
        <f>IF(F32="Yes",1,"0")</f>
        <v>0</v>
      </c>
      <c r="F32" s="36"/>
      <c r="G32" s="31"/>
      <c r="H32" s="31"/>
      <c r="I32" s="30"/>
      <c r="J32" s="30"/>
    </row>
    <row r="33" spans="1:10" ht="90" customHeight="1" x14ac:dyDescent="0.3">
      <c r="A33" s="30">
        <v>26</v>
      </c>
      <c r="B33" s="31" t="s">
        <v>11</v>
      </c>
      <c r="C33" s="37" t="s">
        <v>58</v>
      </c>
      <c r="D33" s="34" t="s">
        <v>117</v>
      </c>
      <c r="E33" s="35" t="str">
        <f>IF(F33="Yes",1,"0")</f>
        <v>0</v>
      </c>
      <c r="F33" s="36"/>
      <c r="G33" s="31"/>
      <c r="H33" s="31"/>
      <c r="I33" s="30"/>
      <c r="J33" s="30"/>
    </row>
    <row r="34" spans="1:10" ht="90" customHeight="1" x14ac:dyDescent="0.3">
      <c r="A34" s="30">
        <v>27</v>
      </c>
      <c r="B34" s="31" t="s">
        <v>11</v>
      </c>
      <c r="C34" s="31" t="s">
        <v>59</v>
      </c>
      <c r="D34" s="34" t="s">
        <v>60</v>
      </c>
      <c r="E34" s="35" t="str">
        <f>IF(F34="Yes",1,"0")</f>
        <v>0</v>
      </c>
      <c r="F34" s="36"/>
      <c r="G34" s="31"/>
      <c r="H34" s="31"/>
      <c r="I34" s="30"/>
      <c r="J34" s="30"/>
    </row>
    <row r="35" spans="1:10" ht="90" customHeight="1" x14ac:dyDescent="0.3">
      <c r="A35" s="30">
        <v>28</v>
      </c>
      <c r="B35" s="31" t="s">
        <v>10</v>
      </c>
      <c r="C35" s="31" t="s">
        <v>106</v>
      </c>
      <c r="D35" s="31" t="s">
        <v>144</v>
      </c>
      <c r="E35" s="35" t="str">
        <f>IF(F35="Yes",3,"0")</f>
        <v>0</v>
      </c>
      <c r="F35" s="36"/>
      <c r="G35" s="31"/>
      <c r="H35" s="31"/>
      <c r="I35" s="30"/>
      <c r="J35" s="30"/>
    </row>
    <row r="36" spans="1:10" ht="90" customHeight="1" x14ac:dyDescent="0.3">
      <c r="A36" s="30">
        <v>29</v>
      </c>
      <c r="B36" s="31" t="s">
        <v>10</v>
      </c>
      <c r="C36" s="31" t="s">
        <v>107</v>
      </c>
      <c r="D36" s="34" t="s">
        <v>88</v>
      </c>
      <c r="E36" s="35" t="str">
        <f>IF(F36="Yes",2,"0")</f>
        <v>0</v>
      </c>
      <c r="F36" s="36"/>
      <c r="G36" s="31"/>
      <c r="H36" s="31"/>
      <c r="I36" s="30"/>
      <c r="J36" s="30"/>
    </row>
    <row r="37" spans="1:10" ht="90" customHeight="1" x14ac:dyDescent="0.3">
      <c r="A37" s="30">
        <v>30</v>
      </c>
      <c r="B37" s="31" t="s">
        <v>10</v>
      </c>
      <c r="C37" s="31" t="s">
        <v>145</v>
      </c>
      <c r="D37" s="34" t="s">
        <v>128</v>
      </c>
      <c r="E37" s="35" t="str">
        <f>IF(F37="Yes",4,"0")</f>
        <v>0</v>
      </c>
      <c r="F37" s="36"/>
      <c r="G37" s="31"/>
      <c r="H37" s="31"/>
      <c r="I37" s="30"/>
      <c r="J37" s="30"/>
    </row>
    <row r="38" spans="1:10" ht="90" customHeight="1" x14ac:dyDescent="0.3">
      <c r="A38" s="30">
        <v>31</v>
      </c>
      <c r="B38" s="31" t="s">
        <v>10</v>
      </c>
      <c r="C38" s="31" t="s">
        <v>61</v>
      </c>
      <c r="D38" s="34" t="s">
        <v>89</v>
      </c>
      <c r="E38" s="35" t="str">
        <f>IF(F38="Yes",3,"0")</f>
        <v>0</v>
      </c>
      <c r="F38" s="36"/>
      <c r="G38" s="31"/>
      <c r="H38" s="31"/>
      <c r="I38" s="30"/>
      <c r="J38" s="30"/>
    </row>
    <row r="39" spans="1:10" ht="90" customHeight="1" x14ac:dyDescent="0.3">
      <c r="A39" s="30">
        <v>32</v>
      </c>
      <c r="B39" s="31" t="s">
        <v>12</v>
      </c>
      <c r="C39" s="31" t="s">
        <v>62</v>
      </c>
      <c r="D39" s="34" t="s">
        <v>98</v>
      </c>
      <c r="E39" s="35" t="s">
        <v>47</v>
      </c>
      <c r="F39" s="36"/>
      <c r="G39" s="31"/>
      <c r="H39" s="31"/>
      <c r="I39" s="30"/>
      <c r="J39" s="30"/>
    </row>
    <row r="40" spans="1:10" ht="90" customHeight="1" x14ac:dyDescent="0.3">
      <c r="A40" s="30">
        <v>33</v>
      </c>
      <c r="B40" s="31" t="s">
        <v>12</v>
      </c>
      <c r="C40" s="31" t="s">
        <v>63</v>
      </c>
      <c r="D40" s="34" t="s">
        <v>90</v>
      </c>
      <c r="E40" s="35" t="str">
        <f>IF(F40="Yes",1,"0")</f>
        <v>0</v>
      </c>
      <c r="F40" s="36"/>
      <c r="G40" s="31"/>
      <c r="H40" s="31"/>
      <c r="I40" s="30"/>
      <c r="J40" s="30"/>
    </row>
    <row r="41" spans="1:10" ht="90" customHeight="1" x14ac:dyDescent="0.3">
      <c r="A41" s="30">
        <v>34</v>
      </c>
      <c r="B41" s="31" t="s">
        <v>12</v>
      </c>
      <c r="C41" s="31" t="s">
        <v>116</v>
      </c>
      <c r="D41" s="31" t="s">
        <v>114</v>
      </c>
      <c r="E41" s="35" t="str">
        <f>IF(F41="Yes",2,"0")</f>
        <v>0</v>
      </c>
      <c r="F41" s="39"/>
      <c r="G41" s="40"/>
      <c r="H41" s="40"/>
      <c r="I41" s="43"/>
      <c r="J41" s="44"/>
    </row>
    <row r="42" spans="1:10" ht="90" customHeight="1" x14ac:dyDescent="0.3">
      <c r="A42" s="30">
        <v>35</v>
      </c>
      <c r="B42" s="31" t="s">
        <v>12</v>
      </c>
      <c r="C42" s="31" t="s">
        <v>64</v>
      </c>
      <c r="D42" s="34" t="s">
        <v>94</v>
      </c>
      <c r="E42" s="35" t="str">
        <f>IF(F42="Yes",2,"0")</f>
        <v>0</v>
      </c>
      <c r="F42" s="39"/>
      <c r="G42" s="40"/>
      <c r="H42" s="40"/>
      <c r="I42" s="43"/>
      <c r="J42" s="44"/>
    </row>
    <row r="43" spans="1:10" ht="90" customHeight="1" x14ac:dyDescent="0.3">
      <c r="A43" s="30">
        <v>36</v>
      </c>
      <c r="B43" s="31" t="s">
        <v>12</v>
      </c>
      <c r="C43" s="31" t="s">
        <v>65</v>
      </c>
      <c r="D43" s="34" t="s">
        <v>109</v>
      </c>
      <c r="E43" s="35" t="str">
        <f>IF(F43="Yes",2,"0")</f>
        <v>0</v>
      </c>
      <c r="F43" s="39"/>
      <c r="G43" s="40"/>
      <c r="H43" s="40"/>
      <c r="I43" s="43"/>
      <c r="J43" s="44"/>
    </row>
    <row r="44" spans="1:10" ht="90" customHeight="1" x14ac:dyDescent="0.3">
      <c r="A44" s="30">
        <v>37</v>
      </c>
      <c r="B44" s="31" t="s">
        <v>12</v>
      </c>
      <c r="C44" s="31" t="s">
        <v>110</v>
      </c>
      <c r="D44" s="34" t="s">
        <v>101</v>
      </c>
      <c r="E44" s="35" t="str">
        <f>IF(F44="Yes",1,"0")</f>
        <v>0</v>
      </c>
      <c r="F44" s="36"/>
      <c r="G44" s="31"/>
      <c r="H44" s="31"/>
      <c r="I44" s="30"/>
      <c r="J44" s="30"/>
    </row>
    <row r="45" spans="1:10" ht="90" customHeight="1" x14ac:dyDescent="0.3">
      <c r="A45" s="30">
        <v>38</v>
      </c>
      <c r="B45" s="31" t="s">
        <v>12</v>
      </c>
      <c r="C45" s="31" t="s">
        <v>76</v>
      </c>
      <c r="D45" s="34" t="s">
        <v>85</v>
      </c>
      <c r="E45" s="35" t="str">
        <f>IF(F45="Yes",2,"0")</f>
        <v>0</v>
      </c>
      <c r="F45" s="36"/>
      <c r="G45" s="31"/>
      <c r="H45" s="31"/>
      <c r="I45" s="30"/>
      <c r="J45" s="30"/>
    </row>
    <row r="46" spans="1:10" ht="90" customHeight="1" x14ac:dyDescent="0.3">
      <c r="A46" s="30">
        <v>39</v>
      </c>
      <c r="B46" s="31" t="s">
        <v>12</v>
      </c>
      <c r="C46" s="31" t="s">
        <v>73</v>
      </c>
      <c r="D46" s="34" t="s">
        <v>79</v>
      </c>
      <c r="E46" s="35" t="str">
        <f>IF(F46="Yes",1,"0")</f>
        <v>0</v>
      </c>
      <c r="F46" s="36"/>
      <c r="G46" s="31"/>
      <c r="H46" s="31"/>
      <c r="I46" s="30"/>
      <c r="J46" s="30"/>
    </row>
    <row r="47" spans="1:10" ht="90" customHeight="1" x14ac:dyDescent="0.3">
      <c r="A47" s="30">
        <v>40</v>
      </c>
      <c r="B47" s="31" t="s">
        <v>12</v>
      </c>
      <c r="C47" s="31" t="s">
        <v>86</v>
      </c>
      <c r="D47" s="34" t="s">
        <v>99</v>
      </c>
      <c r="E47" s="35" t="str">
        <f>IF(F47="Yes",2,"0")</f>
        <v>0</v>
      </c>
      <c r="F47" s="39"/>
      <c r="G47" s="40"/>
      <c r="H47" s="40"/>
      <c r="I47" s="43"/>
      <c r="J47" s="44"/>
    </row>
    <row r="48" spans="1:10" ht="90" customHeight="1" x14ac:dyDescent="0.3">
      <c r="A48" s="30">
        <v>41</v>
      </c>
      <c r="B48" s="31" t="s">
        <v>12</v>
      </c>
      <c r="C48" s="31" t="s">
        <v>74</v>
      </c>
      <c r="D48" s="34" t="s">
        <v>75</v>
      </c>
      <c r="E48" s="35" t="str">
        <f>IF(F48="Yes",2,"0")</f>
        <v>0</v>
      </c>
      <c r="F48" s="36"/>
      <c r="G48" s="31"/>
      <c r="H48" s="31"/>
      <c r="I48" s="30"/>
      <c r="J48" s="30"/>
    </row>
    <row r="49" spans="1:10" ht="90" customHeight="1" x14ac:dyDescent="0.3">
      <c r="A49" s="30">
        <v>42</v>
      </c>
      <c r="B49" s="31" t="s">
        <v>12</v>
      </c>
      <c r="C49" s="31" t="s">
        <v>55</v>
      </c>
      <c r="D49" s="34" t="s">
        <v>97</v>
      </c>
      <c r="E49" s="35" t="str">
        <f>IF(F49="Yes",1,"0")</f>
        <v>0</v>
      </c>
      <c r="F49" s="39"/>
      <c r="G49" s="40"/>
      <c r="H49" s="40"/>
      <c r="I49" s="43"/>
      <c r="J49" s="44"/>
    </row>
    <row r="50" spans="1:10" ht="90" customHeight="1" x14ac:dyDescent="0.3">
      <c r="A50" s="30">
        <v>43</v>
      </c>
      <c r="B50" s="31" t="s">
        <v>12</v>
      </c>
      <c r="C50" s="31" t="s">
        <v>112</v>
      </c>
      <c r="D50" s="34" t="s">
        <v>100</v>
      </c>
      <c r="E50" s="35" t="str">
        <f>IF(F50="Yes",1,"0")</f>
        <v>0</v>
      </c>
      <c r="F50" s="36"/>
      <c r="G50" s="31"/>
      <c r="H50" s="31"/>
      <c r="I50" s="30"/>
      <c r="J50" s="30"/>
    </row>
    <row r="51" spans="1:10" ht="90" customHeight="1" x14ac:dyDescent="0.3">
      <c r="A51" s="30">
        <v>44</v>
      </c>
      <c r="B51" s="31" t="s">
        <v>12</v>
      </c>
      <c r="C51" s="31" t="s">
        <v>111</v>
      </c>
      <c r="D51" s="34" t="s">
        <v>102</v>
      </c>
      <c r="E51" s="35" t="str">
        <f>IF(F51="Yes",1,"0")</f>
        <v>0</v>
      </c>
      <c r="F51" s="36"/>
      <c r="G51" s="31"/>
      <c r="H51" s="31"/>
      <c r="I51" s="30"/>
      <c r="J51" s="30"/>
    </row>
    <row r="52" spans="1:10" ht="90" customHeight="1" x14ac:dyDescent="0.3">
      <c r="A52" s="30">
        <v>45</v>
      </c>
      <c r="B52" s="31" t="s">
        <v>12</v>
      </c>
      <c r="C52" s="31" t="s">
        <v>129</v>
      </c>
      <c r="D52" s="31" t="s">
        <v>125</v>
      </c>
      <c r="E52" s="35" t="str">
        <f>IF(F52="Yes",1,"0")</f>
        <v>0</v>
      </c>
      <c r="F52" s="36"/>
      <c r="G52" s="31"/>
      <c r="H52" s="31"/>
      <c r="I52" s="30"/>
      <c r="J52" s="30"/>
    </row>
    <row r="53" spans="1:10" ht="90" customHeight="1" x14ac:dyDescent="0.3">
      <c r="A53" s="30">
        <v>46</v>
      </c>
      <c r="B53" s="31" t="s">
        <v>12</v>
      </c>
      <c r="C53" s="31" t="s">
        <v>130</v>
      </c>
      <c r="D53" s="31" t="s">
        <v>131</v>
      </c>
      <c r="E53" s="35" t="str">
        <f>IF(F53="Yes",1,"0")</f>
        <v>0</v>
      </c>
      <c r="F53" s="36"/>
      <c r="G53" s="31"/>
      <c r="H53" s="31"/>
      <c r="I53" s="30"/>
      <c r="J53" s="30"/>
    </row>
    <row r="54" spans="1:10" ht="90" customHeight="1" x14ac:dyDescent="0.3">
      <c r="A54" s="30">
        <v>47</v>
      </c>
      <c r="B54" s="31" t="s">
        <v>12</v>
      </c>
      <c r="C54" s="31" t="s">
        <v>66</v>
      </c>
      <c r="D54" s="34" t="s">
        <v>67</v>
      </c>
      <c r="E54" s="35" t="str">
        <f>IF(F54="Yes",2,"0")</f>
        <v>0</v>
      </c>
      <c r="F54" s="39"/>
      <c r="G54" s="40"/>
      <c r="H54" s="40"/>
      <c r="I54" s="43"/>
      <c r="J54" s="44"/>
    </row>
    <row r="55" spans="1:10" ht="90" customHeight="1" x14ac:dyDescent="0.3">
      <c r="A55" s="30">
        <v>48</v>
      </c>
      <c r="B55" s="31" t="s">
        <v>12</v>
      </c>
      <c r="C55" s="31" t="s">
        <v>68</v>
      </c>
      <c r="D55" s="34" t="s">
        <v>146</v>
      </c>
      <c r="E55" s="35" t="str">
        <f>IF(F55="Yes",1,"0")</f>
        <v>0</v>
      </c>
      <c r="F55" s="36"/>
      <c r="G55" s="31"/>
      <c r="H55" s="31"/>
      <c r="I55" s="30"/>
      <c r="J55" s="30"/>
    </row>
    <row r="56" spans="1:10" ht="110.1" customHeight="1" x14ac:dyDescent="0.3">
      <c r="A56" s="30">
        <v>49</v>
      </c>
      <c r="B56" s="31" t="s">
        <v>13</v>
      </c>
      <c r="C56" s="31" t="s">
        <v>70</v>
      </c>
      <c r="D56" s="34" t="s">
        <v>78</v>
      </c>
      <c r="E56" s="35" t="str">
        <f>IF(F56="Yes",3,"0")</f>
        <v>0</v>
      </c>
      <c r="F56" s="36"/>
      <c r="G56" s="31"/>
      <c r="H56" s="31"/>
      <c r="I56" s="30"/>
      <c r="J56" s="30"/>
    </row>
    <row r="57" spans="1:10" ht="90" customHeight="1" x14ac:dyDescent="0.3">
      <c r="A57" s="30">
        <v>50</v>
      </c>
      <c r="B57" s="31" t="s">
        <v>13</v>
      </c>
      <c r="C57" s="31" t="s">
        <v>71</v>
      </c>
      <c r="D57" s="34" t="s">
        <v>72</v>
      </c>
      <c r="E57" s="35" t="s">
        <v>47</v>
      </c>
      <c r="F57" s="36"/>
      <c r="G57" s="31"/>
      <c r="H57" s="31"/>
      <c r="I57" s="30"/>
      <c r="J57" s="30"/>
    </row>
    <row r="58" spans="1:10" ht="162.75" customHeight="1" x14ac:dyDescent="0.3">
      <c r="A58" s="30">
        <v>51</v>
      </c>
      <c r="B58" s="31" t="s">
        <v>93</v>
      </c>
      <c r="C58" s="31" t="s">
        <v>69</v>
      </c>
      <c r="D58" s="31" t="s">
        <v>137</v>
      </c>
      <c r="E58" s="35" t="s">
        <v>47</v>
      </c>
      <c r="F58" s="36"/>
      <c r="G58" s="31"/>
      <c r="H58" s="31"/>
      <c r="I58" s="30"/>
      <c r="J58" s="30"/>
    </row>
    <row r="60" spans="1:10" x14ac:dyDescent="0.3">
      <c r="B60" s="38"/>
    </row>
    <row r="61" spans="1:10" x14ac:dyDescent="0.3">
      <c r="B61" s="38"/>
    </row>
    <row r="62" spans="1:10" x14ac:dyDescent="0.3">
      <c r="B62" s="38"/>
    </row>
  </sheetData>
  <sheetProtection formatCells="0" formatColumns="0" formatRows="0" insertColumns="0" insertRows="0" insertHyperlinks="0" deleteColumns="0" deleteRows="0" sort="0"/>
  <dataValidations count="2">
    <dataValidation type="list" allowBlank="1" showInputMessage="1" showErrorMessage="1" sqref="D5:E5" xr:uid="{F494B72B-098E-44CF-81B6-1B5D63A2CC56}">
      <formula1>"Collection Agency, Collection &amp; Repo Agency, Repo Agency"</formula1>
    </dataValidation>
    <dataValidation type="list" allowBlank="1" showInputMessage="1" showErrorMessage="1" sqref="F8:F58" xr:uid="{E47B3E2F-E20C-4DEC-A304-D2349E0A95E8}">
      <formula1>"Yes, No"</formula1>
    </dataValidation>
  </dataValidations>
  <pageMargins left="0.23622047244094491" right="0.23622047244094491" top="0.74803149606299213" bottom="0.74803149606299213" header="0.31496062992125984" footer="0.31496062992125984"/>
  <pageSetup paperSize="9" scale="4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showGridLines="0" workbookViewId="0">
      <selection sqref="A1:F13"/>
    </sheetView>
  </sheetViews>
  <sheetFormatPr defaultColWidth="8.6640625" defaultRowHeight="13.8" x14ac:dyDescent="0.3"/>
  <cols>
    <col min="1" max="1" width="10" style="2" bestFit="1" customWidth="1"/>
    <col min="2" max="2" width="19.109375" style="2" bestFit="1" customWidth="1"/>
    <col min="3" max="3" width="13.6640625" style="2" bestFit="1" customWidth="1"/>
    <col min="4" max="4" width="14" style="2" bestFit="1" customWidth="1"/>
    <col min="5" max="5" width="10.44140625" style="2" bestFit="1" customWidth="1"/>
    <col min="6" max="6" width="14.44140625" style="2" bestFit="1" customWidth="1"/>
    <col min="7" max="16384" width="8.6640625" style="2"/>
  </cols>
  <sheetData>
    <row r="1" spans="1:7" x14ac:dyDescent="0.3">
      <c r="A1" s="1" t="s">
        <v>0</v>
      </c>
      <c r="B1" s="21" t="s">
        <v>1</v>
      </c>
      <c r="C1" s="1" t="s">
        <v>2</v>
      </c>
      <c r="D1" s="1" t="s">
        <v>3</v>
      </c>
      <c r="E1" s="1" t="s">
        <v>4</v>
      </c>
      <c r="F1" s="1" t="s">
        <v>5</v>
      </c>
    </row>
    <row r="2" spans="1:7" x14ac:dyDescent="0.3">
      <c r="A2" s="13">
        <v>1</v>
      </c>
      <c r="B2" s="14" t="s">
        <v>6</v>
      </c>
      <c r="C2" s="15">
        <f>COUNTIF(Checklist!$B$7:$B$58,B2)</f>
        <v>2</v>
      </c>
      <c r="D2" s="16">
        <v>3</v>
      </c>
      <c r="E2" s="16">
        <f>SUMIF(Checklist!$B$7:$B$58,'Score Parameters'!B2,Checklist!$E$7:$E$58)</f>
        <v>0</v>
      </c>
      <c r="F2" s="17">
        <f>IFERROR(E2/D2,"-")</f>
        <v>0</v>
      </c>
      <c r="G2" s="3"/>
    </row>
    <row r="3" spans="1:7" x14ac:dyDescent="0.3">
      <c r="A3" s="18">
        <v>2</v>
      </c>
      <c r="B3" s="14" t="s">
        <v>7</v>
      </c>
      <c r="C3" s="15">
        <f>COUNTIF(Checklist!$B$7:$B$58,B3)</f>
        <v>2</v>
      </c>
      <c r="D3" s="16">
        <v>9</v>
      </c>
      <c r="E3" s="16">
        <f>SUMIF(Checklist!$B$7:$B$58,'Score Parameters'!B3,Checklist!$E$7:$E$58)</f>
        <v>0</v>
      </c>
      <c r="F3" s="17">
        <f t="shared" ref="F3:F11" si="0">IFERROR(E3/D3,"-")</f>
        <v>0</v>
      </c>
      <c r="G3" s="3"/>
    </row>
    <row r="4" spans="1:7" x14ac:dyDescent="0.3">
      <c r="A4" s="13">
        <v>3</v>
      </c>
      <c r="B4" s="14" t="s">
        <v>14</v>
      </c>
      <c r="C4" s="15">
        <f>COUNTIF(Checklist!$B$7:$B$58,B4)</f>
        <v>5</v>
      </c>
      <c r="D4" s="16">
        <v>11</v>
      </c>
      <c r="E4" s="16">
        <f>SUMIF(Checklist!$B$7:$B$58,'Score Parameters'!B4,Checklist!$E$7:$E$58)</f>
        <v>0</v>
      </c>
      <c r="F4" s="17">
        <f t="shared" si="0"/>
        <v>0</v>
      </c>
      <c r="G4" s="3"/>
    </row>
    <row r="5" spans="1:7" x14ac:dyDescent="0.3">
      <c r="A5" s="18">
        <v>4</v>
      </c>
      <c r="B5" s="14" t="s">
        <v>8</v>
      </c>
      <c r="C5" s="15">
        <f>COUNTIF(Checklist!$B$7:$B$58,B5)</f>
        <v>7</v>
      </c>
      <c r="D5" s="16">
        <v>16</v>
      </c>
      <c r="E5" s="16">
        <f>SUMIF(Checklist!$B$7:$B$58,'Score Parameters'!B5,Checklist!$E$7:$E$58)</f>
        <v>0</v>
      </c>
      <c r="F5" s="17">
        <f t="shared" si="0"/>
        <v>0</v>
      </c>
      <c r="G5" s="3"/>
    </row>
    <row r="6" spans="1:7" x14ac:dyDescent="0.3">
      <c r="A6" s="13">
        <v>5</v>
      </c>
      <c r="B6" s="14" t="s">
        <v>9</v>
      </c>
      <c r="C6" s="15">
        <f>COUNTIF(Checklist!$B$7:$B$58,B6)</f>
        <v>7</v>
      </c>
      <c r="D6" s="16">
        <v>19</v>
      </c>
      <c r="E6" s="16">
        <f>SUMIF(Checklist!$B$7:$B$58,'Score Parameters'!B6,Checklist!$E$7:$E$58)</f>
        <v>0</v>
      </c>
      <c r="F6" s="17">
        <f t="shared" si="0"/>
        <v>0</v>
      </c>
      <c r="G6" s="3"/>
    </row>
    <row r="7" spans="1:7" x14ac:dyDescent="0.3">
      <c r="A7" s="18">
        <v>6</v>
      </c>
      <c r="B7" s="14" t="s">
        <v>11</v>
      </c>
      <c r="C7" s="15">
        <f>COUNTIF(Checklist!$B$7:$B$58,B7)</f>
        <v>4</v>
      </c>
      <c r="D7" s="16">
        <v>4</v>
      </c>
      <c r="E7" s="16">
        <f>SUMIF(Checklist!$B$7:$B$58,'Score Parameters'!B7,Checklist!$E$7:$E$58)</f>
        <v>0</v>
      </c>
      <c r="F7" s="17">
        <f t="shared" si="0"/>
        <v>0</v>
      </c>
      <c r="G7" s="3"/>
    </row>
    <row r="8" spans="1:7" x14ac:dyDescent="0.3">
      <c r="A8" s="13">
        <v>7</v>
      </c>
      <c r="B8" s="14" t="s">
        <v>10</v>
      </c>
      <c r="C8" s="15">
        <f>COUNTIF(Checklist!$B$7:$B$58,B8)</f>
        <v>4</v>
      </c>
      <c r="D8" s="16">
        <v>12</v>
      </c>
      <c r="E8" s="16">
        <f>SUMIF(Checklist!$B$7:$B$58,'Score Parameters'!B8,Checklist!$E$7:$E$58)</f>
        <v>0</v>
      </c>
      <c r="F8" s="17">
        <f t="shared" si="0"/>
        <v>0</v>
      </c>
      <c r="G8" s="3"/>
    </row>
    <row r="9" spans="1:7" x14ac:dyDescent="0.3">
      <c r="A9" s="13">
        <v>8</v>
      </c>
      <c r="B9" s="14" t="s">
        <v>12</v>
      </c>
      <c r="C9" s="15">
        <f>COUNTIF(Checklist!$B$7:$B$58,B9)</f>
        <v>17</v>
      </c>
      <c r="D9" s="16">
        <v>23</v>
      </c>
      <c r="E9" s="16">
        <f>SUMIF(Checklist!$B$7:$B$58,'Score Parameters'!B9,Checklist!$E$7:$E$58)</f>
        <v>0</v>
      </c>
      <c r="F9" s="17">
        <f t="shared" si="0"/>
        <v>0</v>
      </c>
      <c r="G9" s="3"/>
    </row>
    <row r="10" spans="1:7" x14ac:dyDescent="0.3">
      <c r="A10" s="13">
        <v>9</v>
      </c>
      <c r="B10" s="14" t="s">
        <v>13</v>
      </c>
      <c r="C10" s="15">
        <f>COUNTIF(Checklist!$B$7:$B$58,B10)</f>
        <v>2</v>
      </c>
      <c r="D10" s="16">
        <v>3</v>
      </c>
      <c r="E10" s="16">
        <f>SUMIF(Checklist!$B$7:$B$58,'Score Parameters'!B10,Checklist!$E$7:$E$58)</f>
        <v>0</v>
      </c>
      <c r="F10" s="17">
        <f t="shared" si="0"/>
        <v>0</v>
      </c>
      <c r="G10" s="3"/>
    </row>
    <row r="11" spans="1:7" x14ac:dyDescent="0.3">
      <c r="A11" s="18">
        <v>10</v>
      </c>
      <c r="B11" s="14" t="s">
        <v>93</v>
      </c>
      <c r="C11" s="15">
        <f>COUNTIF(Checklist!$B$7:$B$58,B11)</f>
        <v>1</v>
      </c>
      <c r="D11" s="16">
        <v>0</v>
      </c>
      <c r="E11" s="16">
        <f>SUMIF(Checklist!$B$7:$B$58,'Score Parameters'!B11,Checklist!$E$7:$E$58)</f>
        <v>0</v>
      </c>
      <c r="F11" s="17" t="str">
        <f t="shared" si="0"/>
        <v>-</v>
      </c>
      <c r="G11" s="3"/>
    </row>
    <row r="12" spans="1:7" x14ac:dyDescent="0.3">
      <c r="A12" s="19"/>
      <c r="B12" s="1" t="s">
        <v>15</v>
      </c>
      <c r="C12" s="1">
        <f>SUM(C2:C11)</f>
        <v>51</v>
      </c>
      <c r="D12" s="1">
        <f>SUM(D2:D11)</f>
        <v>100</v>
      </c>
      <c r="E12" s="1">
        <f>SUM(E2:E11)</f>
        <v>0</v>
      </c>
      <c r="F12" s="20">
        <f>E12/D12</f>
        <v>0</v>
      </c>
    </row>
    <row r="13" spans="1:7" x14ac:dyDescent="0.3">
      <c r="A13" s="45" t="s">
        <v>16</v>
      </c>
      <c r="B13" s="46"/>
      <c r="C13" s="46"/>
      <c r="D13" s="46"/>
      <c r="E13" s="47"/>
      <c r="F13" s="1" t="str" cm="1">
        <f t="array" ref="F13">_xlfn.IFS(F12&gt;=80%,B16,F12&gt;=70%,B17,F12&gt;=60%,B18,F12&gt;=50%,B19,F12&lt;=49%,B20)</f>
        <v>E</v>
      </c>
    </row>
    <row r="14" spans="1:7" x14ac:dyDescent="0.3">
      <c r="A14" s="4"/>
      <c r="B14" s="4"/>
      <c r="C14" s="4"/>
      <c r="D14" s="5"/>
      <c r="E14" s="4"/>
      <c r="F14" s="4"/>
    </row>
    <row r="15" spans="1:7" ht="12" hidden="1" customHeight="1" x14ac:dyDescent="0.3">
      <c r="A15" s="4"/>
      <c r="B15" s="6" t="s">
        <v>17</v>
      </c>
      <c r="C15" s="6" t="s">
        <v>18</v>
      </c>
      <c r="D15" s="5"/>
      <c r="E15" s="4"/>
      <c r="F15" s="4"/>
    </row>
    <row r="16" spans="1:7" ht="12" hidden="1" customHeight="1" x14ac:dyDescent="0.3">
      <c r="A16" s="4"/>
      <c r="B16" s="7" t="s">
        <v>19</v>
      </c>
      <c r="C16" s="8" t="s">
        <v>20</v>
      </c>
      <c r="D16" s="5"/>
      <c r="E16" s="4"/>
      <c r="F16" s="4"/>
    </row>
    <row r="17" spans="1:6" ht="12" hidden="1" customHeight="1" x14ac:dyDescent="0.3">
      <c r="A17" s="4"/>
      <c r="B17" s="9" t="s">
        <v>21</v>
      </c>
      <c r="C17" s="8" t="s">
        <v>22</v>
      </c>
      <c r="D17" s="5"/>
      <c r="E17" s="4"/>
      <c r="F17" s="4"/>
    </row>
    <row r="18" spans="1:6" ht="11.25" hidden="1" customHeight="1" x14ac:dyDescent="0.3">
      <c r="A18" s="4"/>
      <c r="B18" s="10" t="s">
        <v>23</v>
      </c>
      <c r="C18" s="8" t="s">
        <v>118</v>
      </c>
      <c r="D18" s="5"/>
      <c r="E18" s="4"/>
      <c r="F18" s="4"/>
    </row>
    <row r="19" spans="1:6" ht="11.25" hidden="1" customHeight="1" x14ac:dyDescent="0.3">
      <c r="A19" s="4"/>
      <c r="B19" s="11" t="s">
        <v>24</v>
      </c>
      <c r="C19" s="8" t="s">
        <v>25</v>
      </c>
      <c r="D19" s="5"/>
      <c r="E19" s="4"/>
      <c r="F19" s="4"/>
    </row>
    <row r="20" spans="1:6" ht="11.25" hidden="1" customHeight="1" x14ac:dyDescent="0.3">
      <c r="A20" s="4"/>
      <c r="B20" s="12" t="s">
        <v>26</v>
      </c>
      <c r="C20" s="8" t="s">
        <v>27</v>
      </c>
      <c r="D20" s="5"/>
      <c r="E20" s="4"/>
      <c r="F20" s="4"/>
    </row>
    <row r="21" spans="1:6" x14ac:dyDescent="0.3">
      <c r="A21" s="4"/>
      <c r="B21" s="4"/>
      <c r="C21" s="4"/>
      <c r="D21" s="5"/>
      <c r="E21" s="4"/>
      <c r="F21" s="4"/>
    </row>
  </sheetData>
  <mergeCells count="1">
    <mergeCell ref="A13:E13"/>
  </mergeCells>
  <conditionalFormatting sqref="B16:B20">
    <cfRule type="colorScale" priority="1">
      <colorScale>
        <cfvo type="min"/>
        <cfvo type="percentile" val="50"/>
        <cfvo type="max"/>
        <color rgb="FFF8696B"/>
        <color rgb="FFFFEB84"/>
        <color rgb="FF63BE7B"/>
      </colorScale>
    </cfRule>
  </conditionalFormatting>
  <conditionalFormatting sqref="F12">
    <cfRule type="cellIs" dxfId="2" priority="2" operator="greaterThan">
      <formula>0.8</formula>
    </cfRule>
    <cfRule type="cellIs" dxfId="1" priority="3" operator="between">
      <formula>0.6</formula>
      <formula>0.8</formula>
    </cfRule>
    <cfRule type="cellIs" dxfId="0" priority="4" operator="between">
      <formula>0</formula>
      <formula>0.5999</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115396f-2e4a-4d2a-ba9c-df4d17cb71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9E9B38EF334341B754D8F8D6A719DA" ma:contentTypeVersion="16" ma:contentTypeDescription="Create a new document." ma:contentTypeScope="" ma:versionID="fa1e129258e112aee4cf2e89d18a6563">
  <xsd:schema xmlns:xsd="http://www.w3.org/2001/XMLSchema" xmlns:xs="http://www.w3.org/2001/XMLSchema" xmlns:p="http://schemas.microsoft.com/office/2006/metadata/properties" xmlns:ns3="0115396f-2e4a-4d2a-ba9c-df4d17cb71a2" xmlns:ns4="2bc29a05-2ca3-4765-9547-41c11361a102" targetNamespace="http://schemas.microsoft.com/office/2006/metadata/properties" ma:root="true" ma:fieldsID="c5debfbfacc377353d2d2775bb411679" ns3:_="" ns4:_="">
    <xsd:import namespace="0115396f-2e4a-4d2a-ba9c-df4d17cb71a2"/>
    <xsd:import namespace="2bc29a05-2ca3-4765-9547-41c11361a10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396f-2e4a-4d2a-ba9c-df4d17cb71a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c29a05-2ca3-4765-9547-41c11361a102"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142686-EBCF-43E0-A14A-D80EE15D7AEE}">
  <ds:schemaRefs>
    <ds:schemaRef ds:uri="http://schemas.microsoft.com/office/2006/documentManagement/types"/>
    <ds:schemaRef ds:uri="http://purl.org/dc/terms/"/>
    <ds:schemaRef ds:uri="http://purl.org/dc/dcmitype/"/>
    <ds:schemaRef ds:uri="http://schemas.microsoft.com/office/infopath/2007/PartnerControls"/>
    <ds:schemaRef ds:uri="http://purl.org/dc/elements/1.1/"/>
    <ds:schemaRef ds:uri="http://www.w3.org/XML/1998/namespace"/>
    <ds:schemaRef ds:uri="0115396f-2e4a-4d2a-ba9c-df4d17cb71a2"/>
    <ds:schemaRef ds:uri="http://schemas.microsoft.com/office/2006/metadata/properties"/>
    <ds:schemaRef ds:uri="http://schemas.openxmlformats.org/package/2006/metadata/core-properties"/>
    <ds:schemaRef ds:uri="2bc29a05-2ca3-4765-9547-41c11361a102"/>
  </ds:schemaRefs>
</ds:datastoreItem>
</file>

<file path=customXml/itemProps2.xml><?xml version="1.0" encoding="utf-8"?>
<ds:datastoreItem xmlns:ds="http://schemas.openxmlformats.org/officeDocument/2006/customXml" ds:itemID="{690F940F-5541-43CF-85B5-16E943A4DE36}">
  <ds:schemaRefs>
    <ds:schemaRef ds:uri="http://schemas.microsoft.com/sharepoint/v3/contenttype/forms"/>
  </ds:schemaRefs>
</ds:datastoreItem>
</file>

<file path=customXml/itemProps3.xml><?xml version="1.0" encoding="utf-8"?>
<ds:datastoreItem xmlns:ds="http://schemas.openxmlformats.org/officeDocument/2006/customXml" ds:itemID="{CC960972-EEAE-4599-9007-3F4FCECAD8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396f-2e4a-4d2a-ba9c-df4d17cb71a2"/>
    <ds:schemaRef ds:uri="2bc29a05-2ca3-4765-9547-41c11361a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Checklist</vt:lpstr>
      <vt:lpstr>Score Parameters</vt:lpstr>
      <vt:lpstr>Checklist!Print_Titles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Himanshu16.Sharma@tatacapital.com</dc:creator>
  <cp:lastModifiedBy>Rachit Goyal</cp:lastModifiedBy>
  <cp:lastPrinted>2026-06-12T12:50:28Z</cp:lastPrinted>
  <dcterms:created xsi:type="dcterms:W3CDTF">2023-04-03T05:27:31Z</dcterms:created>
  <dcterms:modified xsi:type="dcterms:W3CDTF">2026-06-17T09:11:26Z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0x010100B89E9B38EF334341B754D8F8D6A719DA</vt:lpwstr>
  </property>
</Properties>
</file>