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DELL\Desktop\Stockyard\"/>
    </mc:Choice>
  </mc:AlternateContent>
  <xr:revisionPtr revIDLastSave="0" documentId="13_ncr:1_{951982C7-BA80-4E27-B811-E42B5D77CC71}" xr6:coauthVersionLast="47" xr6:coauthVersionMax="47" xr10:uidLastSave="{00000000-0000-0000-0000-000000000000}"/>
  <bookViews>
    <workbookView xWindow="-120" yWindow="-120" windowWidth="29040" windowHeight="15720" xr2:uid="{C491C87E-0829-495C-B827-359EA24D6A81}"/>
  </bookViews>
  <sheets>
    <sheet name="Rating" sheetId="2" r:id="rId1"/>
    <sheet name="Checklist" sheetId="3" r:id="rId2"/>
    <sheet name="KAF" sheetId="4" r:id="rId3"/>
    <sheet name="Vehicle Details" sheetId="5" r:id="rId4"/>
  </sheets>
  <definedNames>
    <definedName name="_xlnm._FilterDatabase" localSheetId="1" hidden="1">Checklist!$A$1:$O$39</definedName>
    <definedName name="_xlnm._FilterDatabase" localSheetId="2" hidden="1">KAF!$A$1:$S$1</definedName>
    <definedName name="_xlnm._FilterDatabase" localSheetId="3" hidden="1">'Vehicle Details'!$A$1:$M$1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3" l="1"/>
  <c r="K37" i="3"/>
  <c r="K36" i="3"/>
  <c r="K35" i="3"/>
  <c r="K34" i="3"/>
  <c r="K33" i="3"/>
  <c r="K32" i="3"/>
  <c r="K31" i="3"/>
  <c r="K29" i="3"/>
  <c r="K28" i="3"/>
  <c r="K27" i="3"/>
  <c r="K26" i="3"/>
  <c r="K25" i="3"/>
  <c r="K24" i="3"/>
  <c r="K23" i="3"/>
  <c r="K22" i="3"/>
  <c r="K21" i="3"/>
  <c r="K20" i="3"/>
  <c r="K19" i="3"/>
  <c r="K18" i="3"/>
  <c r="K17" i="3"/>
  <c r="K16" i="3"/>
  <c r="K15" i="3"/>
  <c r="K13" i="3"/>
  <c r="K12" i="3"/>
  <c r="K11" i="3"/>
  <c r="K10" i="3"/>
  <c r="K9" i="3"/>
  <c r="K8" i="3"/>
  <c r="K7" i="3"/>
  <c r="K6" i="3"/>
  <c r="K5" i="3"/>
  <c r="K4" i="3"/>
  <c r="K3" i="3"/>
  <c r="K2" i="3"/>
  <c r="C18" i="2"/>
  <c r="K39" i="3" l="1"/>
  <c r="D17" i="2" s="1"/>
  <c r="E17" i="2" s="1"/>
  <c r="K30" i="3"/>
  <c r="D16" i="2" s="1"/>
  <c r="E16" i="2" s="1"/>
  <c r="K14" i="3"/>
  <c r="D15" i="2" s="1"/>
  <c r="E15" i="2" s="1"/>
  <c r="D18" i="2" l="1"/>
  <c r="E18" i="2" s="1"/>
  <c r="F18" i="2" s="1"/>
  <c r="C19" i="2" s="1"/>
</calcChain>
</file>

<file path=xl/sharedStrings.xml><?xml version="1.0" encoding="utf-8"?>
<sst xmlns="http://schemas.openxmlformats.org/spreadsheetml/2006/main" count="548" uniqueCount="227">
  <si>
    <t>YES Bank Stock Yard Agency Audit</t>
  </si>
  <si>
    <t>Version</t>
  </si>
  <si>
    <t>Ver.2</t>
  </si>
  <si>
    <t>Agency Name</t>
  </si>
  <si>
    <t>Agency Location</t>
  </si>
  <si>
    <t>Agency Address</t>
  </si>
  <si>
    <t xml:space="preserve"> </t>
  </si>
  <si>
    <t>Audit Date</t>
  </si>
  <si>
    <t>Audit Period</t>
  </si>
  <si>
    <t>Audit Firm Name</t>
  </si>
  <si>
    <t>CM Name</t>
  </si>
  <si>
    <t>RCM Name</t>
  </si>
  <si>
    <t>Auditor Name/Contact#</t>
  </si>
  <si>
    <t>CM Employee ID</t>
  </si>
  <si>
    <t>RCM Employee ID</t>
  </si>
  <si>
    <t>Products for which agency does collections</t>
  </si>
  <si>
    <t>Agency person with whom the discussion were held</t>
  </si>
  <si>
    <t>Agency Audit Score</t>
  </si>
  <si>
    <t xml:space="preserve">Final Audit Score </t>
  </si>
  <si>
    <t>Weightage</t>
  </si>
  <si>
    <t>Actual</t>
  </si>
  <si>
    <t>Percantage</t>
  </si>
  <si>
    <t>Grade</t>
  </si>
  <si>
    <t>Record maintainance</t>
  </si>
  <si>
    <t xml:space="preserve">Security/safety standards </t>
  </si>
  <si>
    <t>Infrastructure &amp; Other</t>
  </si>
  <si>
    <t>Total Score</t>
  </si>
  <si>
    <t>Final Rating on Agency Audit</t>
  </si>
  <si>
    <t>Scoring and Grade Matrix</t>
  </si>
  <si>
    <t>Score</t>
  </si>
  <si>
    <t>Performance</t>
  </si>
  <si>
    <t>A+</t>
  </si>
  <si>
    <t>Excellent</t>
  </si>
  <si>
    <t>90-99</t>
  </si>
  <si>
    <t>A</t>
  </si>
  <si>
    <t>Very Good</t>
  </si>
  <si>
    <t>80-89</t>
  </si>
  <si>
    <t>B+</t>
  </si>
  <si>
    <t>Good</t>
  </si>
  <si>
    <t>70-79</t>
  </si>
  <si>
    <t>B</t>
  </si>
  <si>
    <t>Satisfactory</t>
  </si>
  <si>
    <t>60-69</t>
  </si>
  <si>
    <t>C+</t>
  </si>
  <si>
    <t>Unsatisfactory</t>
  </si>
  <si>
    <t>59 and Below</t>
  </si>
  <si>
    <t>C</t>
  </si>
  <si>
    <t>Poor</t>
  </si>
  <si>
    <t>Sr. No.</t>
  </si>
  <si>
    <t>Main Category</t>
  </si>
  <si>
    <t>Check points Category</t>
  </si>
  <si>
    <t>Risk Level</t>
  </si>
  <si>
    <t>Details to be checked</t>
  </si>
  <si>
    <t>Points to be checked</t>
  </si>
  <si>
    <t>Clarification</t>
  </si>
  <si>
    <t>Scoring Parameter</t>
  </si>
  <si>
    <t>Complied (Yes/No)</t>
  </si>
  <si>
    <t>No. of Errors</t>
  </si>
  <si>
    <t>Observations</t>
  </si>
  <si>
    <t>Revert from CM</t>
  </si>
  <si>
    <t>Revert from Auditor</t>
  </si>
  <si>
    <t>Annx.</t>
  </si>
  <si>
    <t>Agreement Copy</t>
  </si>
  <si>
    <t>Empanelment Documents</t>
  </si>
  <si>
    <t>High</t>
  </si>
  <si>
    <t>Do the Yard manager maintains a copy of Empanelment Documents/Agreement at yard?</t>
  </si>
  <si>
    <t>Agreement has to be signed by both the parties i.e Bank and Agency.</t>
  </si>
  <si>
    <t>The yard manager should keep a copy of Empanelment document/Agreement at yard.
Agreement copy for SAMIL Yard is maintained Centrally at their Head Office.Please donot impact score for SAMIL if agreement copy is not provided at the time of audit.</t>
  </si>
  <si>
    <t>Done : 10 else : -5</t>
  </si>
  <si>
    <t>NA</t>
  </si>
  <si>
    <t>NA as the same maintained at the Head Office</t>
  </si>
  <si>
    <t>Record Maintainance</t>
  </si>
  <si>
    <t>Visitor register</t>
  </si>
  <si>
    <t>Medium</t>
  </si>
  <si>
    <t>Do all godowns (Yards) have Visitor Register as per prescribed format.</t>
  </si>
  <si>
    <t>Please take photos of visitor register maintained at yard.</t>
  </si>
  <si>
    <r>
      <t xml:space="preserve">The yard keeper ensures that visits of all  Bank staff (including the Collection Manager/possession agents / valuers / prospective customers) are entered in the visitors' register which tracks Inward &amp; Outward of visitors on a daily basis. Specifically check for Valuer entry. </t>
    </r>
    <r>
      <rPr>
        <b/>
        <u/>
        <sz val="9"/>
        <rFont val="Book Antiqua"/>
        <family val="1"/>
      </rPr>
      <t>Please dont impact score of Yard if CP/SL has not visited Yard.</t>
    </r>
  </si>
  <si>
    <t>Yes</t>
  </si>
  <si>
    <t>Yes, godowns (Yards) have Visitor Register as per prescribed format</t>
  </si>
  <si>
    <t>Stock Register</t>
  </si>
  <si>
    <t>Do all godowns (Yards) have stock register as per prescribed format. (Vehicle movement to be updated on immediate basis in the stock register).</t>
  </si>
  <si>
    <t>Please take photo of stock inward and outward register.</t>
  </si>
  <si>
    <t>Vehicle movement to be updated on immediate basis in the stock register.</t>
  </si>
  <si>
    <t>Yes the same has been complied by the Yard manager</t>
  </si>
  <si>
    <t xml:space="preserve">Authorized signatory </t>
  </si>
  <si>
    <t>Whether authorized signatory list with specimen signatures was available at yard. Latest Authorized signatory list sent by Central Team in the month of July'22 to be maintained in the yard.</t>
  </si>
  <si>
    <t>Please take photo of authorized signitory details.</t>
  </si>
  <si>
    <t>Yard Manager to ensure that the authorised signatory list is updated/reviewed after every 6 months</t>
  </si>
  <si>
    <t xml:space="preserve">Inward &amp; outward of repo assets </t>
  </si>
  <si>
    <t>Whether yards are informing the central team for inward and outward of assets through email?
Whether yard Manager inform inventory details of asset possessed to team by mail as soon as asset is deposited in yard ?</t>
  </si>
  <si>
    <t>Please check whether yard has sent mail to Yes Bank when any vehicles are entered in yard and exit from yard.</t>
  </si>
  <si>
    <t xml:space="preserve">As soon as asset is deposited or released from the  yard, Yard manager to : 
- Inform mail, the details of asset possessed or released.
As soon as asset is deposited in yard, Yard manager to : 
- Take complete inventory of asset, note it on same inventory sheet and sign it with time, date &amp; stamp of yard.
- Inform mail, the details of asset possessed. Auditor to confirm with inventory sheets of all vehicles available at Yard. 
</t>
  </si>
  <si>
    <t>Done:10 else :0</t>
  </si>
  <si>
    <t>Yes, yards are informing the central team for inward and outward of assets through email</t>
  </si>
  <si>
    <t>Key register</t>
  </si>
  <si>
    <t>Has the yard manager taken custody of the asset keys and kept them in safe custody?</t>
  </si>
  <si>
    <t>Pleaase cross check Key register with physical key available at yard.</t>
  </si>
  <si>
    <t>Yard to take the custody of the asset keys. In case, key is not available, then it should be mentioned on repo kit &amp; in yard entry register.</t>
  </si>
  <si>
    <t>Done : 10 else : 0</t>
  </si>
  <si>
    <t>Yes, yard manager taken custody of the asset keys and kept them in safe custody</t>
  </si>
  <si>
    <t>LAN Identification</t>
  </si>
  <si>
    <t>Low</t>
  </si>
  <si>
    <t>Whether LAN mentioned on vehicles as identification mark?</t>
  </si>
  <si>
    <t>Physical stock</t>
  </si>
  <si>
    <t>Has the yard physical stock tallied with the stock register (as on the date of visit by auditors) ?</t>
  </si>
  <si>
    <t>Auditor visiting stock yard should tally the stock</t>
  </si>
  <si>
    <t>Done : 10 else : -20</t>
  </si>
  <si>
    <t>Yes, physical stock tallied with the stock register (as on the date of visit by auditors</t>
  </si>
  <si>
    <t>Inspection authorisation letter</t>
  </si>
  <si>
    <t>In case of asset inspection by the dealer/customer,whether a)The authority letter along with the authorised signatory is checked and tallied. b)Whether the original ID proofs along with their copies are collected / checked.</t>
  </si>
  <si>
    <t>Tally the signature while releasing</t>
  </si>
  <si>
    <t>a) Whether process is followed to tally signature in release letter /Delivery order with the specimen signatures? Auditor to do a sample check. b) Whether the original ID proofs along with their copies are checked.c) To check the validity of the asset delivery letter,it should be the same day as mentioned in the letter.</t>
  </si>
  <si>
    <t>a) Whether process is followed to tally signature in release letter /Delivery order with the specimen signatures? Auditor to do a sample check.</t>
  </si>
  <si>
    <t>b) Whether the original ID proofs along with their copies are checked.</t>
  </si>
  <si>
    <t>c) To check the validity of the asset delivery letter,it should be the same day as mentioned in the letter.</t>
  </si>
  <si>
    <t>Sub-Total</t>
  </si>
  <si>
    <t xml:space="preserve">Security/Safety Standards </t>
  </si>
  <si>
    <t>Parked out of TAT/in unauthorised yard/address</t>
  </si>
  <si>
    <t>Is there any vehicles in open condition like open bonnets,doors and unlocked vehicles</t>
  </si>
  <si>
    <t>Done: 10 else : -5 for each such case</t>
  </si>
  <si>
    <t>No such case was found during the audit</t>
  </si>
  <si>
    <t>Do all the vehicles parked in authorised godown only? If not, whether CH approval available?</t>
  </si>
  <si>
    <t>Done: 10 else : -5 for each such case, upto -10</t>
  </si>
  <si>
    <t xml:space="preserve">No minimum basic security/safety standards </t>
  </si>
  <si>
    <t>Do all the godowns (Yards) have 
I) 24 hours security(security person should not be above 55Yrs) 
(II) Covered from all angles
(III) Cleaning &amp; Washing facility
(IV) Fire extinguishers available and not expired
(V) Separate marked space for  Bank vehicles.
(VI) Lights and halogen lamps at nights,
(VII) Emergency lights during the power failure.
(VIII) Is the yard covered from all four sides with 6 ft wall</t>
  </si>
  <si>
    <t xml:space="preserve">Do all the godowns (Yards) have 
I) 24 hours security(security person should not be above 55Yrs) </t>
  </si>
  <si>
    <t>As per yard categorization shared</t>
  </si>
  <si>
    <t>Done:10 else:Deduct 2 for each error</t>
  </si>
  <si>
    <t>(II) Covered from all angles</t>
  </si>
  <si>
    <t>(III) Cleaning &amp; Washing facility</t>
  </si>
  <si>
    <t>(IV) Fire extinguishers available and not expired</t>
  </si>
  <si>
    <t>(V) Separate marked space for  Bank vehicles.</t>
  </si>
  <si>
    <t>(VI) Lights and halogen lamps at nights,</t>
  </si>
  <si>
    <t>(VII) Emergency lights during the power failure.</t>
  </si>
  <si>
    <t>(VIII) Is the yard covered from all four sides with 6 ft wall</t>
  </si>
  <si>
    <t>Whether the yard is easily accessible by road.(For ease of parking of heavy vehicle and equipments.</t>
  </si>
  <si>
    <t>Yes, yard is easily accessible by road</t>
  </si>
  <si>
    <t>Upkeep &amp; location</t>
  </si>
  <si>
    <t>Whether the yard is located in non-flood prone areas and has covered shed for TW,Cars?For FE,CV and CE,open space with hard surface is required.</t>
  </si>
  <si>
    <t>Done : 10 else : 5 for one condition not met,else:0 for  more than one  condition not met.</t>
  </si>
  <si>
    <t>Yes the same has been Maintained by the Yard manager</t>
  </si>
  <si>
    <t>Insurance policy</t>
  </si>
  <si>
    <t>Whether yard owner has taken an insurance policy to cover damage to yard &amp; assets parked in yard due to Fire, Flood, Earthquake &amp; burglary ?</t>
  </si>
  <si>
    <t>Whether amount insured is adequate enough to cover value of assets parked in the yard ?</t>
  </si>
  <si>
    <t>Whether policy is valid i.e not expired as on the date of visit to yard ?</t>
  </si>
  <si>
    <t>Office/PC/internet/telephone/white board related issues</t>
  </si>
  <si>
    <t>I)Whether the yard has a office with PC / Laptop and internet connection,telephone lines,stock register.
II) Key board/ Shelf for storing the keys.(Lan number tag to be attached on the key).</t>
  </si>
  <si>
    <t>I)Whether the yard has a office with PC / Laptop and internet connection,telephone lines,stock register.</t>
  </si>
  <si>
    <t>For NON-NCMSL yard,any colour board to display the stock is required</t>
  </si>
  <si>
    <t>II) Key board/ Shelf for storing the keys.(Lan number tag to be attached on the key).</t>
  </si>
  <si>
    <t>Yard premised used for resi.workshop etc</t>
  </si>
  <si>
    <t>Whether Yard premises are used for residential purpose (watchman / manager &amp; family staying ) or any other business activities like manufacturing, garage workshop, office etc.?</t>
  </si>
  <si>
    <t xml:space="preserve">Bill </t>
  </si>
  <si>
    <t>Whether Copy of Monthly bill is available at agency? Is There Any Pending Bill ? (If Yes Mention Details).Billing to be checked as per pickup and collection agency payment Grid</t>
  </si>
  <si>
    <t>As per the Grid Stockyard needs to be paid separetly</t>
  </si>
  <si>
    <t>No Dues Certificate related</t>
  </si>
  <si>
    <t>Whether copy of Quaterly NDC is provided by the agency for previous bills that have been paid?&amp; Copy of NDC is maintained at the agency?</t>
  </si>
  <si>
    <t>As per process Stockyard is required to give "No due certificate" for payout given to Stockyard.</t>
  </si>
  <si>
    <t>Non compliance of last month's audit observation.</t>
  </si>
  <si>
    <t>Whether non-compliance reported in the previous period adhered to?</t>
  </si>
  <si>
    <t>Done: 10 else -2 for each such case</t>
  </si>
  <si>
    <t>Yes, non-compliance reported in the previous period are rectified and not observed for the current audit period</t>
  </si>
  <si>
    <t>Audit support</t>
  </si>
  <si>
    <t>Whether full cooperation was received from yard for completing audit?</t>
  </si>
  <si>
    <t>Yes, Full cooperation/complete &amp; timely data was received from agency for completing the audit</t>
  </si>
  <si>
    <t>Additional point</t>
  </si>
  <si>
    <t>Any other comment which Auditor wants to give</t>
  </si>
  <si>
    <t>No comment, No Additional case/observation was observed for the audit period</t>
  </si>
  <si>
    <t>Main category</t>
  </si>
  <si>
    <t>Zone</t>
  </si>
  <si>
    <t>State</t>
  </si>
  <si>
    <t>Location</t>
  </si>
  <si>
    <t>CP Name</t>
  </si>
  <si>
    <t>Employee ID</t>
  </si>
  <si>
    <t>Product</t>
  </si>
  <si>
    <t>Bucket</t>
  </si>
  <si>
    <t>Loan Account No.</t>
  </si>
  <si>
    <t>Customer Name</t>
  </si>
  <si>
    <t>Godown Name</t>
  </si>
  <si>
    <t>Godown Location</t>
  </si>
  <si>
    <t>Sale / Release date</t>
  </si>
  <si>
    <t>Sale / Release Amount</t>
  </si>
  <si>
    <t>Category of mismatch</t>
  </si>
  <si>
    <t>Mismatch Details</t>
  </si>
  <si>
    <t>Repokit Return Date</t>
  </si>
  <si>
    <t>SR.No</t>
  </si>
  <si>
    <t>ValuationMFC Link</t>
  </si>
  <si>
    <t>LAN No</t>
  </si>
  <si>
    <t>Reg No</t>
  </si>
  <si>
    <t>Repo Date</t>
  </si>
  <si>
    <t>Status (found/not found)</t>
  </si>
  <si>
    <t>Date of verification</t>
  </si>
  <si>
    <t>ADL Date</t>
  </si>
  <si>
    <t>Release Date</t>
  </si>
  <si>
    <t>Original Buyer Name</t>
  </si>
  <si>
    <t>Remark</t>
  </si>
  <si>
    <t>Stockyard</t>
  </si>
  <si>
    <t>January 2026 to March 2026</t>
  </si>
  <si>
    <t>Kumar Gaurav Agarwal and Company</t>
  </si>
  <si>
    <t>Subhasis Banerjee</t>
  </si>
  <si>
    <t>A B Parking Centre</t>
  </si>
  <si>
    <t>Joy Saha, Imran Elahi, Arindam Sarkar, Priyanka Mondal</t>
  </si>
  <si>
    <t>Barasat</t>
  </si>
  <si>
    <t>Babai Sinha</t>
  </si>
  <si>
    <t>Villp.O.- Hisabi, P.S.- Amdanga Dist- North 24 Parganas, State- West Bengal Pin-743221</t>
  </si>
  <si>
    <t>Raja Chaurasia / 9999934588</t>
  </si>
  <si>
    <t>Stock register contains instances of cutting and overwriting</t>
  </si>
  <si>
    <t>No</t>
  </si>
  <si>
    <t>Latest Authorized signatory list sent by Central Team was not available with the Yard</t>
  </si>
  <si>
    <t>LAN identification details are not marked on vehicles</t>
  </si>
  <si>
    <t>Yes Bank vehicle is not parked under the designated shed</t>
  </si>
  <si>
    <t>East</t>
  </si>
  <si>
    <t>West Bengal</t>
  </si>
  <si>
    <t>https://aiv3portal.autoinspekt.com/report/download/MzAyNTM5MjEyMQ==/NFdSUE8zMDI1MzkyMTIx/Y29tcHJlc3M=</t>
  </si>
  <si>
    <t>ALN001700948278</t>
  </si>
  <si>
    <t>Tapan Kumar Banerjee</t>
  </si>
  <si>
    <t>WB26BP9596</t>
  </si>
  <si>
    <t>ALN</t>
  </si>
  <si>
    <t>https://aiv3portal.autoinspekt.com/report/download/MzAyNTkxMzc3Ng==/NFdSUE8zMDI1OTEzNzc2/Y29tcHJlc3M=</t>
  </si>
  <si>
    <t>UCL001702175652</t>
  </si>
  <si>
    <t>Inderpal Singh</t>
  </si>
  <si>
    <t>WB08P8177</t>
  </si>
  <si>
    <t>UCL</t>
  </si>
  <si>
    <t>CVL001700509946</t>
  </si>
  <si>
    <t>Shakti Padda Bishwas</t>
  </si>
  <si>
    <t>WB272479</t>
  </si>
  <si>
    <t>CVL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</si>
</sst>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_);[Red]\(0\)"/>
    <numFmt numFmtId="166" formatCode="0\ ;[Red]\(0\)"/>
  </numFmts>
  <fonts count="22" x14ac:knownFonts="1">
    <font>
      <sz val="11"/>
      <color theme="1"/>
      <name val="Cambria"/>
      <family val="2"/>
    </font>
    <font>
      <sz val="11"/>
      <color theme="1"/>
      <name val="Aptos Narrow"/>
      <family val="2"/>
      <scheme val="minor"/>
    </font>
    <font>
      <b/>
      <sz val="10"/>
      <color indexed="9"/>
      <name val="Book Antiqua"/>
      <family val="1"/>
    </font>
    <font>
      <sz val="10"/>
      <color theme="1"/>
      <name val="Book Antiqua"/>
      <family val="1"/>
    </font>
    <font>
      <b/>
      <sz val="10"/>
      <name val="Book Antiqua"/>
      <family val="1"/>
    </font>
    <font>
      <sz val="10"/>
      <name val="Book Antiqua"/>
      <family val="1"/>
    </font>
    <font>
      <sz val="11"/>
      <color rgb="FF006100"/>
      <name val="Aptos Narrow"/>
      <family val="2"/>
      <scheme val="minor"/>
    </font>
    <font>
      <sz val="10"/>
      <color indexed="17"/>
      <name val="Book Antiqua"/>
      <family val="1"/>
    </font>
    <font>
      <b/>
      <sz val="10"/>
      <color theme="1"/>
      <name val="Book Antiqua"/>
      <family val="1"/>
    </font>
    <font>
      <sz val="10"/>
      <color indexed="8"/>
      <name val="Book Antiqua"/>
      <family val="1"/>
    </font>
    <font>
      <b/>
      <u/>
      <sz val="10"/>
      <name val="Book Antiqua"/>
      <family val="1"/>
    </font>
    <font>
      <sz val="10"/>
      <name val="Arial"/>
      <family val="2"/>
    </font>
    <font>
      <b/>
      <sz val="10"/>
      <color rgb="FF00B050"/>
      <name val="Book Antiqua"/>
      <family val="1"/>
    </font>
    <font>
      <b/>
      <sz val="9"/>
      <color indexed="9"/>
      <name val="Book Antiqua"/>
      <family val="1"/>
    </font>
    <font>
      <b/>
      <sz val="9"/>
      <name val="Book Antiqua"/>
      <family val="1"/>
    </font>
    <font>
      <sz val="9"/>
      <name val="Book Antiqua"/>
      <family val="1"/>
    </font>
    <font>
      <b/>
      <u/>
      <sz val="9"/>
      <name val="Book Antiqua"/>
      <family val="1"/>
    </font>
    <font>
      <sz val="9"/>
      <color theme="1"/>
      <name val="Book Antiqua"/>
      <family val="1"/>
    </font>
    <font>
      <b/>
      <sz val="9"/>
      <color theme="2"/>
      <name val="Book Antiqua"/>
      <family val="1"/>
    </font>
    <font>
      <sz val="9"/>
      <color theme="2"/>
      <name val="Book Antiqua"/>
      <family val="1"/>
    </font>
    <font>
      <sz val="9"/>
      <color rgb="FF000000"/>
      <name val="Book Antiqua"/>
      <family val="1"/>
    </font>
    <font>
      <sz val="11"/>
      <color theme="1"/>
      <name val="Calibri"/>
      <family val="2"/>
    </font>
  </fonts>
  <fills count="7">
    <fill>
      <patternFill patternType="none"/>
    </fill>
    <fill>
      <patternFill patternType="gray125"/>
    </fill>
    <fill>
      <patternFill patternType="solid">
        <fgColor rgb="FFC6EFCE"/>
      </patternFill>
    </fill>
    <fill>
      <patternFill patternType="solid">
        <fgColor rgb="FF003155"/>
        <bgColor indexed="31"/>
      </patternFill>
    </fill>
    <fill>
      <patternFill patternType="solid">
        <fgColor rgb="FF003155"/>
        <bgColor indexed="64"/>
      </patternFill>
    </fill>
    <fill>
      <patternFill patternType="solid">
        <fgColor theme="0"/>
        <bgColor indexed="64"/>
      </patternFill>
    </fill>
    <fill>
      <patternFill patternType="solid">
        <fgColor theme="9" tint="0.59999389629810485"/>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13">
    <xf numFmtId="0" fontId="0" fillId="0" borderId="0"/>
    <xf numFmtId="0" fontId="1" fillId="0" borderId="0"/>
    <xf numFmtId="0" fontId="6" fillId="2" borderId="0" applyNumberFormat="0" applyBorder="0" applyAlignment="0" applyProtection="0"/>
    <xf numFmtId="9" fontId="11" fillId="0" borderId="0" applyFont="0" applyFill="0" applyBorder="0" applyAlignment="0" applyProtection="0"/>
    <xf numFmtId="0" fontId="11" fillId="0" borderId="0"/>
    <xf numFmtId="9" fontId="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ill="0" applyBorder="0" applyAlignment="0" applyProtection="0"/>
    <xf numFmtId="0" fontId="11" fillId="0" borderId="0"/>
    <xf numFmtId="0" fontId="21" fillId="0" borderId="0"/>
  </cellStyleXfs>
  <cellXfs count="131">
    <xf numFmtId="0" fontId="0" fillId="0" borderId="0" xfId="0"/>
    <xf numFmtId="0" fontId="3" fillId="0" borderId="0" xfId="1" applyFont="1"/>
    <xf numFmtId="0" fontId="2" fillId="3" borderId="4" xfId="1" applyFont="1" applyFill="1" applyBorder="1" applyAlignment="1">
      <alignment horizontal="left" vertical="center"/>
    </xf>
    <xf numFmtId="0" fontId="4" fillId="0" borderId="4" xfId="1" applyFont="1" applyBorder="1" applyAlignment="1">
      <alignment horizontal="left" vertical="center"/>
    </xf>
    <xf numFmtId="0" fontId="5" fillId="0" borderId="0" xfId="1" applyFont="1" applyAlignment="1">
      <alignment horizontal="left" vertical="center"/>
    </xf>
    <xf numFmtId="0" fontId="7" fillId="0" borderId="0" xfId="2" applyFont="1" applyFill="1" applyBorder="1" applyAlignment="1" applyProtection="1">
      <alignment horizontal="left" vertical="center" wrapText="1"/>
    </xf>
    <xf numFmtId="0" fontId="3" fillId="0" borderId="0" xfId="1" applyFont="1" applyAlignment="1">
      <alignment horizontal="left"/>
    </xf>
    <xf numFmtId="0" fontId="2" fillId="3" borderId="5" xfId="1" applyFont="1" applyFill="1" applyBorder="1" applyAlignment="1">
      <alignment horizontal="left" vertical="center"/>
    </xf>
    <xf numFmtId="49" fontId="8" fillId="0" borderId="5" xfId="1" applyNumberFormat="1" applyFont="1" applyBorder="1" applyAlignment="1">
      <alignment horizontal="left" vertical="center"/>
    </xf>
    <xf numFmtId="164" fontId="4" fillId="0" borderId="5" xfId="1" applyNumberFormat="1" applyFont="1" applyBorder="1" applyAlignment="1">
      <alignment horizontal="left" vertical="center"/>
    </xf>
    <xf numFmtId="0" fontId="4" fillId="0" borderId="5" xfId="1" applyFont="1" applyBorder="1" applyAlignment="1">
      <alignment horizontal="left" vertical="center"/>
    </xf>
    <xf numFmtId="0" fontId="2" fillId="3" borderId="5" xfId="1" applyFont="1" applyFill="1" applyBorder="1" applyAlignment="1">
      <alignment horizontal="left" vertical="center" wrapText="1"/>
    </xf>
    <xf numFmtId="0" fontId="9" fillId="0" borderId="0" xfId="1" applyFont="1" applyAlignment="1">
      <alignment horizontal="left" vertical="center"/>
    </xf>
    <xf numFmtId="0" fontId="10" fillId="0" borderId="0" xfId="1" applyFont="1" applyAlignment="1">
      <alignment horizontal="left" vertical="center"/>
    </xf>
    <xf numFmtId="0" fontId="9" fillId="0" borderId="0" xfId="1" applyFont="1"/>
    <xf numFmtId="0" fontId="9" fillId="0" borderId="0" xfId="1" applyFont="1" applyAlignment="1">
      <alignment wrapText="1"/>
    </xf>
    <xf numFmtId="2" fontId="4" fillId="0" borderId="0" xfId="3" applyNumberFormat="1" applyFont="1" applyFill="1" applyBorder="1" applyAlignment="1" applyProtection="1">
      <alignment horizontal="center" vertical="top"/>
    </xf>
    <xf numFmtId="0" fontId="12" fillId="0" borderId="0" xfId="1" applyFont="1" applyAlignment="1">
      <alignment horizontal="center" vertical="center"/>
    </xf>
    <xf numFmtId="0" fontId="2" fillId="3" borderId="9" xfId="1" applyFont="1" applyFill="1" applyBorder="1" applyAlignment="1">
      <alignment horizontal="left" vertical="center"/>
    </xf>
    <xf numFmtId="1" fontId="8" fillId="0" borderId="5" xfId="4" applyNumberFormat="1" applyFont="1" applyBorder="1" applyAlignment="1">
      <alignment horizontal="center" vertical="center"/>
    </xf>
    <xf numFmtId="9" fontId="4" fillId="0" borderId="5" xfId="3" applyFont="1" applyBorder="1" applyAlignment="1">
      <alignment horizontal="center"/>
    </xf>
    <xf numFmtId="0" fontId="5" fillId="0" borderId="10" xfId="1" applyFont="1" applyBorder="1"/>
    <xf numFmtId="0" fontId="2" fillId="3" borderId="5" xfId="1" applyFont="1" applyFill="1" applyBorder="1" applyAlignment="1">
      <alignment horizontal="center" vertical="center"/>
    </xf>
    <xf numFmtId="9" fontId="2" fillId="3" borderId="5" xfId="5" applyFont="1" applyFill="1" applyBorder="1" applyAlignment="1" applyProtection="1">
      <alignment horizontal="center" vertical="center"/>
    </xf>
    <xf numFmtId="0" fontId="2" fillId="3" borderId="11" xfId="1" applyFont="1" applyFill="1" applyBorder="1" applyAlignment="1">
      <alignment horizontal="left" vertical="center"/>
    </xf>
    <xf numFmtId="0" fontId="10" fillId="0" borderId="0" xfId="1" applyFont="1" applyAlignment="1">
      <alignment vertical="center"/>
    </xf>
    <xf numFmtId="0" fontId="5" fillId="0" borderId="0" xfId="1" applyFont="1" applyAlignment="1">
      <alignment vertical="center"/>
    </xf>
    <xf numFmtId="0" fontId="5" fillId="0" borderId="5" xfId="1" applyFont="1" applyBorder="1" applyAlignment="1">
      <alignment horizontal="left" vertical="center"/>
    </xf>
    <xf numFmtId="0" fontId="5" fillId="0" borderId="5" xfId="1" applyFont="1" applyBorder="1" applyAlignment="1">
      <alignment vertical="center"/>
    </xf>
    <xf numFmtId="0" fontId="13" fillId="4" borderId="6" xfId="1" applyFont="1" applyFill="1" applyBorder="1" applyAlignment="1">
      <alignment horizontal="center" vertical="center" wrapText="1"/>
    </xf>
    <xf numFmtId="0" fontId="13" fillId="4" borderId="7" xfId="1" applyFont="1" applyFill="1" applyBorder="1" applyAlignment="1">
      <alignment horizontal="center" vertical="center" wrapText="1"/>
    </xf>
    <xf numFmtId="0" fontId="13" fillId="4" borderId="7" xfId="6" applyFont="1" applyFill="1" applyBorder="1" applyAlignment="1" applyProtection="1">
      <alignment horizontal="left" vertical="center" wrapText="1"/>
      <protection locked="0"/>
    </xf>
    <xf numFmtId="0" fontId="13" fillId="4" borderId="8" xfId="1" applyFont="1" applyFill="1" applyBorder="1" applyAlignment="1">
      <alignment horizontal="center" vertical="center" wrapText="1"/>
    </xf>
    <xf numFmtId="0" fontId="4" fillId="0" borderId="0" xfId="1" applyFont="1" applyAlignment="1">
      <alignment horizontal="center" vertical="center" wrapText="1"/>
    </xf>
    <xf numFmtId="0" fontId="14" fillId="0" borderId="9" xfId="1" applyFont="1" applyBorder="1" applyAlignment="1">
      <alignment horizontal="center" vertical="center" wrapText="1"/>
    </xf>
    <xf numFmtId="0" fontId="15" fillId="5" borderId="5" xfId="1" applyFont="1" applyFill="1" applyBorder="1" applyAlignment="1">
      <alignment horizontal="left" vertical="center" wrapText="1"/>
    </xf>
    <xf numFmtId="0" fontId="15" fillId="0" borderId="5" xfId="1" applyFont="1" applyBorder="1" applyAlignment="1">
      <alignment horizontal="left" vertical="center" wrapText="1"/>
    </xf>
    <xf numFmtId="49" fontId="15" fillId="0" borderId="5" xfId="7" applyNumberFormat="1" applyFont="1" applyBorder="1" applyAlignment="1" applyProtection="1">
      <alignment horizontal="left" vertical="center" wrapText="1"/>
      <protection locked="0"/>
    </xf>
    <xf numFmtId="0" fontId="15" fillId="0" borderId="5" xfId="1" applyFont="1" applyBorder="1" applyAlignment="1">
      <alignment horizontal="center" vertical="center"/>
    </xf>
    <xf numFmtId="0" fontId="15" fillId="0" borderId="3" xfId="1" applyFont="1" applyBorder="1" applyAlignment="1" applyProtection="1">
      <alignment horizontal="left" vertical="center" wrapText="1"/>
      <protection locked="0"/>
    </xf>
    <xf numFmtId="0" fontId="15" fillId="0" borderId="5" xfId="1" applyFont="1" applyBorder="1" applyAlignment="1">
      <alignment horizontal="left" vertical="top" wrapText="1"/>
    </xf>
    <xf numFmtId="0" fontId="15" fillId="0" borderId="1" xfId="1" applyFont="1" applyBorder="1" applyAlignment="1">
      <alignment horizontal="left" vertical="top" wrapText="1"/>
    </xf>
    <xf numFmtId="0" fontId="15" fillId="0" borderId="10" xfId="1" applyFont="1" applyBorder="1" applyAlignment="1">
      <alignment horizontal="left" vertical="top" wrapText="1"/>
    </xf>
    <xf numFmtId="0" fontId="5" fillId="0" borderId="0" xfId="1" applyFont="1" applyAlignment="1">
      <alignment horizontal="center" vertical="center" wrapText="1"/>
    </xf>
    <xf numFmtId="0" fontId="15" fillId="0" borderId="5" xfId="7" applyFont="1" applyBorder="1" applyAlignment="1" applyProtection="1">
      <alignment vertical="center" wrapText="1"/>
      <protection locked="0"/>
    </xf>
    <xf numFmtId="0" fontId="15" fillId="0" borderId="3" xfId="1" applyFont="1" applyBorder="1" applyAlignment="1">
      <alignment horizontal="left" vertical="center" wrapText="1"/>
    </xf>
    <xf numFmtId="0" fontId="15" fillId="0" borderId="5" xfId="1" applyFont="1" applyBorder="1" applyAlignment="1">
      <alignment vertical="top" wrapText="1"/>
    </xf>
    <xf numFmtId="0" fontId="15" fillId="0" borderId="1" xfId="1" applyFont="1" applyBorder="1" applyAlignment="1">
      <alignment vertical="top" wrapText="1"/>
    </xf>
    <xf numFmtId="0" fontId="15" fillId="0" borderId="10" xfId="1" applyFont="1" applyBorder="1" applyAlignment="1">
      <alignment vertical="top"/>
    </xf>
    <xf numFmtId="0" fontId="5" fillId="0" borderId="0" xfId="1" applyFont="1" applyAlignment="1">
      <alignment vertical="top"/>
    </xf>
    <xf numFmtId="0" fontId="15" fillId="0" borderId="5" xfId="7" applyFont="1" applyBorder="1" applyAlignment="1" applyProtection="1">
      <alignment horizontal="left" vertical="center" wrapText="1"/>
      <protection locked="0"/>
    </xf>
    <xf numFmtId="0" fontId="15" fillId="0" borderId="5" xfId="7" applyFont="1" applyBorder="1" applyAlignment="1" applyProtection="1">
      <alignment horizontal="left" vertical="top" wrapText="1"/>
      <protection locked="0"/>
    </xf>
    <xf numFmtId="0" fontId="15" fillId="0" borderId="1" xfId="7" applyFont="1" applyBorder="1" applyAlignment="1" applyProtection="1">
      <alignment horizontal="left" vertical="top" wrapText="1"/>
      <protection locked="0"/>
    </xf>
    <xf numFmtId="0" fontId="17" fillId="0" borderId="5" xfId="1" applyFont="1" applyBorder="1" applyAlignment="1">
      <alignment vertical="center" wrapText="1"/>
    </xf>
    <xf numFmtId="0" fontId="15" fillId="0" borderId="5" xfId="1" applyFont="1" applyBorder="1" applyAlignment="1">
      <alignment vertical="center" wrapText="1"/>
    </xf>
    <xf numFmtId="0" fontId="15" fillId="0" borderId="5" xfId="1" applyFont="1" applyBorder="1" applyAlignment="1">
      <alignment vertical="top"/>
    </xf>
    <xf numFmtId="0" fontId="15" fillId="0" borderId="1" xfId="1" applyFont="1" applyBorder="1" applyAlignment="1">
      <alignment vertical="top"/>
    </xf>
    <xf numFmtId="0" fontId="14" fillId="0" borderId="5" xfId="1" applyFont="1" applyBorder="1" applyAlignment="1">
      <alignment vertical="center" wrapText="1"/>
    </xf>
    <xf numFmtId="0" fontId="15" fillId="0" borderId="5" xfId="7" applyFont="1" applyBorder="1" applyAlignment="1" applyProtection="1">
      <alignment horizontal="justify" vertical="center" wrapText="1"/>
      <protection locked="0"/>
    </xf>
    <xf numFmtId="0" fontId="18" fillId="4" borderId="9" xfId="1" applyFont="1" applyFill="1" applyBorder="1" applyAlignment="1">
      <alignment horizontal="center" vertical="center" wrapText="1"/>
    </xf>
    <xf numFmtId="0" fontId="19" fillId="4" borderId="5" xfId="1" applyFont="1" applyFill="1" applyBorder="1" applyAlignment="1">
      <alignment horizontal="left" vertical="center" wrapText="1"/>
    </xf>
    <xf numFmtId="0" fontId="18" fillId="4" borderId="5" xfId="7" applyFont="1" applyFill="1" applyBorder="1" applyAlignment="1" applyProtection="1">
      <alignment horizontal="center" vertical="center" wrapText="1"/>
      <protection locked="0"/>
    </xf>
    <xf numFmtId="0" fontId="19" fillId="4" borderId="5" xfId="7" applyFont="1" applyFill="1" applyBorder="1" applyAlignment="1" applyProtection="1">
      <alignment horizontal="justify" vertical="center" wrapText="1"/>
      <protection locked="0"/>
    </xf>
    <xf numFmtId="49" fontId="19" fillId="4" borderId="5" xfId="7" applyNumberFormat="1" applyFont="1" applyFill="1" applyBorder="1" applyAlignment="1" applyProtection="1">
      <alignment horizontal="left" vertical="center" wrapText="1"/>
      <protection locked="0"/>
    </xf>
    <xf numFmtId="0" fontId="19" fillId="4" borderId="5" xfId="1" applyFont="1" applyFill="1" applyBorder="1" applyAlignment="1">
      <alignment horizontal="center" vertical="center"/>
    </xf>
    <xf numFmtId="0" fontId="18" fillId="4" borderId="5" xfId="1" applyFont="1" applyFill="1" applyBorder="1" applyAlignment="1">
      <alignment horizontal="center" vertical="center"/>
    </xf>
    <xf numFmtId="0" fontId="19" fillId="4" borderId="5" xfId="1" applyFont="1" applyFill="1" applyBorder="1" applyAlignment="1">
      <alignment vertical="center"/>
    </xf>
    <xf numFmtId="0" fontId="19" fillId="4" borderId="5" xfId="1" applyFont="1" applyFill="1" applyBorder="1" applyAlignment="1">
      <alignment vertical="top"/>
    </xf>
    <xf numFmtId="0" fontId="19" fillId="4" borderId="1" xfId="1" applyFont="1" applyFill="1" applyBorder="1" applyAlignment="1">
      <alignment vertical="top"/>
    </xf>
    <xf numFmtId="0" fontId="19" fillId="4" borderId="10" xfId="1" applyFont="1" applyFill="1" applyBorder="1" applyAlignment="1">
      <alignment vertical="top"/>
    </xf>
    <xf numFmtId="0" fontId="15" fillId="0" borderId="5" xfId="1" applyFont="1" applyBorder="1" applyAlignment="1">
      <alignment vertical="center"/>
    </xf>
    <xf numFmtId="49" fontId="15" fillId="0" borderId="5" xfId="1" applyNumberFormat="1" applyFont="1" applyBorder="1" applyAlignment="1" applyProtection="1">
      <alignment horizontal="left" vertical="center" wrapText="1"/>
      <protection locked="0"/>
    </xf>
    <xf numFmtId="0" fontId="15" fillId="0" borderId="5" xfId="1" applyFont="1" applyBorder="1" applyAlignment="1" applyProtection="1">
      <alignment horizontal="left" vertical="center" wrapText="1"/>
      <protection locked="0"/>
    </xf>
    <xf numFmtId="0" fontId="15" fillId="0" borderId="5" xfId="8" applyFont="1" applyBorder="1" applyAlignment="1" applyProtection="1">
      <alignment horizontal="justify" vertical="center" wrapText="1"/>
      <protection locked="0"/>
    </xf>
    <xf numFmtId="0" fontId="15" fillId="0" borderId="5" xfId="8" applyFont="1" applyBorder="1" applyAlignment="1" applyProtection="1">
      <alignment horizontal="justify" vertical="top" wrapText="1"/>
      <protection locked="0"/>
    </xf>
    <xf numFmtId="0" fontId="15" fillId="0" borderId="1" xfId="8" applyFont="1" applyBorder="1" applyAlignment="1" applyProtection="1">
      <alignment horizontal="justify" vertical="top" wrapText="1"/>
      <protection locked="0"/>
    </xf>
    <xf numFmtId="0" fontId="5" fillId="0" borderId="0" xfId="1" applyFont="1" applyAlignment="1">
      <alignment horizontal="left" vertical="top" wrapText="1"/>
    </xf>
    <xf numFmtId="0" fontId="15" fillId="0" borderId="3" xfId="7" applyFont="1" applyBorder="1" applyAlignment="1" applyProtection="1">
      <alignment horizontal="left" vertical="center" wrapText="1"/>
      <protection locked="0"/>
    </xf>
    <xf numFmtId="0" fontId="15" fillId="0" borderId="5" xfId="1" applyFont="1" applyBorder="1" applyAlignment="1" applyProtection="1">
      <alignment horizontal="center" vertical="center" wrapText="1"/>
      <protection locked="0"/>
    </xf>
    <xf numFmtId="0" fontId="15" fillId="0" borderId="5" xfId="7" applyFont="1" applyBorder="1" applyAlignment="1" applyProtection="1">
      <alignment horizontal="center" vertical="center" wrapText="1"/>
      <protection locked="0"/>
    </xf>
    <xf numFmtId="165" fontId="15" fillId="0" borderId="5" xfId="1" applyNumberFormat="1" applyFont="1" applyBorder="1" applyAlignment="1" applyProtection="1">
      <alignment horizontal="center" vertical="center" wrapText="1"/>
      <protection locked="0"/>
    </xf>
    <xf numFmtId="0" fontId="15" fillId="0" borderId="5" xfId="7" applyFont="1" applyBorder="1" applyAlignment="1" applyProtection="1">
      <alignment vertical="top" wrapText="1"/>
      <protection locked="0"/>
    </xf>
    <xf numFmtId="0" fontId="15" fillId="0" borderId="1" xfId="7" applyFont="1" applyBorder="1" applyAlignment="1" applyProtection="1">
      <alignment vertical="top" wrapText="1"/>
      <protection locked="0"/>
    </xf>
    <xf numFmtId="0" fontId="15" fillId="0" borderId="5" xfId="1" applyFont="1" applyBorder="1" applyAlignment="1" applyProtection="1">
      <alignment horizontal="left" vertical="top" wrapText="1"/>
      <protection locked="0"/>
    </xf>
    <xf numFmtId="0" fontId="15" fillId="0" borderId="1" xfId="1" applyFont="1" applyBorder="1" applyAlignment="1" applyProtection="1">
      <alignment horizontal="left" vertical="top" wrapText="1"/>
      <protection locked="0"/>
    </xf>
    <xf numFmtId="0" fontId="15" fillId="0" borderId="5" xfId="8" applyFont="1" applyBorder="1" applyAlignment="1" applyProtection="1">
      <alignment horizontal="left" vertical="center" wrapText="1"/>
      <protection locked="0"/>
    </xf>
    <xf numFmtId="0" fontId="15" fillId="0" borderId="5" xfId="9" applyFont="1" applyBorder="1" applyAlignment="1">
      <alignment horizontal="left" vertical="center" wrapText="1"/>
    </xf>
    <xf numFmtId="0" fontId="17" fillId="0" borderId="5" xfId="1" applyFont="1" applyBorder="1" applyAlignment="1">
      <alignment horizontal="left" vertical="center" wrapText="1"/>
    </xf>
    <xf numFmtId="0" fontId="17" fillId="0" borderId="5" xfId="1" applyFont="1" applyBorder="1" applyAlignment="1" applyProtection="1">
      <alignment horizontal="left" vertical="center" wrapText="1"/>
      <protection locked="0"/>
    </xf>
    <xf numFmtId="49" fontId="17" fillId="0" borderId="5" xfId="1" applyNumberFormat="1" applyFont="1" applyBorder="1" applyAlignment="1">
      <alignment horizontal="left" vertical="center" wrapText="1"/>
    </xf>
    <xf numFmtId="166" fontId="17" fillId="0" borderId="5" xfId="1" applyNumberFormat="1" applyFont="1" applyBorder="1" applyAlignment="1" applyProtection="1">
      <alignment horizontal="center" vertical="center" wrapText="1"/>
      <protection locked="0"/>
    </xf>
    <xf numFmtId="0" fontId="17" fillId="0" borderId="5" xfId="8" applyFont="1" applyBorder="1" applyAlignment="1" applyProtection="1">
      <alignment horizontal="center" vertical="center" wrapText="1"/>
      <protection locked="0"/>
    </xf>
    <xf numFmtId="0" fontId="17" fillId="0" borderId="5" xfId="1" applyFont="1" applyBorder="1" applyAlignment="1">
      <alignment horizontal="left" vertical="top" wrapText="1"/>
    </xf>
    <xf numFmtId="0" fontId="17" fillId="0" borderId="1" xfId="1" applyFont="1" applyBorder="1" applyAlignment="1">
      <alignment horizontal="left" vertical="top" wrapText="1"/>
    </xf>
    <xf numFmtId="0" fontId="20" fillId="0" borderId="5" xfId="1" applyFont="1" applyBorder="1" applyAlignment="1">
      <alignment horizontal="left" vertical="center" wrapText="1"/>
    </xf>
    <xf numFmtId="0" fontId="20" fillId="0" borderId="5" xfId="1" applyFont="1" applyBorder="1" applyAlignment="1" applyProtection="1">
      <alignment horizontal="left" vertical="center" wrapText="1"/>
      <protection locked="0"/>
    </xf>
    <xf numFmtId="0" fontId="17" fillId="0" borderId="5" xfId="10" applyFont="1" applyFill="1" applyBorder="1" applyAlignment="1" applyProtection="1">
      <alignment horizontal="left" vertical="center" wrapText="1"/>
    </xf>
    <xf numFmtId="0" fontId="17" fillId="0" borderId="5" xfId="1" applyFont="1" applyBorder="1" applyAlignment="1" applyProtection="1">
      <alignment horizontal="center" vertical="center" wrapText="1"/>
      <protection locked="0"/>
    </xf>
    <xf numFmtId="165" fontId="17" fillId="0" borderId="5" xfId="1" applyNumberFormat="1" applyFont="1" applyBorder="1" applyAlignment="1" applyProtection="1">
      <alignment horizontal="center" vertical="center" wrapText="1"/>
      <protection locked="0"/>
    </xf>
    <xf numFmtId="0" fontId="15" fillId="0" borderId="5" xfId="1" applyFont="1" applyBorder="1" applyAlignment="1">
      <alignment horizontal="center" vertical="center" wrapText="1"/>
    </xf>
    <xf numFmtId="0" fontId="18" fillId="4" borderId="11" xfId="1" applyFont="1" applyFill="1" applyBorder="1" applyAlignment="1">
      <alignment horizontal="center" vertical="center" wrapText="1"/>
    </xf>
    <xf numFmtId="0" fontId="19" fillId="4" borderId="12" xfId="1" applyFont="1" applyFill="1" applyBorder="1" applyAlignment="1">
      <alignment horizontal="left" vertical="center" wrapText="1"/>
    </xf>
    <xf numFmtId="0" fontId="18" fillId="4" borderId="12" xfId="7" applyFont="1" applyFill="1" applyBorder="1" applyAlignment="1" applyProtection="1">
      <alignment horizontal="center" vertical="center" wrapText="1"/>
      <protection locked="0"/>
    </xf>
    <xf numFmtId="0" fontId="18" fillId="4" borderId="12" xfId="1" applyFont="1" applyFill="1" applyBorder="1" applyAlignment="1">
      <alignment vertical="center" wrapText="1"/>
    </xf>
    <xf numFmtId="0" fontId="18" fillId="4" borderId="12" xfId="1" applyFont="1" applyFill="1" applyBorder="1" applyAlignment="1">
      <alignment horizontal="center" vertical="center"/>
    </xf>
    <xf numFmtId="0" fontId="18" fillId="4" borderId="12" xfId="1" applyFont="1" applyFill="1" applyBorder="1" applyAlignment="1">
      <alignment horizontal="center" vertical="center" wrapText="1"/>
    </xf>
    <xf numFmtId="0" fontId="19" fillId="4" borderId="12" xfId="1" applyFont="1" applyFill="1" applyBorder="1" applyAlignment="1">
      <alignment vertical="top"/>
    </xf>
    <xf numFmtId="0" fontId="19" fillId="4" borderId="14" xfId="1" applyFont="1" applyFill="1" applyBorder="1" applyAlignment="1">
      <alignment vertical="top"/>
    </xf>
    <xf numFmtId="0" fontId="19" fillId="4" borderId="13" xfId="1" applyFont="1" applyFill="1" applyBorder="1" applyAlignment="1">
      <alignment vertical="top"/>
    </xf>
    <xf numFmtId="0" fontId="5" fillId="0" borderId="0" xfId="1" applyFont="1" applyAlignment="1">
      <alignment horizontal="center" vertical="top"/>
    </xf>
    <xf numFmtId="0" fontId="5" fillId="0" borderId="0" xfId="1" applyFont="1" applyAlignment="1">
      <alignment horizontal="left" vertical="top"/>
    </xf>
    <xf numFmtId="0" fontId="2" fillId="4" borderId="5" xfId="6" applyFont="1" applyFill="1" applyBorder="1" applyAlignment="1" applyProtection="1">
      <alignment horizontal="left" vertical="center"/>
      <protection locked="0"/>
    </xf>
    <xf numFmtId="14" fontId="3" fillId="0" borderId="0" xfId="1" applyNumberFormat="1" applyFont="1"/>
    <xf numFmtId="0" fontId="2" fillId="3" borderId="10" xfId="1" applyFont="1" applyFill="1" applyBorder="1" applyAlignment="1">
      <alignment horizontal="center" vertical="center"/>
    </xf>
    <xf numFmtId="0" fontId="2" fillId="3" borderId="13" xfId="1" applyFont="1" applyFill="1" applyBorder="1" applyAlignment="1">
      <alignment horizontal="center" vertical="center"/>
    </xf>
    <xf numFmtId="0" fontId="2" fillId="3" borderId="12" xfId="1" applyFont="1" applyFill="1" applyBorder="1" applyAlignment="1">
      <alignment horizontal="center" vertical="center"/>
    </xf>
    <xf numFmtId="0" fontId="2" fillId="3" borderId="1" xfId="1" applyFont="1" applyFill="1" applyBorder="1" applyAlignment="1">
      <alignment horizontal="center" vertical="center"/>
    </xf>
    <xf numFmtId="0" fontId="2" fillId="3" borderId="2" xfId="1" applyFont="1" applyFill="1" applyBorder="1" applyAlignment="1">
      <alignment horizontal="center" vertical="center"/>
    </xf>
    <xf numFmtId="0" fontId="2" fillId="3" borderId="3" xfId="1" applyFont="1" applyFill="1" applyBorder="1" applyAlignment="1">
      <alignment horizontal="center" vertical="center"/>
    </xf>
    <xf numFmtId="0" fontId="2" fillId="3" borderId="6" xfId="1" applyFont="1" applyFill="1" applyBorder="1" applyAlignment="1">
      <alignment horizontal="center" vertical="center"/>
    </xf>
    <xf numFmtId="0" fontId="2" fillId="3" borderId="9" xfId="1" applyFont="1" applyFill="1" applyBorder="1" applyAlignment="1">
      <alignment horizontal="center" vertical="center"/>
    </xf>
    <xf numFmtId="0" fontId="2" fillId="3" borderId="7" xfId="1" applyFont="1" applyFill="1" applyBorder="1" applyAlignment="1">
      <alignment horizontal="center" vertical="center"/>
    </xf>
    <xf numFmtId="0" fontId="2" fillId="3" borderId="5" xfId="1" applyFont="1" applyFill="1" applyBorder="1" applyAlignment="1">
      <alignment horizontal="center" vertical="center"/>
    </xf>
    <xf numFmtId="0" fontId="2" fillId="3" borderId="8" xfId="1" applyFont="1" applyFill="1" applyBorder="1" applyAlignment="1">
      <alignment horizontal="center" vertical="center"/>
    </xf>
    <xf numFmtId="0" fontId="2" fillId="4" borderId="6" xfId="6" applyFont="1" applyFill="1" applyBorder="1" applyAlignment="1" applyProtection="1">
      <alignment horizontal="left" vertical="center"/>
      <protection locked="0"/>
    </xf>
    <xf numFmtId="0" fontId="4" fillId="6" borderId="7" xfId="1" applyFont="1" applyFill="1" applyBorder="1" applyAlignment="1">
      <alignment horizontal="left" vertical="center"/>
    </xf>
    <xf numFmtId="0" fontId="2" fillId="4" borderId="7" xfId="6" applyFont="1" applyFill="1" applyBorder="1" applyAlignment="1" applyProtection="1">
      <alignment horizontal="left" vertical="center"/>
      <protection locked="0"/>
    </xf>
    <xf numFmtId="14" fontId="2" fillId="4" borderId="7" xfId="6" applyNumberFormat="1" applyFont="1" applyFill="1" applyBorder="1" applyAlignment="1" applyProtection="1">
      <alignment horizontal="left" vertical="center"/>
      <protection locked="0"/>
    </xf>
    <xf numFmtId="0" fontId="2" fillId="4" borderId="8" xfId="6" applyFont="1" applyFill="1" applyBorder="1" applyAlignment="1" applyProtection="1">
      <alignment horizontal="left" vertical="center"/>
      <protection locked="0"/>
    </xf>
    <xf numFmtId="0" fontId="3" fillId="0" borderId="0" xfId="1" applyFont="1" applyAlignment="1">
      <alignment horizontal="left" vertical="center"/>
    </xf>
    <xf numFmtId="14" fontId="3" fillId="0" borderId="0" xfId="1" applyNumberFormat="1" applyFont="1" applyAlignment="1">
      <alignment horizontal="left" vertical="center"/>
    </xf>
  </cellXfs>
  <cellStyles count="13">
    <cellStyle name="_Amar's Vehicle_Audit_Report_auto_july_agt_06_Nasik Auto Jan. 07_cv_PIVOT 1_SERIES" xfId="8" xr:uid="{2300443E-45B7-4C4D-A210-C2F7363AAA8E}"/>
    <cellStyle name="_DRE JULY'06_Audit_Report_auto_july_agt_06_NPA(AUTO&amp;CV)_MUMBAI_NOV.07_Pre requisites at every yard" xfId="9" xr:uid="{49FB8B0E-017B-44A0-9A73-5E32F61F0916}"/>
    <cellStyle name="DataPilot Category" xfId="4" xr:uid="{7A5B20CF-9166-46C2-A62E-87BFC15B66AF}"/>
    <cellStyle name="Good 2" xfId="2" xr:uid="{086F3424-9E6E-4A6B-85C8-9B37CF1B711A}"/>
    <cellStyle name="Nïrmal" xfId="7" xr:uid="{0CA1AC82-A88D-4552-9E37-D71174EF287A}"/>
    <cellStyle name="Normal" xfId="0" builtinId="0"/>
    <cellStyle name="Normal 2" xfId="1" xr:uid="{7BFD5FA8-5C69-4391-934A-AEA7F3A78AC4}"/>
    <cellStyle name="Normal 3" xfId="11" xr:uid="{DD889DDC-1716-415F-B758-B63534F9940A}"/>
    <cellStyle name="Normal 3 2" xfId="12" xr:uid="{4E76220B-E8D2-466E-8F37-8C8485A57A80}"/>
    <cellStyle name="Normal_DM_1" xfId="6" xr:uid="{4DCCF190-728C-4208-A435-A6C1DEEE9060}"/>
    <cellStyle name="Normal_Sheet1" xfId="10" xr:uid="{C3D2BBC1-B00C-4CEF-9288-8F9180943EFF}"/>
    <cellStyle name="Percent 2" xfId="3" xr:uid="{8A9BD811-765D-4AD5-AD7B-05D132B81C14}"/>
    <cellStyle name="Percent 3" xfId="5" xr:uid="{1BFD4981-8AB7-4B85-B1BA-186BBF679A62}"/>
  </cellStyles>
  <dxfs count="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E4C1-32D2-48C5-B734-3EDE9D584B3A}">
  <sheetPr codeName="Sheet2"/>
  <dimension ref="B2:H28"/>
  <sheetViews>
    <sheetView tabSelected="1" zoomScaleNormal="100" workbookViewId="0">
      <selection activeCell="C5" sqref="C5"/>
    </sheetView>
  </sheetViews>
  <sheetFormatPr defaultColWidth="8" defaultRowHeight="13.5" x14ac:dyDescent="0.25"/>
  <cols>
    <col min="1" max="1" width="3.375" style="1" customWidth="1"/>
    <col min="2" max="2" width="29.625" style="1" customWidth="1"/>
    <col min="3" max="3" width="38" style="1" customWidth="1"/>
    <col min="4" max="4" width="30.5" style="1" customWidth="1"/>
    <col min="5" max="5" width="55.375" style="1" customWidth="1"/>
    <col min="6" max="6" width="19.125" style="1" customWidth="1"/>
    <col min="7" max="7" width="42.25" style="1" customWidth="1"/>
    <col min="8" max="16384" width="8" style="1"/>
  </cols>
  <sheetData>
    <row r="2" spans="2:8" ht="24.75" customHeight="1" x14ac:dyDescent="0.25">
      <c r="B2" s="116" t="s">
        <v>0</v>
      </c>
      <c r="C2" s="117"/>
      <c r="D2" s="117"/>
      <c r="E2" s="117"/>
      <c r="F2" s="117"/>
      <c r="G2" s="118"/>
    </row>
    <row r="4" spans="2:8" s="6" customFormat="1" ht="15" x14ac:dyDescent="0.25">
      <c r="B4" s="2" t="s">
        <v>1</v>
      </c>
      <c r="C4" s="3" t="s">
        <v>2</v>
      </c>
      <c r="D4" s="4"/>
      <c r="E4" s="4"/>
      <c r="F4" s="4"/>
      <c r="G4" s="5"/>
    </row>
    <row r="5" spans="2:8" s="6" customFormat="1" ht="15" x14ac:dyDescent="0.25">
      <c r="B5" s="7" t="s">
        <v>3</v>
      </c>
      <c r="C5" s="8" t="s">
        <v>200</v>
      </c>
      <c r="D5" s="7" t="s">
        <v>4</v>
      </c>
      <c r="E5" s="8" t="s">
        <v>202</v>
      </c>
      <c r="F5" s="7" t="s">
        <v>5</v>
      </c>
      <c r="G5" s="8" t="s">
        <v>204</v>
      </c>
      <c r="H5" s="6" t="s">
        <v>6</v>
      </c>
    </row>
    <row r="6" spans="2:8" s="6" customFormat="1" ht="15" x14ac:dyDescent="0.25">
      <c r="B6" s="7" t="s">
        <v>7</v>
      </c>
      <c r="C6" s="9">
        <v>46121</v>
      </c>
      <c r="D6" s="7" t="s">
        <v>8</v>
      </c>
      <c r="E6" s="10" t="s">
        <v>197</v>
      </c>
      <c r="F6" s="7" t="s">
        <v>9</v>
      </c>
      <c r="G6" s="10" t="s">
        <v>198</v>
      </c>
      <c r="H6" s="6" t="s">
        <v>6</v>
      </c>
    </row>
    <row r="7" spans="2:8" s="6" customFormat="1" ht="15" x14ac:dyDescent="0.25">
      <c r="B7" s="7" t="s">
        <v>10</v>
      </c>
      <c r="C7" s="10" t="s">
        <v>201</v>
      </c>
      <c r="D7" s="7" t="s">
        <v>11</v>
      </c>
      <c r="E7" s="10" t="s">
        <v>199</v>
      </c>
      <c r="F7" s="7" t="s">
        <v>12</v>
      </c>
      <c r="G7" s="10" t="s">
        <v>205</v>
      </c>
    </row>
    <row r="8" spans="2:8" s="6" customFormat="1" ht="15" x14ac:dyDescent="0.25">
      <c r="B8" s="7" t="s">
        <v>13</v>
      </c>
      <c r="C8" s="10" t="s">
        <v>69</v>
      </c>
      <c r="D8" s="7" t="s">
        <v>14</v>
      </c>
      <c r="E8" s="10" t="s">
        <v>69</v>
      </c>
      <c r="F8" s="4"/>
      <c r="G8" s="4"/>
    </row>
    <row r="9" spans="2:8" s="6" customFormat="1" ht="30" x14ac:dyDescent="0.25">
      <c r="B9" s="11" t="s">
        <v>15</v>
      </c>
      <c r="C9" s="10" t="s">
        <v>196</v>
      </c>
      <c r="D9" s="11" t="s">
        <v>16</v>
      </c>
      <c r="E9" s="10" t="s">
        <v>203</v>
      </c>
      <c r="F9" s="12" t="s">
        <v>6</v>
      </c>
      <c r="G9" s="5"/>
    </row>
    <row r="11" spans="2:8" ht="15" x14ac:dyDescent="0.25">
      <c r="B11" s="13" t="s">
        <v>17</v>
      </c>
      <c r="C11" s="14"/>
      <c r="D11" s="14"/>
      <c r="E11" s="14"/>
      <c r="F11" s="14"/>
      <c r="G11" s="14"/>
      <c r="H11" s="15"/>
    </row>
    <row r="12" spans="2:8" ht="14.25" thickBot="1" x14ac:dyDescent="0.3"/>
    <row r="13" spans="2:8" ht="15" x14ac:dyDescent="0.25">
      <c r="B13" s="119" t="s">
        <v>18</v>
      </c>
      <c r="C13" s="121" t="s">
        <v>19</v>
      </c>
      <c r="D13" s="121" t="s">
        <v>20</v>
      </c>
      <c r="E13" s="121" t="s">
        <v>21</v>
      </c>
      <c r="F13" s="123" t="s">
        <v>22</v>
      </c>
      <c r="G13" s="16"/>
      <c r="H13" s="16"/>
    </row>
    <row r="14" spans="2:8" ht="15" x14ac:dyDescent="0.25">
      <c r="B14" s="120"/>
      <c r="C14" s="122"/>
      <c r="D14" s="122"/>
      <c r="E14" s="122"/>
      <c r="F14" s="113"/>
      <c r="G14" s="17"/>
      <c r="H14" s="17"/>
    </row>
    <row r="15" spans="2:8" ht="15" x14ac:dyDescent="0.3">
      <c r="B15" s="18" t="s">
        <v>23</v>
      </c>
      <c r="C15" s="19">
        <v>40</v>
      </c>
      <c r="D15" s="19">
        <f>Checklist!K14</f>
        <v>23.636363636363637</v>
      </c>
      <c r="E15" s="20">
        <f>D15/C15</f>
        <v>0.59090909090909094</v>
      </c>
      <c r="F15" s="21"/>
    </row>
    <row r="16" spans="2:8" ht="15" x14ac:dyDescent="0.3">
      <c r="B16" s="18" t="s">
        <v>24</v>
      </c>
      <c r="C16" s="19">
        <v>50</v>
      </c>
      <c r="D16" s="19">
        <f>Checklist!K30</f>
        <v>47.916666666666671</v>
      </c>
      <c r="E16" s="20">
        <f>D16/C16</f>
        <v>0.95833333333333348</v>
      </c>
      <c r="F16" s="21"/>
    </row>
    <row r="17" spans="2:6" ht="15" x14ac:dyDescent="0.3">
      <c r="B17" s="18" t="s">
        <v>25</v>
      </c>
      <c r="C17" s="19">
        <v>10</v>
      </c>
      <c r="D17" s="19">
        <f>Checklist!K39</f>
        <v>10</v>
      </c>
      <c r="E17" s="20">
        <f>D17/C17</f>
        <v>1</v>
      </c>
      <c r="F17" s="21"/>
    </row>
    <row r="18" spans="2:6" ht="15" x14ac:dyDescent="0.25">
      <c r="B18" s="18" t="s">
        <v>26</v>
      </c>
      <c r="C18" s="22">
        <f>SUM(C15:C17)</f>
        <v>100</v>
      </c>
      <c r="D18" s="22">
        <f>SUM(D15:D17)</f>
        <v>81.553030303030312</v>
      </c>
      <c r="E18" s="23">
        <f>D18/C18</f>
        <v>0.81553030303030316</v>
      </c>
      <c r="F18" s="113" t="str">
        <f>IF(ROUNDUP(E18,2)&lt;60%,"C",IF(ROUNDUP(E18,2)&lt;70%,"C+",IF(ROUNDUP(E18,2)&lt;80%,"B",IF(ROUNDUP(E18,2)&lt;90%,"B+",IF(ROUNDUP(E18,2)&lt;100%,"A","A+")))))</f>
        <v>B+</v>
      </c>
    </row>
    <row r="19" spans="2:6" ht="15.75" thickBot="1" x14ac:dyDescent="0.3">
      <c r="B19" s="24" t="s">
        <v>27</v>
      </c>
      <c r="C19" s="115" t="str">
        <f>VLOOKUP($F$18,$C$22:$D$28,2,FALSE)</f>
        <v>Good</v>
      </c>
      <c r="D19" s="115"/>
      <c r="E19" s="115"/>
      <c r="F19" s="114"/>
    </row>
    <row r="21" spans="2:6" ht="15" x14ac:dyDescent="0.25">
      <c r="B21" s="25" t="s">
        <v>28</v>
      </c>
      <c r="C21" s="26"/>
      <c r="D21" s="26"/>
    </row>
    <row r="22" spans="2:6" ht="15" x14ac:dyDescent="0.25">
      <c r="B22" s="7" t="s">
        <v>29</v>
      </c>
      <c r="C22" s="7" t="s">
        <v>22</v>
      </c>
      <c r="D22" s="7" t="s">
        <v>30</v>
      </c>
    </row>
    <row r="23" spans="2:6" x14ac:dyDescent="0.25">
      <c r="B23" s="27">
        <v>100</v>
      </c>
      <c r="C23" s="28" t="s">
        <v>31</v>
      </c>
      <c r="D23" s="28" t="s">
        <v>32</v>
      </c>
    </row>
    <row r="24" spans="2:6" x14ac:dyDescent="0.25">
      <c r="B24" s="28" t="s">
        <v>33</v>
      </c>
      <c r="C24" s="28" t="s">
        <v>34</v>
      </c>
      <c r="D24" s="28" t="s">
        <v>35</v>
      </c>
    </row>
    <row r="25" spans="2:6" x14ac:dyDescent="0.25">
      <c r="B25" s="28" t="s">
        <v>36</v>
      </c>
      <c r="C25" s="28" t="s">
        <v>37</v>
      </c>
      <c r="D25" s="28" t="s">
        <v>38</v>
      </c>
    </row>
    <row r="26" spans="2:6" x14ac:dyDescent="0.25">
      <c r="B26" s="28" t="s">
        <v>39</v>
      </c>
      <c r="C26" s="28" t="s">
        <v>40</v>
      </c>
      <c r="D26" s="28" t="s">
        <v>41</v>
      </c>
    </row>
    <row r="27" spans="2:6" x14ac:dyDescent="0.25">
      <c r="B27" s="28" t="s">
        <v>42</v>
      </c>
      <c r="C27" s="28" t="s">
        <v>43</v>
      </c>
      <c r="D27" s="28" t="s">
        <v>44</v>
      </c>
    </row>
    <row r="28" spans="2:6" x14ac:dyDescent="0.25">
      <c r="B28" s="28" t="s">
        <v>45</v>
      </c>
      <c r="C28" s="28" t="s">
        <v>46</v>
      </c>
      <c r="D28" s="28" t="s">
        <v>47</v>
      </c>
    </row>
  </sheetData>
  <mergeCells count="8">
    <mergeCell ref="F18:F19"/>
    <mergeCell ref="C19:E19"/>
    <mergeCell ref="B2:G2"/>
    <mergeCell ref="B13:B14"/>
    <mergeCell ref="C13:C14"/>
    <mergeCell ref="D13:D14"/>
    <mergeCell ref="E13:E14"/>
    <mergeCell ref="F13:F14"/>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8474-A4CC-4D93-9DAF-986B7E68AC9E}">
  <sheetPr codeName="Sheet3"/>
  <dimension ref="A1:O39"/>
  <sheetViews>
    <sheetView showGridLines="0" workbookViewId="0">
      <pane ySplit="1" topLeftCell="A2" activePane="bottomLeft" state="frozen"/>
      <selection activeCell="A15" sqref="A15"/>
      <selection pane="bottomLeft"/>
    </sheetView>
  </sheetViews>
  <sheetFormatPr defaultColWidth="8" defaultRowHeight="13.5" x14ac:dyDescent="0.2"/>
  <cols>
    <col min="1" max="1" width="6.875" style="49" customWidth="1"/>
    <col min="2" max="2" width="12.25" style="49" customWidth="1"/>
    <col min="3" max="4" width="14.5" style="49" customWidth="1"/>
    <col min="5" max="6" width="26.875" style="49" customWidth="1"/>
    <col min="7" max="7" width="37.875" style="49" customWidth="1"/>
    <col min="8" max="8" width="19.875" style="49" customWidth="1"/>
    <col min="9" max="9" width="11.75" style="49" bestFit="1" customWidth="1"/>
    <col min="10" max="10" width="9.25" style="49" bestFit="1" customWidth="1"/>
    <col min="11" max="11" width="8.625" style="109" bestFit="1" customWidth="1"/>
    <col min="12" max="12" width="38.625" style="49" customWidth="1"/>
    <col min="13" max="13" width="16.5" style="49" bestFit="1" customWidth="1"/>
    <col min="14" max="14" width="19.375" style="49" bestFit="1" customWidth="1"/>
    <col min="15" max="15" width="8.875" style="110" bestFit="1" customWidth="1"/>
    <col min="16" max="16384" width="8" style="49"/>
  </cols>
  <sheetData>
    <row r="1" spans="1:15" s="33" customFormat="1" ht="39.75" customHeight="1" x14ac:dyDescent="0.2">
      <c r="A1" s="29" t="s">
        <v>48</v>
      </c>
      <c r="B1" s="30" t="s">
        <v>49</v>
      </c>
      <c r="C1" s="30" t="s">
        <v>50</v>
      </c>
      <c r="D1" s="30" t="s">
        <v>51</v>
      </c>
      <c r="E1" s="30" t="s">
        <v>52</v>
      </c>
      <c r="F1" s="31" t="s">
        <v>53</v>
      </c>
      <c r="G1" s="30" t="s">
        <v>54</v>
      </c>
      <c r="H1" s="30" t="s">
        <v>55</v>
      </c>
      <c r="I1" s="30" t="s">
        <v>56</v>
      </c>
      <c r="J1" s="30" t="s">
        <v>57</v>
      </c>
      <c r="K1" s="30" t="s">
        <v>29</v>
      </c>
      <c r="L1" s="30" t="s">
        <v>58</v>
      </c>
      <c r="M1" s="30" t="s">
        <v>59</v>
      </c>
      <c r="N1" s="30" t="s">
        <v>60</v>
      </c>
      <c r="O1" s="32" t="s">
        <v>61</v>
      </c>
    </row>
    <row r="2" spans="1:15" s="43" customFormat="1" ht="81" x14ac:dyDescent="0.2">
      <c r="A2" s="34">
        <v>1</v>
      </c>
      <c r="B2" s="35" t="s">
        <v>62</v>
      </c>
      <c r="C2" s="36" t="s">
        <v>63</v>
      </c>
      <c r="D2" s="36" t="s">
        <v>64</v>
      </c>
      <c r="E2" s="36" t="s">
        <v>65</v>
      </c>
      <c r="F2" s="36" t="s">
        <v>66</v>
      </c>
      <c r="G2" s="36" t="s">
        <v>67</v>
      </c>
      <c r="H2" s="37" t="s">
        <v>68</v>
      </c>
      <c r="I2" s="38" t="s">
        <v>69</v>
      </c>
      <c r="J2" s="38" t="s">
        <v>69</v>
      </c>
      <c r="K2" s="38" t="str">
        <f>IF(I2="NA","NA",IF(I2="Yes",10,-5))</f>
        <v>NA</v>
      </c>
      <c r="L2" s="39" t="s">
        <v>70</v>
      </c>
      <c r="M2" s="40"/>
      <c r="N2" s="41"/>
      <c r="O2" s="42"/>
    </row>
    <row r="3" spans="1:15" ht="96" x14ac:dyDescent="0.2">
      <c r="A3" s="34">
        <v>2</v>
      </c>
      <c r="B3" s="35" t="s">
        <v>71</v>
      </c>
      <c r="C3" s="36" t="s">
        <v>72</v>
      </c>
      <c r="D3" s="36" t="s">
        <v>73</v>
      </c>
      <c r="E3" s="44" t="s">
        <v>74</v>
      </c>
      <c r="F3" s="44" t="s">
        <v>75</v>
      </c>
      <c r="G3" s="36" t="s">
        <v>76</v>
      </c>
      <c r="H3" s="37" t="s">
        <v>68</v>
      </c>
      <c r="I3" s="38" t="s">
        <v>77</v>
      </c>
      <c r="J3" s="38" t="s">
        <v>69</v>
      </c>
      <c r="K3" s="38">
        <f>IF(I3="NA","NA",IF(I3="Yes",10,-5))</f>
        <v>10</v>
      </c>
      <c r="L3" s="45" t="s">
        <v>78</v>
      </c>
      <c r="M3" s="46"/>
      <c r="N3" s="47"/>
      <c r="O3" s="48"/>
    </row>
    <row r="4" spans="1:15" ht="67.5" x14ac:dyDescent="0.2">
      <c r="A4" s="34">
        <v>3</v>
      </c>
      <c r="B4" s="35" t="s">
        <v>71</v>
      </c>
      <c r="C4" s="36" t="s">
        <v>79</v>
      </c>
      <c r="D4" s="36" t="s">
        <v>73</v>
      </c>
      <c r="E4" s="44" t="s">
        <v>80</v>
      </c>
      <c r="F4" s="44" t="s">
        <v>81</v>
      </c>
      <c r="G4" s="36" t="s">
        <v>82</v>
      </c>
      <c r="H4" s="37" t="s">
        <v>68</v>
      </c>
      <c r="I4" s="38" t="s">
        <v>207</v>
      </c>
      <c r="J4" s="38">
        <v>1</v>
      </c>
      <c r="K4" s="38">
        <f>IF(I4="NA","NA",IF(I4="Yes",10,-5))</f>
        <v>-5</v>
      </c>
      <c r="L4" s="45" t="s">
        <v>206</v>
      </c>
      <c r="M4" s="46"/>
      <c r="N4" s="47"/>
      <c r="O4" s="48"/>
    </row>
    <row r="5" spans="1:15" ht="81" x14ac:dyDescent="0.2">
      <c r="A5" s="34">
        <v>4</v>
      </c>
      <c r="B5" s="35" t="s">
        <v>71</v>
      </c>
      <c r="C5" s="36" t="s">
        <v>84</v>
      </c>
      <c r="D5" s="36" t="s">
        <v>64</v>
      </c>
      <c r="E5" s="44" t="s">
        <v>85</v>
      </c>
      <c r="F5" s="44" t="s">
        <v>86</v>
      </c>
      <c r="G5" s="50" t="s">
        <v>87</v>
      </c>
      <c r="H5" s="37" t="s">
        <v>68</v>
      </c>
      <c r="I5" s="38" t="s">
        <v>207</v>
      </c>
      <c r="J5" s="38">
        <v>1</v>
      </c>
      <c r="K5" s="38">
        <f>IF(I5="NA","NA",IF(I5="Yes",10,-5))</f>
        <v>-5</v>
      </c>
      <c r="L5" s="45" t="s">
        <v>208</v>
      </c>
      <c r="M5" s="51"/>
      <c r="N5" s="52"/>
      <c r="O5" s="48"/>
    </row>
    <row r="6" spans="1:15" ht="175.5" x14ac:dyDescent="0.2">
      <c r="A6" s="34">
        <v>5</v>
      </c>
      <c r="B6" s="35" t="s">
        <v>71</v>
      </c>
      <c r="C6" s="53" t="s">
        <v>88</v>
      </c>
      <c r="D6" s="36" t="s">
        <v>73</v>
      </c>
      <c r="E6" s="36" t="s">
        <v>89</v>
      </c>
      <c r="F6" s="36" t="s">
        <v>90</v>
      </c>
      <c r="G6" s="50" t="s">
        <v>91</v>
      </c>
      <c r="H6" s="37" t="s">
        <v>92</v>
      </c>
      <c r="I6" s="38" t="s">
        <v>77</v>
      </c>
      <c r="J6" s="38" t="s">
        <v>69</v>
      </c>
      <c r="K6" s="38">
        <f t="shared" ref="K6:K7" si="0">IF(I6="NA","NA",IF(I6="Yes",10,0))</f>
        <v>10</v>
      </c>
      <c r="L6" s="45" t="s">
        <v>93</v>
      </c>
      <c r="M6" s="46"/>
      <c r="N6" s="47"/>
      <c r="O6" s="48"/>
    </row>
    <row r="7" spans="1:15" ht="40.5" x14ac:dyDescent="0.2">
      <c r="A7" s="34">
        <v>6</v>
      </c>
      <c r="B7" s="35" t="s">
        <v>71</v>
      </c>
      <c r="C7" s="36" t="s">
        <v>94</v>
      </c>
      <c r="D7" s="36" t="s">
        <v>64</v>
      </c>
      <c r="E7" s="50" t="s">
        <v>95</v>
      </c>
      <c r="F7" s="50" t="s">
        <v>96</v>
      </c>
      <c r="G7" s="36" t="s">
        <v>97</v>
      </c>
      <c r="H7" s="37" t="s">
        <v>98</v>
      </c>
      <c r="I7" s="38" t="s">
        <v>77</v>
      </c>
      <c r="J7" s="38" t="s">
        <v>69</v>
      </c>
      <c r="K7" s="38">
        <f t="shared" si="0"/>
        <v>10</v>
      </c>
      <c r="L7" s="45" t="s">
        <v>99</v>
      </c>
      <c r="M7" s="46"/>
      <c r="N7" s="47"/>
      <c r="O7" s="48"/>
    </row>
    <row r="8" spans="1:15" ht="27" x14ac:dyDescent="0.2">
      <c r="A8" s="34">
        <v>7</v>
      </c>
      <c r="B8" s="35" t="s">
        <v>71</v>
      </c>
      <c r="C8" s="36" t="s">
        <v>100</v>
      </c>
      <c r="D8" s="36" t="s">
        <v>101</v>
      </c>
      <c r="E8" s="50" t="s">
        <v>102</v>
      </c>
      <c r="F8" s="50" t="s">
        <v>102</v>
      </c>
      <c r="G8" s="54"/>
      <c r="H8" s="37" t="s">
        <v>68</v>
      </c>
      <c r="I8" s="38" t="s">
        <v>207</v>
      </c>
      <c r="J8" s="38">
        <v>1</v>
      </c>
      <c r="K8" s="38">
        <f>IF(I8="NA","NA",IF(I8="Yes",10,-5))</f>
        <v>-5</v>
      </c>
      <c r="L8" s="45" t="s">
        <v>209</v>
      </c>
      <c r="M8" s="55"/>
      <c r="N8" s="56"/>
      <c r="O8" s="48"/>
    </row>
    <row r="9" spans="1:15" ht="40.5" x14ac:dyDescent="0.2">
      <c r="A9" s="34">
        <v>8</v>
      </c>
      <c r="B9" s="35" t="s">
        <v>71</v>
      </c>
      <c r="C9" s="36" t="s">
        <v>103</v>
      </c>
      <c r="D9" s="36" t="s">
        <v>64</v>
      </c>
      <c r="E9" s="50" t="s">
        <v>104</v>
      </c>
      <c r="F9" s="50" t="s">
        <v>104</v>
      </c>
      <c r="G9" s="54" t="s">
        <v>105</v>
      </c>
      <c r="H9" s="37" t="s">
        <v>106</v>
      </c>
      <c r="I9" s="38" t="s">
        <v>77</v>
      </c>
      <c r="J9" s="38" t="s">
        <v>69</v>
      </c>
      <c r="K9" s="38">
        <f>IF(I9="NA","NA",IF(I9="Yes",10,-20))</f>
        <v>10</v>
      </c>
      <c r="L9" s="45" t="s">
        <v>107</v>
      </c>
      <c r="M9" s="46"/>
      <c r="N9" s="47"/>
      <c r="O9" s="48"/>
    </row>
    <row r="10" spans="1:15" ht="94.5" x14ac:dyDescent="0.2">
      <c r="A10" s="34">
        <v>9</v>
      </c>
      <c r="B10" s="35" t="s">
        <v>71</v>
      </c>
      <c r="C10" s="36" t="s">
        <v>108</v>
      </c>
      <c r="D10" s="36" t="s">
        <v>64</v>
      </c>
      <c r="E10" s="50" t="s">
        <v>109</v>
      </c>
      <c r="F10" s="50" t="s">
        <v>109</v>
      </c>
      <c r="G10" s="57"/>
      <c r="H10" s="37" t="s">
        <v>68</v>
      </c>
      <c r="I10" s="38" t="s">
        <v>77</v>
      </c>
      <c r="J10" s="38" t="s">
        <v>69</v>
      </c>
      <c r="K10" s="38">
        <f>IF(I10="NA","NA",IF(I10="Yes",10,-5))</f>
        <v>10</v>
      </c>
      <c r="L10" s="45" t="s">
        <v>83</v>
      </c>
      <c r="M10" s="46"/>
      <c r="N10" s="47"/>
      <c r="O10" s="48"/>
    </row>
    <row r="11" spans="1:15" ht="135" x14ac:dyDescent="0.2">
      <c r="A11" s="34">
        <v>10</v>
      </c>
      <c r="B11" s="35" t="s">
        <v>71</v>
      </c>
      <c r="C11" s="36" t="s">
        <v>110</v>
      </c>
      <c r="D11" s="36" t="s">
        <v>64</v>
      </c>
      <c r="E11" s="50" t="s">
        <v>111</v>
      </c>
      <c r="F11" s="50" t="s">
        <v>112</v>
      </c>
      <c r="G11" s="58"/>
      <c r="H11" s="37" t="s">
        <v>68</v>
      </c>
      <c r="I11" s="38" t="s">
        <v>77</v>
      </c>
      <c r="J11" s="38" t="s">
        <v>69</v>
      </c>
      <c r="K11" s="38">
        <f>IF(I11="NA","NA",IF(I11="Yes",10,-5))</f>
        <v>10</v>
      </c>
      <c r="L11" s="45" t="s">
        <v>83</v>
      </c>
      <c r="M11" s="55"/>
      <c r="N11" s="56"/>
      <c r="O11" s="48"/>
    </row>
    <row r="12" spans="1:15" ht="135" x14ac:dyDescent="0.2">
      <c r="A12" s="34">
        <v>11</v>
      </c>
      <c r="B12" s="35" t="s">
        <v>71</v>
      </c>
      <c r="C12" s="36" t="s">
        <v>110</v>
      </c>
      <c r="D12" s="36" t="s">
        <v>64</v>
      </c>
      <c r="E12" s="50" t="s">
        <v>111</v>
      </c>
      <c r="F12" s="50" t="s">
        <v>113</v>
      </c>
      <c r="G12" s="58"/>
      <c r="H12" s="37" t="s">
        <v>68</v>
      </c>
      <c r="I12" s="38" t="s">
        <v>77</v>
      </c>
      <c r="J12" s="38" t="s">
        <v>69</v>
      </c>
      <c r="K12" s="38">
        <f>IF(I12="NA","NA",IF(I12="Yes",10,-5))</f>
        <v>10</v>
      </c>
      <c r="L12" s="45" t="s">
        <v>83</v>
      </c>
      <c r="M12" s="55"/>
      <c r="N12" s="56"/>
      <c r="O12" s="48"/>
    </row>
    <row r="13" spans="1:15" ht="135" x14ac:dyDescent="0.2">
      <c r="A13" s="34">
        <v>12</v>
      </c>
      <c r="B13" s="35" t="s">
        <v>71</v>
      </c>
      <c r="C13" s="36" t="s">
        <v>110</v>
      </c>
      <c r="D13" s="36" t="s">
        <v>64</v>
      </c>
      <c r="E13" s="50" t="s">
        <v>111</v>
      </c>
      <c r="F13" s="50" t="s">
        <v>114</v>
      </c>
      <c r="G13" s="58"/>
      <c r="H13" s="37" t="s">
        <v>68</v>
      </c>
      <c r="I13" s="38" t="s">
        <v>77</v>
      </c>
      <c r="J13" s="38" t="s">
        <v>69</v>
      </c>
      <c r="K13" s="38">
        <f>IF(I13="NA","NA",IF(I13="Yes",10,-5))</f>
        <v>10</v>
      </c>
      <c r="L13" s="45" t="s">
        <v>83</v>
      </c>
      <c r="M13" s="55"/>
      <c r="N13" s="56"/>
      <c r="O13" s="48"/>
    </row>
    <row r="14" spans="1:15" ht="14.25" x14ac:dyDescent="0.2">
      <c r="A14" s="59" t="s">
        <v>34</v>
      </c>
      <c r="B14" s="60"/>
      <c r="C14" s="60"/>
      <c r="D14" s="60"/>
      <c r="E14" s="61" t="s">
        <v>115</v>
      </c>
      <c r="F14" s="61"/>
      <c r="G14" s="62"/>
      <c r="H14" s="63"/>
      <c r="I14" s="64"/>
      <c r="J14" s="64"/>
      <c r="K14" s="65">
        <f>(SUM(K2:K13)/(COUNT(K2:K13)*10)*40)</f>
        <v>23.636363636363637</v>
      </c>
      <c r="L14" s="66"/>
      <c r="M14" s="67"/>
      <c r="N14" s="68"/>
      <c r="O14" s="69"/>
    </row>
    <row r="15" spans="1:15" ht="54" x14ac:dyDescent="0.2">
      <c r="A15" s="34">
        <v>13</v>
      </c>
      <c r="B15" s="35" t="s">
        <v>116</v>
      </c>
      <c r="C15" s="36" t="s">
        <v>117</v>
      </c>
      <c r="D15" s="36" t="s">
        <v>73</v>
      </c>
      <c r="E15" s="50" t="s">
        <v>118</v>
      </c>
      <c r="F15" s="50" t="s">
        <v>118</v>
      </c>
      <c r="G15" s="70"/>
      <c r="H15" s="37" t="s">
        <v>119</v>
      </c>
      <c r="I15" s="38" t="s">
        <v>77</v>
      </c>
      <c r="J15" s="38" t="s">
        <v>69</v>
      </c>
      <c r="K15" s="38">
        <f>IF(I15="NA","NA",IF(I15="Yes",10,-5))</f>
        <v>10</v>
      </c>
      <c r="L15" s="45" t="s">
        <v>120</v>
      </c>
      <c r="M15" s="51"/>
      <c r="N15" s="52"/>
      <c r="O15" s="48"/>
    </row>
    <row r="16" spans="1:15" ht="54" x14ac:dyDescent="0.2">
      <c r="A16" s="34">
        <v>14</v>
      </c>
      <c r="B16" s="35" t="s">
        <v>116</v>
      </c>
      <c r="C16" s="36" t="s">
        <v>117</v>
      </c>
      <c r="D16" s="36" t="s">
        <v>64</v>
      </c>
      <c r="E16" s="50" t="s">
        <v>121</v>
      </c>
      <c r="F16" s="50" t="s">
        <v>121</v>
      </c>
      <c r="G16" s="58"/>
      <c r="H16" s="71" t="s">
        <v>122</v>
      </c>
      <c r="I16" s="38" t="s">
        <v>77</v>
      </c>
      <c r="J16" s="38" t="s">
        <v>69</v>
      </c>
      <c r="K16" s="38">
        <f>IF(I16="NA","NA",IF(I16="Yes",10,IF(J16=1,-5,-10)))</f>
        <v>10</v>
      </c>
      <c r="L16" s="45" t="s">
        <v>120</v>
      </c>
      <c r="M16" s="55"/>
      <c r="N16" s="56"/>
      <c r="O16" s="48"/>
    </row>
    <row r="17" spans="1:15" s="76" customFormat="1" ht="202.5" x14ac:dyDescent="0.2">
      <c r="A17" s="34">
        <v>15</v>
      </c>
      <c r="B17" s="35" t="s">
        <v>116</v>
      </c>
      <c r="C17" s="36" t="s">
        <v>123</v>
      </c>
      <c r="D17" s="36" t="s">
        <v>64</v>
      </c>
      <c r="E17" s="72" t="s">
        <v>124</v>
      </c>
      <c r="F17" s="72" t="s">
        <v>125</v>
      </c>
      <c r="G17" s="73" t="s">
        <v>126</v>
      </c>
      <c r="H17" s="36" t="s">
        <v>127</v>
      </c>
      <c r="I17" s="38" t="s">
        <v>77</v>
      </c>
      <c r="J17" s="38" t="s">
        <v>69</v>
      </c>
      <c r="K17" s="38">
        <f t="shared" ref="K17:K25" si="1">IF(I17="NA","NA",IF(I17="Yes",10,IF(J17=1,8,IF(J17=2,6,IF(J17=3,4,IF(J17=4,2,0))))))</f>
        <v>10</v>
      </c>
      <c r="L17" s="45" t="s">
        <v>83</v>
      </c>
      <c r="M17" s="74"/>
      <c r="N17" s="75"/>
      <c r="O17" s="42"/>
    </row>
    <row r="18" spans="1:15" s="76" customFormat="1" ht="202.5" x14ac:dyDescent="0.2">
      <c r="A18" s="34">
        <v>16</v>
      </c>
      <c r="B18" s="35" t="s">
        <v>116</v>
      </c>
      <c r="C18" s="36" t="s">
        <v>123</v>
      </c>
      <c r="D18" s="36" t="s">
        <v>64</v>
      </c>
      <c r="E18" s="72" t="s">
        <v>124</v>
      </c>
      <c r="F18" s="72" t="s">
        <v>128</v>
      </c>
      <c r="G18" s="73" t="s">
        <v>126</v>
      </c>
      <c r="H18" s="36" t="s">
        <v>127</v>
      </c>
      <c r="I18" s="38" t="s">
        <v>77</v>
      </c>
      <c r="J18" s="38" t="s">
        <v>69</v>
      </c>
      <c r="K18" s="38">
        <f t="shared" si="1"/>
        <v>10</v>
      </c>
      <c r="L18" s="77" t="s">
        <v>83</v>
      </c>
      <c r="M18" s="74"/>
      <c r="N18" s="75"/>
      <c r="O18" s="42"/>
    </row>
    <row r="19" spans="1:15" s="76" customFormat="1" ht="202.5" x14ac:dyDescent="0.2">
      <c r="A19" s="34">
        <v>17</v>
      </c>
      <c r="B19" s="35" t="s">
        <v>116</v>
      </c>
      <c r="C19" s="36" t="s">
        <v>123</v>
      </c>
      <c r="D19" s="36" t="s">
        <v>64</v>
      </c>
      <c r="E19" s="72" t="s">
        <v>124</v>
      </c>
      <c r="F19" s="72" t="s">
        <v>129</v>
      </c>
      <c r="G19" s="73" t="s">
        <v>126</v>
      </c>
      <c r="H19" s="36" t="s">
        <v>127</v>
      </c>
      <c r="I19" s="38" t="s">
        <v>77</v>
      </c>
      <c r="J19" s="38" t="s">
        <v>69</v>
      </c>
      <c r="K19" s="38">
        <f t="shared" si="1"/>
        <v>10</v>
      </c>
      <c r="L19" s="77" t="s">
        <v>83</v>
      </c>
      <c r="M19" s="74"/>
      <c r="N19" s="75"/>
      <c r="O19" s="42"/>
    </row>
    <row r="20" spans="1:15" s="76" customFormat="1" ht="202.5" x14ac:dyDescent="0.2">
      <c r="A20" s="34">
        <v>18</v>
      </c>
      <c r="B20" s="35" t="s">
        <v>116</v>
      </c>
      <c r="C20" s="36" t="s">
        <v>123</v>
      </c>
      <c r="D20" s="36" t="s">
        <v>64</v>
      </c>
      <c r="E20" s="72" t="s">
        <v>124</v>
      </c>
      <c r="F20" s="72" t="s">
        <v>130</v>
      </c>
      <c r="G20" s="73" t="s">
        <v>126</v>
      </c>
      <c r="H20" s="36" t="s">
        <v>127</v>
      </c>
      <c r="I20" s="38" t="s">
        <v>77</v>
      </c>
      <c r="J20" s="38" t="s">
        <v>69</v>
      </c>
      <c r="K20" s="38">
        <f t="shared" si="1"/>
        <v>10</v>
      </c>
      <c r="L20" s="77" t="s">
        <v>83</v>
      </c>
      <c r="M20" s="74"/>
      <c r="N20" s="75"/>
      <c r="O20" s="42"/>
    </row>
    <row r="21" spans="1:15" s="76" customFormat="1" ht="202.5" x14ac:dyDescent="0.2">
      <c r="A21" s="34">
        <v>19</v>
      </c>
      <c r="B21" s="35" t="s">
        <v>116</v>
      </c>
      <c r="C21" s="36" t="s">
        <v>123</v>
      </c>
      <c r="D21" s="36" t="s">
        <v>64</v>
      </c>
      <c r="E21" s="72" t="s">
        <v>124</v>
      </c>
      <c r="F21" s="72" t="s">
        <v>131</v>
      </c>
      <c r="G21" s="73" t="s">
        <v>126</v>
      </c>
      <c r="H21" s="36" t="s">
        <v>127</v>
      </c>
      <c r="I21" s="38" t="s">
        <v>77</v>
      </c>
      <c r="J21" s="38" t="s">
        <v>69</v>
      </c>
      <c r="K21" s="38">
        <f t="shared" si="1"/>
        <v>10</v>
      </c>
      <c r="L21" s="45" t="s">
        <v>83</v>
      </c>
      <c r="M21" s="74"/>
      <c r="N21" s="75"/>
      <c r="O21" s="42"/>
    </row>
    <row r="22" spans="1:15" s="76" customFormat="1" ht="202.5" x14ac:dyDescent="0.2">
      <c r="A22" s="34">
        <v>20</v>
      </c>
      <c r="B22" s="35" t="s">
        <v>116</v>
      </c>
      <c r="C22" s="36" t="s">
        <v>123</v>
      </c>
      <c r="D22" s="36" t="s">
        <v>64</v>
      </c>
      <c r="E22" s="72" t="s">
        <v>124</v>
      </c>
      <c r="F22" s="72" t="s">
        <v>132</v>
      </c>
      <c r="G22" s="73" t="s">
        <v>126</v>
      </c>
      <c r="H22" s="36" t="s">
        <v>127</v>
      </c>
      <c r="I22" s="38" t="s">
        <v>77</v>
      </c>
      <c r="J22" s="38" t="s">
        <v>69</v>
      </c>
      <c r="K22" s="38">
        <f t="shared" si="1"/>
        <v>10</v>
      </c>
      <c r="L22" s="77" t="s">
        <v>83</v>
      </c>
      <c r="M22" s="74"/>
      <c r="N22" s="75"/>
      <c r="O22" s="42"/>
    </row>
    <row r="23" spans="1:15" s="76" customFormat="1" ht="202.5" x14ac:dyDescent="0.2">
      <c r="A23" s="34">
        <v>21</v>
      </c>
      <c r="B23" s="35" t="s">
        <v>116</v>
      </c>
      <c r="C23" s="36" t="s">
        <v>123</v>
      </c>
      <c r="D23" s="36" t="s">
        <v>64</v>
      </c>
      <c r="E23" s="72" t="s">
        <v>124</v>
      </c>
      <c r="F23" s="72" t="s">
        <v>133</v>
      </c>
      <c r="G23" s="73" t="s">
        <v>126</v>
      </c>
      <c r="H23" s="36" t="s">
        <v>127</v>
      </c>
      <c r="I23" s="38" t="s">
        <v>77</v>
      </c>
      <c r="J23" s="38" t="s">
        <v>69</v>
      </c>
      <c r="K23" s="38">
        <f t="shared" si="1"/>
        <v>10</v>
      </c>
      <c r="L23" s="77" t="s">
        <v>83</v>
      </c>
      <c r="M23" s="74"/>
      <c r="N23" s="75"/>
      <c r="O23" s="42"/>
    </row>
    <row r="24" spans="1:15" s="76" customFormat="1" ht="202.5" x14ac:dyDescent="0.2">
      <c r="A24" s="34">
        <v>22</v>
      </c>
      <c r="B24" s="35" t="s">
        <v>116</v>
      </c>
      <c r="C24" s="36" t="s">
        <v>123</v>
      </c>
      <c r="D24" s="36" t="s">
        <v>64</v>
      </c>
      <c r="E24" s="72" t="s">
        <v>124</v>
      </c>
      <c r="F24" s="72" t="s">
        <v>134</v>
      </c>
      <c r="G24" s="73" t="s">
        <v>126</v>
      </c>
      <c r="H24" s="36" t="s">
        <v>127</v>
      </c>
      <c r="I24" s="38" t="s">
        <v>77</v>
      </c>
      <c r="J24" s="38" t="s">
        <v>69</v>
      </c>
      <c r="K24" s="38">
        <f t="shared" si="1"/>
        <v>10</v>
      </c>
      <c r="L24" s="77" t="s">
        <v>83</v>
      </c>
      <c r="M24" s="74"/>
      <c r="N24" s="75"/>
      <c r="O24" s="42"/>
    </row>
    <row r="25" spans="1:15" s="76" customFormat="1" ht="40.5" x14ac:dyDescent="0.2">
      <c r="A25" s="34">
        <v>23</v>
      </c>
      <c r="B25" s="35" t="s">
        <v>116</v>
      </c>
      <c r="C25" s="36" t="s">
        <v>123</v>
      </c>
      <c r="D25" s="36" t="s">
        <v>73</v>
      </c>
      <c r="E25" s="72" t="s">
        <v>135</v>
      </c>
      <c r="F25" s="72" t="s">
        <v>135</v>
      </c>
      <c r="G25" s="73"/>
      <c r="H25" s="36" t="s">
        <v>127</v>
      </c>
      <c r="I25" s="78" t="s">
        <v>77</v>
      </c>
      <c r="J25" s="79" t="s">
        <v>69</v>
      </c>
      <c r="K25" s="80">
        <f t="shared" si="1"/>
        <v>10</v>
      </c>
      <c r="L25" s="77" t="s">
        <v>136</v>
      </c>
      <c r="M25" s="81"/>
      <c r="N25" s="82"/>
      <c r="O25" s="42"/>
    </row>
    <row r="26" spans="1:15" ht="67.5" x14ac:dyDescent="0.2">
      <c r="A26" s="34">
        <v>24</v>
      </c>
      <c r="B26" s="35" t="s">
        <v>116</v>
      </c>
      <c r="C26" s="36" t="s">
        <v>137</v>
      </c>
      <c r="D26" s="36" t="s">
        <v>64</v>
      </c>
      <c r="E26" s="72" t="s">
        <v>138</v>
      </c>
      <c r="F26" s="72" t="s">
        <v>138</v>
      </c>
      <c r="G26" s="54"/>
      <c r="H26" s="37" t="s">
        <v>139</v>
      </c>
      <c r="I26" s="38" t="s">
        <v>207</v>
      </c>
      <c r="J26" s="79">
        <v>1</v>
      </c>
      <c r="K26" s="38">
        <f>IF(I26="NA","NA",IF(I26="Yes",10,IF(J26=1,5,0)))</f>
        <v>5</v>
      </c>
      <c r="L26" s="39" t="s">
        <v>210</v>
      </c>
      <c r="M26" s="83"/>
      <c r="N26" s="84"/>
      <c r="O26" s="48"/>
    </row>
    <row r="27" spans="1:15" ht="54" x14ac:dyDescent="0.2">
      <c r="A27" s="34">
        <v>25</v>
      </c>
      <c r="B27" s="35" t="s">
        <v>116</v>
      </c>
      <c r="C27" s="36" t="s">
        <v>141</v>
      </c>
      <c r="D27" s="36" t="s">
        <v>64</v>
      </c>
      <c r="E27" s="50" t="s">
        <v>142</v>
      </c>
      <c r="F27" s="50" t="s">
        <v>142</v>
      </c>
      <c r="G27" s="54"/>
      <c r="H27" s="37" t="s">
        <v>98</v>
      </c>
      <c r="I27" s="38" t="s">
        <v>69</v>
      </c>
      <c r="J27" s="38" t="s">
        <v>69</v>
      </c>
      <c r="K27" s="38" t="str">
        <f>IF(I27="NA","NA",IF(I27="Yes",10,0))</f>
        <v>NA</v>
      </c>
      <c r="L27" s="39" t="s">
        <v>70</v>
      </c>
      <c r="M27" s="83"/>
      <c r="N27" s="84"/>
      <c r="O27" s="48"/>
    </row>
    <row r="28" spans="1:15" ht="40.5" x14ac:dyDescent="0.2">
      <c r="A28" s="34">
        <v>26</v>
      </c>
      <c r="B28" s="35" t="s">
        <v>116</v>
      </c>
      <c r="C28" s="36" t="s">
        <v>141</v>
      </c>
      <c r="D28" s="36" t="s">
        <v>64</v>
      </c>
      <c r="E28" s="50" t="s">
        <v>143</v>
      </c>
      <c r="F28" s="50" t="s">
        <v>143</v>
      </c>
      <c r="G28" s="54"/>
      <c r="H28" s="37" t="s">
        <v>98</v>
      </c>
      <c r="I28" s="38" t="s">
        <v>69</v>
      </c>
      <c r="J28" s="38" t="s">
        <v>69</v>
      </c>
      <c r="K28" s="38" t="str">
        <f>IF(I28="NA","NA",IF(I28="Yes",10,0))</f>
        <v>NA</v>
      </c>
      <c r="L28" s="39" t="s">
        <v>70</v>
      </c>
      <c r="M28" s="83"/>
      <c r="N28" s="84"/>
      <c r="O28" s="48"/>
    </row>
    <row r="29" spans="1:15" ht="40.5" x14ac:dyDescent="0.2">
      <c r="A29" s="34">
        <v>27</v>
      </c>
      <c r="B29" s="35" t="s">
        <v>116</v>
      </c>
      <c r="C29" s="36" t="s">
        <v>141</v>
      </c>
      <c r="D29" s="36" t="s">
        <v>64</v>
      </c>
      <c r="E29" s="50" t="s">
        <v>144</v>
      </c>
      <c r="F29" s="50" t="s">
        <v>144</v>
      </c>
      <c r="G29" s="54"/>
      <c r="H29" s="37" t="s">
        <v>98</v>
      </c>
      <c r="I29" s="38" t="s">
        <v>69</v>
      </c>
      <c r="J29" s="38" t="s">
        <v>69</v>
      </c>
      <c r="K29" s="38" t="str">
        <f>IF(I29="NA","NA",IF(I29="Yes",10,0))</f>
        <v>NA</v>
      </c>
      <c r="L29" s="39" t="s">
        <v>70</v>
      </c>
      <c r="M29" s="83"/>
      <c r="N29" s="84"/>
      <c r="O29" s="48"/>
    </row>
    <row r="30" spans="1:15" ht="14.25" x14ac:dyDescent="0.2">
      <c r="A30" s="59" t="s">
        <v>40</v>
      </c>
      <c r="B30" s="60"/>
      <c r="C30" s="60"/>
      <c r="D30" s="60"/>
      <c r="E30" s="61" t="s">
        <v>115</v>
      </c>
      <c r="F30" s="61"/>
      <c r="G30" s="62"/>
      <c r="H30" s="63"/>
      <c r="I30" s="64"/>
      <c r="J30" s="64"/>
      <c r="K30" s="65">
        <f>(SUM(K15:K29)/(COUNT(K15:K29)*10)*50)</f>
        <v>47.916666666666671</v>
      </c>
      <c r="L30" s="66"/>
      <c r="M30" s="67"/>
      <c r="N30" s="68"/>
      <c r="O30" s="69"/>
    </row>
    <row r="31" spans="1:15" ht="94.5" x14ac:dyDescent="0.2">
      <c r="A31" s="34">
        <v>28</v>
      </c>
      <c r="B31" s="35" t="s">
        <v>25</v>
      </c>
      <c r="C31" s="36" t="s">
        <v>145</v>
      </c>
      <c r="D31" s="36" t="s">
        <v>73</v>
      </c>
      <c r="E31" s="72" t="s">
        <v>146</v>
      </c>
      <c r="F31" s="72" t="s">
        <v>147</v>
      </c>
      <c r="G31" s="85" t="s">
        <v>148</v>
      </c>
      <c r="H31" s="37" t="s">
        <v>139</v>
      </c>
      <c r="I31" s="38" t="s">
        <v>77</v>
      </c>
      <c r="J31" s="79" t="s">
        <v>69</v>
      </c>
      <c r="K31" s="38">
        <f>IF(I31="NA","NA",IF(I31="Yes",10,IF(J31=1,5,0)))</f>
        <v>10</v>
      </c>
      <c r="L31" s="39" t="s">
        <v>140</v>
      </c>
      <c r="M31" s="81"/>
      <c r="N31" s="82"/>
      <c r="O31" s="48"/>
    </row>
    <row r="32" spans="1:15" ht="94.5" x14ac:dyDescent="0.2">
      <c r="A32" s="34">
        <v>29</v>
      </c>
      <c r="B32" s="35" t="s">
        <v>25</v>
      </c>
      <c r="C32" s="36" t="s">
        <v>145</v>
      </c>
      <c r="D32" s="36" t="s">
        <v>73</v>
      </c>
      <c r="E32" s="72" t="s">
        <v>146</v>
      </c>
      <c r="F32" s="72" t="s">
        <v>149</v>
      </c>
      <c r="G32" s="85" t="s">
        <v>148</v>
      </c>
      <c r="H32" s="37" t="s">
        <v>139</v>
      </c>
      <c r="I32" s="38" t="s">
        <v>77</v>
      </c>
      <c r="J32" s="79" t="s">
        <v>69</v>
      </c>
      <c r="K32" s="38">
        <f>IF(I32="NA","NA",IF(I32="Yes",10,IF(J32=1,5,0)))</f>
        <v>10</v>
      </c>
      <c r="L32" s="39" t="s">
        <v>140</v>
      </c>
      <c r="M32" s="81"/>
      <c r="N32" s="82"/>
      <c r="O32" s="48"/>
    </row>
    <row r="33" spans="1:15" ht="81" x14ac:dyDescent="0.2">
      <c r="A33" s="34">
        <v>30</v>
      </c>
      <c r="B33" s="35" t="s">
        <v>25</v>
      </c>
      <c r="C33" s="36" t="s">
        <v>150</v>
      </c>
      <c r="D33" s="36" t="s">
        <v>101</v>
      </c>
      <c r="E33" s="86" t="s">
        <v>151</v>
      </c>
      <c r="F33" s="86" t="s">
        <v>151</v>
      </c>
      <c r="G33" s="54"/>
      <c r="H33" s="37" t="s">
        <v>92</v>
      </c>
      <c r="I33" s="38" t="s">
        <v>77</v>
      </c>
      <c r="J33" s="38" t="s">
        <v>69</v>
      </c>
      <c r="K33" s="38">
        <f t="shared" ref="K33:K38" si="2">IF(I33="NA","NA",IF(I33="Yes",10,0))</f>
        <v>10</v>
      </c>
      <c r="L33" s="39" t="s">
        <v>120</v>
      </c>
      <c r="M33" s="83"/>
      <c r="N33" s="84"/>
      <c r="O33" s="48"/>
    </row>
    <row r="34" spans="1:15" ht="81" x14ac:dyDescent="0.2">
      <c r="A34" s="34">
        <v>31</v>
      </c>
      <c r="B34" s="35" t="s">
        <v>25</v>
      </c>
      <c r="C34" s="53" t="s">
        <v>152</v>
      </c>
      <c r="D34" s="53" t="s">
        <v>73</v>
      </c>
      <c r="E34" s="87" t="s">
        <v>153</v>
      </c>
      <c r="F34" s="87" t="s">
        <v>153</v>
      </c>
      <c r="G34" s="88" t="s">
        <v>154</v>
      </c>
      <c r="H34" s="89" t="s">
        <v>98</v>
      </c>
      <c r="I34" s="90" t="s">
        <v>69</v>
      </c>
      <c r="J34" s="91" t="s">
        <v>69</v>
      </c>
      <c r="K34" s="90" t="str">
        <f>IF(I34="NA","NA",IF(I34="yes",10,0))</f>
        <v>NA</v>
      </c>
      <c r="L34" s="53" t="s">
        <v>70</v>
      </c>
      <c r="M34" s="92"/>
      <c r="N34" s="93"/>
      <c r="O34" s="48"/>
    </row>
    <row r="35" spans="1:15" ht="54" x14ac:dyDescent="0.2">
      <c r="A35" s="34">
        <v>32</v>
      </c>
      <c r="B35" s="35" t="s">
        <v>25</v>
      </c>
      <c r="C35" s="87" t="s">
        <v>155</v>
      </c>
      <c r="D35" s="87" t="s">
        <v>73</v>
      </c>
      <c r="E35" s="53" t="s">
        <v>156</v>
      </c>
      <c r="F35" s="53" t="s">
        <v>156</v>
      </c>
      <c r="G35" s="87" t="s">
        <v>157</v>
      </c>
      <c r="H35" s="89" t="s">
        <v>98</v>
      </c>
      <c r="I35" s="90" t="s">
        <v>69</v>
      </c>
      <c r="J35" s="91" t="s">
        <v>69</v>
      </c>
      <c r="K35" s="90" t="str">
        <f t="shared" ref="K35" si="3">IF(I35="NA","NA",IF(I35="Yes",10,0))</f>
        <v>NA</v>
      </c>
      <c r="L35" s="53" t="s">
        <v>70</v>
      </c>
      <c r="M35" s="92"/>
      <c r="N35" s="93"/>
      <c r="O35" s="48"/>
    </row>
    <row r="36" spans="1:15" ht="40.5" x14ac:dyDescent="0.2">
      <c r="A36" s="34">
        <v>33</v>
      </c>
      <c r="B36" s="35" t="s">
        <v>25</v>
      </c>
      <c r="C36" s="94" t="s">
        <v>158</v>
      </c>
      <c r="D36" s="94" t="s">
        <v>73</v>
      </c>
      <c r="E36" s="95" t="s">
        <v>159</v>
      </c>
      <c r="F36" s="94" t="s">
        <v>159</v>
      </c>
      <c r="G36" s="87"/>
      <c r="H36" s="96" t="s">
        <v>160</v>
      </c>
      <c r="I36" s="97" t="s">
        <v>77</v>
      </c>
      <c r="J36" s="91" t="s">
        <v>69</v>
      </c>
      <c r="K36" s="98">
        <f>IF(I36="NA","NA",IF(I36="Critical",-10,IF(I36="Yes",10,IF(J36=1,-2,IF(J36=2,-4,IF(J36=3,-6,IF(J36=4,-8,-10)))))))</f>
        <v>10</v>
      </c>
      <c r="L36" s="54" t="s">
        <v>161</v>
      </c>
      <c r="M36" s="92"/>
      <c r="N36" s="93"/>
      <c r="O36" s="48"/>
    </row>
    <row r="37" spans="1:15" ht="40.5" x14ac:dyDescent="0.2">
      <c r="A37" s="34">
        <v>34</v>
      </c>
      <c r="B37" s="35" t="s">
        <v>25</v>
      </c>
      <c r="C37" s="36" t="s">
        <v>162</v>
      </c>
      <c r="D37" s="36" t="s">
        <v>101</v>
      </c>
      <c r="E37" s="50" t="s">
        <v>163</v>
      </c>
      <c r="F37" s="50" t="s">
        <v>163</v>
      </c>
      <c r="G37" s="54"/>
      <c r="H37" s="37" t="s">
        <v>92</v>
      </c>
      <c r="I37" s="38" t="s">
        <v>77</v>
      </c>
      <c r="J37" s="38" t="s">
        <v>69</v>
      </c>
      <c r="K37" s="38">
        <f t="shared" si="2"/>
        <v>10</v>
      </c>
      <c r="L37" s="53" t="s">
        <v>164</v>
      </c>
      <c r="M37" s="83"/>
      <c r="N37" s="84"/>
      <c r="O37" s="48"/>
    </row>
    <row r="38" spans="1:15" ht="27" x14ac:dyDescent="0.2">
      <c r="A38" s="34">
        <v>35</v>
      </c>
      <c r="B38" s="35" t="s">
        <v>25</v>
      </c>
      <c r="C38" s="36" t="s">
        <v>165</v>
      </c>
      <c r="D38" s="36"/>
      <c r="E38" s="36" t="s">
        <v>166</v>
      </c>
      <c r="F38" s="36" t="s">
        <v>166</v>
      </c>
      <c r="G38" s="54"/>
      <c r="H38" s="54"/>
      <c r="I38" s="99" t="s">
        <v>69</v>
      </c>
      <c r="J38" s="99" t="s">
        <v>69</v>
      </c>
      <c r="K38" s="99" t="str">
        <f t="shared" si="2"/>
        <v>NA</v>
      </c>
      <c r="L38" s="87" t="s">
        <v>167</v>
      </c>
      <c r="M38" s="55"/>
      <c r="N38" s="56"/>
      <c r="O38" s="48"/>
    </row>
    <row r="39" spans="1:15" ht="15" thickBot="1" x14ac:dyDescent="0.25">
      <c r="A39" s="100" t="s">
        <v>46</v>
      </c>
      <c r="B39" s="101"/>
      <c r="C39" s="101"/>
      <c r="D39" s="101"/>
      <c r="E39" s="102" t="s">
        <v>115</v>
      </c>
      <c r="F39" s="102"/>
      <c r="G39" s="103"/>
      <c r="H39" s="103"/>
      <c r="I39" s="104"/>
      <c r="J39" s="105"/>
      <c r="K39" s="105">
        <f>(SUM(K32:K38)/(COUNT(K32:K38)*10)*10)</f>
        <v>10</v>
      </c>
      <c r="L39" s="106"/>
      <c r="M39" s="106"/>
      <c r="N39" s="107"/>
      <c r="O39" s="108"/>
    </row>
  </sheetData>
  <dataValidations count="6">
    <dataValidation type="list" operator="equal" showInputMessage="1" showErrorMessage="1" error="Invalid Entry." prompt="Pls select from drop down menu only." sqref="J25:J26 J31:J32 J34:J36" xr:uid="{A7C65DE3-EF12-45E4-BB30-FFEE235ACE6A}">
      <formula1>"1,2,3,4,&gt;4,NA"</formula1>
      <formula2>0</formula2>
    </dataValidation>
    <dataValidation type="list" operator="equal" showInputMessage="1" showErrorMessage="1" error="Invalid Entry" prompt="Please select from the drop down menu only." sqref="I34:I35" xr:uid="{C77497E2-857C-4EEA-95C0-786CA338E12A}">
      <formula1>"Yes,No,NA"</formula1>
    </dataValidation>
    <dataValidation type="list" allowBlank="1" showInputMessage="1" showErrorMessage="1" sqref="I37 I2:I24 I26:I33" xr:uid="{A5617C93-07EF-4057-B2AB-C3DBBD571EE0}">
      <formula1>"Yes,No,NA"</formula1>
    </dataValidation>
    <dataValidation type="list" allowBlank="1" showInputMessage="1" showErrorMessage="1" sqref="J27:J30 J37 J33 J2:J24" xr:uid="{ABAD2558-00E9-4D60-B1C7-4D8DD85D2A8E}">
      <formula1>"1,2,3,4,&gt;4,NA"</formula1>
    </dataValidation>
    <dataValidation type="list" operator="equal" showInputMessage="1" showErrorMessage="1" errorTitle="Invaild Entry." prompt="Pls select from drop down menu only." sqref="I25" xr:uid="{E4880B3A-C545-4085-990A-CA789C5F552A}">
      <formula1>"Yes,No,NA"</formula1>
      <formula2>0</formula2>
    </dataValidation>
    <dataValidation type="list" operator="equal" showInputMessage="1" showErrorMessage="1" errorTitle="Invaild Entry." prompt="Pls select from drop down menu only." sqref="I36" xr:uid="{701E27B7-7A16-447B-B137-7FCFF5B7DCF5}">
      <formula1>"Yes,No,Critical,NA"</formula1>
      <formula2>0</formula2>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FB3B-DAFA-4049-B955-669F2EC40C2C}">
  <sheetPr codeName="Sheet4"/>
  <dimension ref="A1:S5"/>
  <sheetViews>
    <sheetView workbookViewId="0"/>
  </sheetViews>
  <sheetFormatPr defaultColWidth="8" defaultRowHeight="13.5" x14ac:dyDescent="0.25"/>
  <cols>
    <col min="1" max="1" width="15.625" style="1" bestFit="1" customWidth="1"/>
    <col min="2" max="2" width="21.875" style="1" bestFit="1" customWidth="1"/>
    <col min="3" max="3" width="8.75" style="1" bestFit="1" customWidth="1"/>
    <col min="4" max="4" width="8.625" style="1" bestFit="1" customWidth="1"/>
    <col min="5" max="5" width="11.25" style="1" bestFit="1" customWidth="1"/>
    <col min="6" max="7" width="26.875" style="1" customWidth="1"/>
    <col min="8" max="8" width="10.625" style="1" bestFit="1" customWidth="1"/>
    <col min="9" max="9" width="10.125" style="1" bestFit="1" customWidth="1"/>
    <col min="10" max="10" width="14.875" style="1" bestFit="1" customWidth="1"/>
    <col min="11" max="11" width="18.25" style="1" bestFit="1" customWidth="1"/>
    <col min="12" max="12" width="17.25" style="1" bestFit="1" customWidth="1"/>
    <col min="13" max="13" width="16.5" style="1" bestFit="1" customWidth="1"/>
    <col min="14" max="14" width="18.25" style="1" bestFit="1" customWidth="1"/>
    <col min="15" max="15" width="19.125" style="1" bestFit="1" customWidth="1"/>
    <col min="16" max="16" width="22" style="1" bestFit="1" customWidth="1"/>
    <col min="17" max="17" width="21.375" style="1" bestFit="1" customWidth="1"/>
    <col min="18" max="18" width="18.25" style="1" bestFit="1" customWidth="1"/>
    <col min="19" max="19" width="20.5" style="1" bestFit="1" customWidth="1"/>
    <col min="20" max="16384" width="8" style="1"/>
  </cols>
  <sheetData>
    <row r="1" spans="1:19" ht="15" x14ac:dyDescent="0.25">
      <c r="A1" s="111" t="s">
        <v>168</v>
      </c>
      <c r="B1" s="111" t="s">
        <v>50</v>
      </c>
      <c r="C1" s="111" t="s">
        <v>169</v>
      </c>
      <c r="D1" s="111" t="s">
        <v>170</v>
      </c>
      <c r="E1" s="111" t="s">
        <v>171</v>
      </c>
      <c r="F1" s="111" t="s">
        <v>172</v>
      </c>
      <c r="G1" s="111" t="s">
        <v>173</v>
      </c>
      <c r="H1" s="111" t="s">
        <v>174</v>
      </c>
      <c r="I1" s="111" t="s">
        <v>175</v>
      </c>
      <c r="J1" s="111" t="s">
        <v>58</v>
      </c>
      <c r="K1" s="111" t="s">
        <v>176</v>
      </c>
      <c r="L1" s="111" t="s">
        <v>177</v>
      </c>
      <c r="M1" s="111" t="s">
        <v>178</v>
      </c>
      <c r="N1" s="111" t="s">
        <v>179</v>
      </c>
      <c r="O1" s="111" t="s">
        <v>180</v>
      </c>
      <c r="P1" s="111" t="s">
        <v>181</v>
      </c>
      <c r="Q1" s="111" t="s">
        <v>182</v>
      </c>
      <c r="R1" s="111" t="s">
        <v>183</v>
      </c>
      <c r="S1" s="111" t="s">
        <v>184</v>
      </c>
    </row>
    <row r="2" spans="1:19" x14ac:dyDescent="0.25">
      <c r="A2" s="1" t="s">
        <v>71</v>
      </c>
      <c r="B2" s="1" t="s">
        <v>79</v>
      </c>
      <c r="C2" s="1" t="s">
        <v>211</v>
      </c>
      <c r="D2" s="1" t="s">
        <v>212</v>
      </c>
      <c r="E2" s="1" t="s">
        <v>202</v>
      </c>
      <c r="F2" s="1" t="s">
        <v>201</v>
      </c>
      <c r="G2" s="1" t="s">
        <v>69</v>
      </c>
      <c r="H2" s="1" t="s">
        <v>69</v>
      </c>
      <c r="I2" s="1" t="s">
        <v>69</v>
      </c>
      <c r="J2" s="1" t="s">
        <v>206</v>
      </c>
      <c r="K2" s="1" t="s">
        <v>69</v>
      </c>
      <c r="L2" s="1" t="s">
        <v>69</v>
      </c>
      <c r="M2" s="1" t="s">
        <v>200</v>
      </c>
      <c r="N2" s="1" t="s">
        <v>202</v>
      </c>
      <c r="O2" s="1" t="s">
        <v>69</v>
      </c>
      <c r="P2" s="1" t="s">
        <v>69</v>
      </c>
      <c r="Q2" s="1" t="s">
        <v>69</v>
      </c>
      <c r="R2" s="1" t="s">
        <v>69</v>
      </c>
      <c r="S2" s="1" t="s">
        <v>69</v>
      </c>
    </row>
    <row r="3" spans="1:19" x14ac:dyDescent="0.25">
      <c r="A3" s="1" t="s">
        <v>71</v>
      </c>
      <c r="B3" s="1" t="s">
        <v>84</v>
      </c>
      <c r="C3" s="1" t="s">
        <v>211</v>
      </c>
      <c r="D3" s="1" t="s">
        <v>212</v>
      </c>
      <c r="E3" s="1" t="s">
        <v>202</v>
      </c>
      <c r="F3" s="1" t="s">
        <v>201</v>
      </c>
      <c r="G3" s="1" t="s">
        <v>69</v>
      </c>
      <c r="H3" s="1" t="s">
        <v>69</v>
      </c>
      <c r="I3" s="1" t="s">
        <v>69</v>
      </c>
      <c r="J3" s="1" t="s">
        <v>208</v>
      </c>
      <c r="K3" s="1" t="s">
        <v>69</v>
      </c>
      <c r="L3" s="1" t="s">
        <v>69</v>
      </c>
      <c r="M3" s="1" t="s">
        <v>200</v>
      </c>
      <c r="N3" s="1" t="s">
        <v>202</v>
      </c>
      <c r="O3" s="1" t="s">
        <v>69</v>
      </c>
      <c r="P3" s="1" t="s">
        <v>69</v>
      </c>
      <c r="Q3" s="1" t="s">
        <v>69</v>
      </c>
      <c r="R3" s="1" t="s">
        <v>69</v>
      </c>
      <c r="S3" s="1" t="s">
        <v>69</v>
      </c>
    </row>
    <row r="4" spans="1:19" x14ac:dyDescent="0.25">
      <c r="A4" s="1" t="s">
        <v>71</v>
      </c>
      <c r="B4" s="1" t="s">
        <v>100</v>
      </c>
      <c r="C4" s="1" t="s">
        <v>211</v>
      </c>
      <c r="D4" s="1" t="s">
        <v>212</v>
      </c>
      <c r="E4" s="1" t="s">
        <v>202</v>
      </c>
      <c r="F4" s="1" t="s">
        <v>201</v>
      </c>
      <c r="G4" s="1" t="s">
        <v>69</v>
      </c>
      <c r="H4" s="1" t="s">
        <v>69</v>
      </c>
      <c r="I4" s="1" t="s">
        <v>69</v>
      </c>
      <c r="J4" s="1" t="s">
        <v>209</v>
      </c>
      <c r="K4" s="1" t="s">
        <v>69</v>
      </c>
      <c r="L4" s="1" t="s">
        <v>69</v>
      </c>
      <c r="M4" s="1" t="s">
        <v>200</v>
      </c>
      <c r="N4" s="1" t="s">
        <v>202</v>
      </c>
      <c r="O4" s="1" t="s">
        <v>69</v>
      </c>
      <c r="P4" s="1" t="s">
        <v>69</v>
      </c>
      <c r="Q4" s="1" t="s">
        <v>69</v>
      </c>
      <c r="R4" s="1" t="s">
        <v>69</v>
      </c>
      <c r="S4" s="1" t="s">
        <v>69</v>
      </c>
    </row>
    <row r="5" spans="1:19" x14ac:dyDescent="0.25">
      <c r="A5" s="1" t="s">
        <v>116</v>
      </c>
      <c r="B5" s="1" t="s">
        <v>137</v>
      </c>
      <c r="C5" s="1" t="s">
        <v>211</v>
      </c>
      <c r="D5" s="1" t="s">
        <v>212</v>
      </c>
      <c r="E5" s="1" t="s">
        <v>202</v>
      </c>
      <c r="F5" s="1" t="s">
        <v>201</v>
      </c>
      <c r="G5" s="1" t="s">
        <v>69</v>
      </c>
      <c r="H5" s="1" t="s">
        <v>69</v>
      </c>
      <c r="I5" s="1" t="s">
        <v>69</v>
      </c>
      <c r="J5" s="1" t="s">
        <v>210</v>
      </c>
      <c r="K5" s="1" t="s">
        <v>69</v>
      </c>
      <c r="L5" s="1" t="s">
        <v>69</v>
      </c>
      <c r="M5" s="1" t="s">
        <v>200</v>
      </c>
      <c r="N5" s="1" t="s">
        <v>202</v>
      </c>
      <c r="O5" s="1" t="s">
        <v>69</v>
      </c>
      <c r="P5" s="1" t="s">
        <v>69</v>
      </c>
      <c r="Q5" s="1" t="s">
        <v>69</v>
      </c>
      <c r="R5" s="1" t="s">
        <v>69</v>
      </c>
      <c r="S5" s="1"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87B81-C6FD-4500-B3BC-5162A3A66FF4}">
  <sheetPr codeName="Sheet5"/>
  <dimension ref="A1:M4"/>
  <sheetViews>
    <sheetView workbookViewId="0"/>
  </sheetViews>
  <sheetFormatPr defaultColWidth="8" defaultRowHeight="13.5" x14ac:dyDescent="0.25"/>
  <cols>
    <col min="1" max="1" width="9.625" style="1" bestFit="1" customWidth="1"/>
    <col min="2" max="2" width="20" style="1" bestFit="1" customWidth="1"/>
    <col min="3" max="3" width="15.125" style="1" bestFit="1" customWidth="1"/>
    <col min="4" max="4" width="17.75" style="1" bestFit="1" customWidth="1"/>
    <col min="5" max="5" width="10.75" style="1" bestFit="1" customWidth="1"/>
    <col min="6" max="6" width="6.625" style="1" bestFit="1" customWidth="1"/>
    <col min="7" max="7" width="8.875" style="112" bestFit="1" customWidth="1"/>
    <col min="8" max="8" width="19.375" style="1" bestFit="1" customWidth="1"/>
    <col min="9" max="9" width="15.375" style="112" bestFit="1" customWidth="1"/>
    <col min="10" max="10" width="8.875" style="112" bestFit="1" customWidth="1"/>
    <col min="11" max="11" width="10.75" style="112" bestFit="1" customWidth="1"/>
    <col min="12" max="12" width="17.25" style="1" bestFit="1" customWidth="1"/>
    <col min="13" max="13" width="6.875" style="1" bestFit="1" customWidth="1"/>
    <col min="14" max="16384" width="8" style="1"/>
  </cols>
  <sheetData>
    <row r="1" spans="1:13" ht="15" x14ac:dyDescent="0.25">
      <c r="A1" s="124" t="s">
        <v>185</v>
      </c>
      <c r="B1" s="125" t="s">
        <v>186</v>
      </c>
      <c r="C1" s="126" t="s">
        <v>187</v>
      </c>
      <c r="D1" s="126" t="s">
        <v>177</v>
      </c>
      <c r="E1" s="126" t="s">
        <v>188</v>
      </c>
      <c r="F1" s="126" t="s">
        <v>174</v>
      </c>
      <c r="G1" s="127" t="s">
        <v>189</v>
      </c>
      <c r="H1" s="126" t="s">
        <v>190</v>
      </c>
      <c r="I1" s="127" t="s">
        <v>191</v>
      </c>
      <c r="J1" s="127" t="s">
        <v>192</v>
      </c>
      <c r="K1" s="127" t="s">
        <v>193</v>
      </c>
      <c r="L1" s="126" t="s">
        <v>194</v>
      </c>
      <c r="M1" s="128" t="s">
        <v>195</v>
      </c>
    </row>
    <row r="2" spans="1:13" x14ac:dyDescent="0.25">
      <c r="A2" s="129">
        <v>1</v>
      </c>
      <c r="B2" s="129" t="s">
        <v>213</v>
      </c>
      <c r="C2" s="129" t="s">
        <v>214</v>
      </c>
      <c r="D2" s="129" t="s">
        <v>215</v>
      </c>
      <c r="E2" s="129" t="s">
        <v>216</v>
      </c>
      <c r="F2" s="129" t="s">
        <v>217</v>
      </c>
      <c r="G2" s="130">
        <v>46007</v>
      </c>
      <c r="H2" s="129" t="s">
        <v>77</v>
      </c>
      <c r="I2" s="130">
        <v>46121</v>
      </c>
      <c r="J2" s="130" t="s">
        <v>69</v>
      </c>
      <c r="K2" s="130" t="s">
        <v>69</v>
      </c>
      <c r="L2" s="129" t="s">
        <v>69</v>
      </c>
      <c r="M2" s="129" t="s">
        <v>69</v>
      </c>
    </row>
    <row r="3" spans="1:13" x14ac:dyDescent="0.25">
      <c r="A3" s="129">
        <v>2</v>
      </c>
      <c r="B3" s="129" t="s">
        <v>218</v>
      </c>
      <c r="C3" s="129" t="s">
        <v>219</v>
      </c>
      <c r="D3" s="129" t="s">
        <v>220</v>
      </c>
      <c r="E3" s="129" t="s">
        <v>221</v>
      </c>
      <c r="F3" s="129" t="s">
        <v>222</v>
      </c>
      <c r="G3" s="130">
        <v>46068</v>
      </c>
      <c r="H3" s="129" t="s">
        <v>207</v>
      </c>
      <c r="I3" s="130">
        <v>46121</v>
      </c>
      <c r="J3" s="130">
        <v>46093</v>
      </c>
      <c r="K3" s="130">
        <v>46093</v>
      </c>
      <c r="L3" s="129" t="s">
        <v>69</v>
      </c>
      <c r="M3" s="129" t="s">
        <v>69</v>
      </c>
    </row>
    <row r="4" spans="1:13" x14ac:dyDescent="0.25">
      <c r="A4" s="129">
        <v>3</v>
      </c>
      <c r="B4" s="129" t="s">
        <v>69</v>
      </c>
      <c r="C4" s="129" t="s">
        <v>223</v>
      </c>
      <c r="D4" s="129" t="s">
        <v>224</v>
      </c>
      <c r="E4" s="129" t="s">
        <v>225</v>
      </c>
      <c r="F4" s="129" t="s">
        <v>226</v>
      </c>
      <c r="G4" s="130">
        <v>44232</v>
      </c>
      <c r="H4" s="129" t="s">
        <v>77</v>
      </c>
      <c r="I4" s="130">
        <v>46121</v>
      </c>
      <c r="J4" s="130" t="s">
        <v>69</v>
      </c>
      <c r="K4" s="130" t="s">
        <v>69</v>
      </c>
      <c r="L4" s="129" t="s">
        <v>69</v>
      </c>
      <c r="M4" s="129" t="s">
        <v>69</v>
      </c>
    </row>
  </sheetData>
  <conditionalFormatting sqref="A1:B1">
    <cfRule type="duplicateValues" dxfId="7" priority="8" stopIfTrue="1"/>
  </conditionalFormatting>
  <conditionalFormatting sqref="C1">
    <cfRule type="duplicateValues" dxfId="6" priority="7" stopIfTrue="1"/>
  </conditionalFormatting>
  <conditionalFormatting sqref="D1:E1">
    <cfRule type="duplicateValues" dxfId="5" priority="6" stopIfTrue="1"/>
  </conditionalFormatting>
  <conditionalFormatting sqref="F1">
    <cfRule type="duplicateValues" dxfId="4" priority="5" stopIfTrue="1"/>
  </conditionalFormatting>
  <conditionalFormatting sqref="G1">
    <cfRule type="duplicateValues" dxfId="3" priority="4" stopIfTrue="1"/>
  </conditionalFormatting>
  <conditionalFormatting sqref="H1">
    <cfRule type="duplicateValues" dxfId="2" priority="3" stopIfTrue="1"/>
  </conditionalFormatting>
  <conditionalFormatting sqref="I1">
    <cfRule type="duplicateValues" dxfId="1" priority="2" stopIfTrue="1"/>
  </conditionalFormatting>
  <conditionalFormatting sqref="J1:M1">
    <cfRule type="duplicateValues" dxfId="0" priority="1" stopIfTrue="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Rating</vt:lpstr>
      <vt:lpstr>Checklist</vt:lpstr>
      <vt:lpstr>KAF</vt:lpstr>
      <vt:lpstr>Vehicle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 Sharma</dc:creator>
  <cp:lastModifiedBy>Hariom Sharma</cp:lastModifiedBy>
  <dcterms:created xsi:type="dcterms:W3CDTF">2026-04-29T16:31:14Z</dcterms:created>
  <dcterms:modified xsi:type="dcterms:W3CDTF">2026-05-11T13:33:02Z</dcterms:modified>
</cp:coreProperties>
</file>